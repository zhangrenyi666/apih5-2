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erp-web-doc\01_zx-erp\"/>
    </mc:Choice>
  </mc:AlternateContent>
  <bookViews>
    <workbookView xWindow="0" yWindow="0" windowWidth="2196" windowHeight="1152" tabRatio="668" firstSheet="13" activeTab="15"/>
  </bookViews>
  <sheets>
    <sheet name="备注说明大全" sheetId="174" r:id="rId1"/>
    <sheet name="各个表金额字段明细参考" sheetId="178" r:id="rId2"/>
    <sheet name="工程施工类合同评审补充协议表" sheetId="160" r:id="rId3"/>
    <sheet name="工程施工类合同管理表" sheetId="166" r:id="rId4"/>
    <sheet name="工程施工类合同评审清单表" sheetId="161" r:id="rId5"/>
    <sheet name="工程施工类合同补充协议清单表" sheetId="172" r:id="rId6"/>
    <sheet name="工程施工类合同补充协议清单明细表" sheetId="173" r:id="rId7"/>
    <sheet name="工程施工类合同管理清单表" sheetId="170" r:id="rId8"/>
    <sheet name="合同单价分析表" sheetId="164" r:id="rId9"/>
    <sheet name="合同单价分析明细表" sheetId="165" r:id="rId10"/>
    <sheet name="协作清单书表(先不用了)" sheetId="175" r:id="rId11"/>
    <sheet name="合同清单与标准工序库关系表" sheetId="163" r:id="rId12"/>
    <sheet name="分包清单与业主合同清单关联表" sheetId="167" r:id="rId13"/>
    <sheet name="分包合同保证金比例表" sheetId="176" r:id="rId14"/>
    <sheet name="工程施工类合同附件表" sheetId="162" r:id="rId15"/>
    <sheet name="工程施工类合同附件表(新)" sheetId="177" r:id="rId16"/>
    <sheet name="资料库文件夹层级表" sheetId="179" r:id="rId17"/>
    <sheet name="资料库文件标题表" sheetId="180" r:id="rId18"/>
    <sheet name="资料库文件附件表(考虑zj_erp_file)" sheetId="183" r:id="rId19"/>
    <sheet name="资料库文件夹权限表" sheetId="184" r:id="rId20"/>
  </sheets>
  <definedNames>
    <definedName name="_xlnm._FilterDatabase" localSheetId="0" hidden="1">备注说明大全!$BK$7:$BL$158</definedName>
    <definedName name="_xlnm._FilterDatabase" localSheetId="13" hidden="1">分包合同保证金比例表!$BK$7:$BL$29</definedName>
    <definedName name="_xlnm._FilterDatabase" localSheetId="12" hidden="1">分包清单与业主合同清单关联表!$BK$7:$BL$36</definedName>
    <definedName name="_xlnm._FilterDatabase" localSheetId="5" hidden="1">工程施工类合同补充协议清单表!$BK$7:$BL$110</definedName>
    <definedName name="_xlnm._FilterDatabase" localSheetId="6" hidden="1">工程施工类合同补充协议清单明细表!$BK$7:$BL$106</definedName>
    <definedName name="_xlnm._FilterDatabase" localSheetId="14" hidden="1">工程施工类合同附件表!$BK$7:$BL$39</definedName>
    <definedName name="_xlnm._FilterDatabase" localSheetId="15" hidden="1">'工程施工类合同附件表(新)'!$BK$7:$BL$44</definedName>
    <definedName name="_xlnm._FilterDatabase" localSheetId="3" hidden="1">工程施工类合同管理表!$BK$7:$BL$276</definedName>
    <definedName name="_xlnm._FilterDatabase" localSheetId="7" hidden="1">工程施工类合同管理清单表!$BK$7:$BL$93</definedName>
    <definedName name="_xlnm._FilterDatabase" localSheetId="2" hidden="1">工程施工类合同评审补充协议表!$BK$7:$BL$255</definedName>
    <definedName name="_xlnm._FilterDatabase" localSheetId="4" hidden="1">工程施工类合同评审清单表!$BK$7:$BL$89</definedName>
    <definedName name="_xlnm._FilterDatabase" localSheetId="8" hidden="1">合同单价分析表!$BK$7:$BL$60</definedName>
    <definedName name="_xlnm._FilterDatabase" localSheetId="9" hidden="1">合同单价分析明细表!$BK$7:$BL$51</definedName>
    <definedName name="_xlnm._FilterDatabase" localSheetId="11" hidden="1">合同清单与标准工序库关系表!$BK$7:$BL$33</definedName>
    <definedName name="_xlnm._FilterDatabase" localSheetId="10" hidden="1">'协作清单书表(先不用了)'!$BK$7:$BL$64</definedName>
    <definedName name="_xlnm._FilterDatabase" localSheetId="17" hidden="1">资料库文件标题表!$BK$7:$BL$39</definedName>
    <definedName name="_xlnm._FilterDatabase" localSheetId="18" hidden="1">'资料库文件附件表(考虑zj_erp_file)'!$BK$7:$BL$46</definedName>
    <definedName name="_xlnm._FilterDatabase" localSheetId="16" hidden="1">资料库文件夹层级表!$BK$7:$BL$44</definedName>
    <definedName name="_xlnm._FilterDatabase" localSheetId="19" hidden="1">资料库文件夹权限表!$BK$7:$BL$52</definedName>
  </definedNames>
  <calcPr calcId="162913"/>
</workbook>
</file>

<file path=xl/calcChain.xml><?xml version="1.0" encoding="utf-8"?>
<calcChain xmlns="http://schemas.openxmlformats.org/spreadsheetml/2006/main">
  <c r="C106" i="166" l="1"/>
  <c r="C222" i="166" l="1"/>
  <c r="C92" i="166" l="1"/>
  <c r="C235" i="166" l="1"/>
  <c r="C164" i="160" l="1"/>
  <c r="C63" i="160" l="1"/>
  <c r="C151" i="160" l="1"/>
  <c r="C10" i="170" l="1"/>
  <c r="C76" i="160" l="1"/>
  <c r="C51" i="170" l="1"/>
  <c r="C87" i="166" l="1"/>
  <c r="C45" i="166"/>
  <c r="C220" i="166"/>
  <c r="C78" i="160" l="1"/>
  <c r="C232" i="166"/>
  <c r="C21" i="176"/>
  <c r="C20" i="176"/>
  <c r="C19" i="176"/>
  <c r="C18" i="176"/>
  <c r="C17" i="176"/>
  <c r="C16" i="176"/>
  <c r="C15" i="176"/>
  <c r="C14" i="176"/>
  <c r="C13" i="176"/>
  <c r="C12" i="176"/>
  <c r="C11" i="176"/>
  <c r="C9" i="176"/>
  <c r="C33" i="175"/>
  <c r="C32" i="175"/>
  <c r="C31" i="175"/>
  <c r="C30" i="175"/>
  <c r="C29" i="175"/>
  <c r="C28" i="175"/>
  <c r="C27" i="175"/>
  <c r="C26" i="175"/>
  <c r="C25" i="175"/>
  <c r="C24" i="175"/>
  <c r="C23" i="175"/>
  <c r="C22" i="175"/>
  <c r="C21" i="175"/>
  <c r="C20" i="175"/>
  <c r="C19" i="175"/>
  <c r="C18" i="175"/>
  <c r="C17" i="175"/>
  <c r="C16" i="175"/>
  <c r="C15" i="175"/>
  <c r="C14" i="175"/>
  <c r="C13" i="175"/>
  <c r="C12" i="175"/>
  <c r="C10" i="175"/>
  <c r="C9" i="175"/>
  <c r="C58" i="173"/>
  <c r="C57" i="173"/>
  <c r="C56" i="173"/>
  <c r="C55" i="173"/>
  <c r="C54" i="173"/>
  <c r="C53" i="173"/>
  <c r="C52" i="173"/>
  <c r="C51" i="173"/>
  <c r="C50" i="173"/>
  <c r="C49" i="173"/>
  <c r="C48" i="173"/>
  <c r="C47" i="173"/>
  <c r="C46" i="173"/>
  <c r="C45" i="173"/>
  <c r="C44" i="173"/>
  <c r="C43" i="173"/>
  <c r="C42" i="173"/>
  <c r="C41" i="173"/>
  <c r="C40" i="173"/>
  <c r="C39" i="173"/>
  <c r="C32" i="173"/>
  <c r="C31" i="173"/>
  <c r="C30" i="173"/>
  <c r="C29" i="173"/>
  <c r="C27" i="173"/>
  <c r="C26" i="173"/>
  <c r="C25" i="173"/>
  <c r="C24" i="173"/>
  <c r="C23" i="173"/>
  <c r="C22" i="173"/>
  <c r="C21" i="173"/>
  <c r="C20" i="173"/>
  <c r="C19" i="173"/>
  <c r="C18" i="173"/>
  <c r="C17" i="173"/>
  <c r="C16" i="173"/>
  <c r="C15" i="173"/>
  <c r="C14" i="173"/>
  <c r="C13" i="173"/>
  <c r="C11" i="173"/>
  <c r="C10" i="173"/>
  <c r="C52" i="170"/>
  <c r="C50" i="170"/>
  <c r="C49" i="170"/>
  <c r="C48" i="170"/>
  <c r="C47" i="170"/>
  <c r="C46" i="170"/>
  <c r="C45" i="170"/>
  <c r="C44" i="170"/>
  <c r="C43" i="170"/>
  <c r="C42" i="170"/>
  <c r="C41" i="170"/>
  <c r="C40" i="170"/>
  <c r="C39" i="170"/>
  <c r="C38" i="170"/>
  <c r="C37" i="170"/>
  <c r="C36" i="170"/>
  <c r="C35" i="170"/>
  <c r="C34" i="170"/>
  <c r="C33" i="170"/>
  <c r="C32" i="170"/>
  <c r="C31" i="170"/>
  <c r="C30" i="170"/>
  <c r="C29" i="170"/>
  <c r="C28" i="170"/>
  <c r="C27" i="170"/>
  <c r="C26" i="170"/>
  <c r="C25" i="170"/>
  <c r="C24" i="170"/>
  <c r="C23" i="170"/>
  <c r="C22" i="170"/>
  <c r="C21" i="170"/>
  <c r="C20" i="170"/>
  <c r="C19" i="170"/>
  <c r="C18" i="170"/>
  <c r="C17" i="170"/>
  <c r="C16" i="170"/>
  <c r="C15" i="170"/>
  <c r="C14" i="170"/>
  <c r="C11" i="170"/>
  <c r="C25" i="167"/>
  <c r="C24" i="167"/>
  <c r="C23" i="167"/>
  <c r="C22" i="167"/>
  <c r="C21" i="167"/>
  <c r="C20" i="167"/>
  <c r="C19" i="167"/>
  <c r="C18" i="167"/>
  <c r="C17" i="167"/>
  <c r="C16" i="167"/>
  <c r="C15" i="167"/>
  <c r="C13" i="167"/>
  <c r="C12" i="167"/>
  <c r="C10" i="167"/>
  <c r="C9" i="167"/>
  <c r="C236" i="166"/>
  <c r="C234" i="166"/>
  <c r="C233" i="166"/>
  <c r="C229" i="166"/>
  <c r="C221" i="166"/>
  <c r="C219" i="166"/>
  <c r="C218" i="166"/>
  <c r="C196" i="166"/>
  <c r="C195" i="166"/>
  <c r="C194" i="166"/>
  <c r="C193" i="166"/>
  <c r="C192" i="166"/>
  <c r="C191" i="166"/>
  <c r="C190" i="166"/>
  <c r="C189" i="166"/>
  <c r="C188" i="166"/>
  <c r="C187" i="166"/>
  <c r="C186" i="166"/>
  <c r="C185" i="166"/>
  <c r="C184" i="166"/>
  <c r="C183" i="166"/>
  <c r="C182" i="166"/>
  <c r="C181" i="166"/>
  <c r="C180" i="166"/>
  <c r="C179" i="166"/>
  <c r="C178" i="166"/>
  <c r="C177" i="166"/>
  <c r="C176" i="166"/>
  <c r="C175" i="166"/>
  <c r="C174" i="166"/>
  <c r="C173" i="166"/>
  <c r="C172" i="166"/>
  <c r="C171" i="166"/>
  <c r="C170" i="166"/>
  <c r="C169" i="166"/>
  <c r="C168" i="166"/>
  <c r="C167" i="166"/>
  <c r="C166" i="166"/>
  <c r="C165" i="166"/>
  <c r="C164" i="166"/>
  <c r="C163" i="166"/>
  <c r="C162" i="166"/>
  <c r="C161" i="166"/>
  <c r="C160" i="166"/>
  <c r="C159" i="166"/>
  <c r="C158" i="166"/>
  <c r="C157" i="166"/>
  <c r="C156" i="166"/>
  <c r="C155" i="166"/>
  <c r="C154" i="166"/>
  <c r="C153" i="166"/>
  <c r="C152" i="166"/>
  <c r="C151" i="166"/>
  <c r="C150" i="166"/>
  <c r="C149" i="166"/>
  <c r="C148" i="166"/>
  <c r="C147" i="166"/>
  <c r="C146" i="166"/>
  <c r="C145" i="166"/>
  <c r="C144" i="166"/>
  <c r="C143" i="166"/>
  <c r="C142" i="166"/>
  <c r="C141" i="166"/>
  <c r="C140" i="166"/>
  <c r="C139" i="166"/>
  <c r="C138" i="166"/>
  <c r="C137" i="166"/>
  <c r="C136" i="166"/>
  <c r="C135" i="166"/>
  <c r="C134" i="166"/>
  <c r="C133" i="166"/>
  <c r="C132" i="166"/>
  <c r="C131" i="166"/>
  <c r="C130" i="166"/>
  <c r="C129" i="166"/>
  <c r="C128" i="166"/>
  <c r="C127" i="166"/>
  <c r="C126" i="166"/>
  <c r="C125" i="166"/>
  <c r="C124" i="166"/>
  <c r="C123" i="166"/>
  <c r="C122" i="166"/>
  <c r="C121" i="166"/>
  <c r="C120" i="166"/>
  <c r="C119" i="166"/>
  <c r="C118" i="166"/>
  <c r="C117" i="166"/>
  <c r="C116" i="166"/>
  <c r="C115" i="166"/>
  <c r="C114" i="166"/>
  <c r="C113" i="166"/>
  <c r="C112" i="166"/>
  <c r="C111" i="166"/>
  <c r="C110" i="166"/>
  <c r="C109" i="166"/>
  <c r="C108" i="166"/>
  <c r="C107" i="166"/>
  <c r="C105" i="166"/>
  <c r="C104" i="166"/>
  <c r="C102" i="166"/>
  <c r="C101" i="166"/>
  <c r="C100" i="166"/>
  <c r="C99" i="166"/>
  <c r="C98" i="166"/>
  <c r="C97" i="166"/>
  <c r="C96" i="166"/>
  <c r="C95" i="166"/>
  <c r="C94" i="166"/>
  <c r="C93" i="166"/>
  <c r="C91" i="166"/>
  <c r="C90" i="166"/>
  <c r="C89" i="166"/>
  <c r="C88" i="166"/>
  <c r="C80" i="166"/>
  <c r="C79" i="166"/>
  <c r="C78" i="166"/>
  <c r="C75" i="166"/>
  <c r="C74" i="166"/>
  <c r="C73" i="166"/>
  <c r="C72" i="166"/>
  <c r="C71" i="166"/>
  <c r="C70" i="166"/>
  <c r="C69" i="166"/>
  <c r="C68" i="166"/>
  <c r="C67" i="166"/>
  <c r="C66" i="166"/>
  <c r="C65" i="166"/>
  <c r="C64" i="166"/>
  <c r="C63" i="166"/>
  <c r="C62" i="166"/>
  <c r="C61" i="166"/>
  <c r="C60" i="166"/>
  <c r="C59" i="166"/>
  <c r="C58" i="166"/>
  <c r="C57" i="166"/>
  <c r="C56" i="166"/>
  <c r="C55" i="166"/>
  <c r="C54" i="166"/>
  <c r="C53" i="166"/>
  <c r="C52" i="166"/>
  <c r="C51" i="166"/>
  <c r="C50" i="166"/>
  <c r="C49" i="166"/>
  <c r="C48" i="166"/>
  <c r="C47" i="166"/>
  <c r="C46" i="166"/>
  <c r="C44" i="166"/>
  <c r="C43" i="166"/>
  <c r="C42" i="166"/>
  <c r="C40" i="166"/>
  <c r="C39" i="166"/>
  <c r="C38" i="166"/>
  <c r="C37" i="166"/>
  <c r="C36" i="166"/>
  <c r="C35" i="166"/>
  <c r="C34" i="166"/>
  <c r="C33" i="166"/>
  <c r="C32" i="166"/>
  <c r="C31" i="166"/>
  <c r="C30" i="166"/>
  <c r="C29" i="166"/>
  <c r="C28" i="166"/>
  <c r="C27" i="166"/>
  <c r="C26" i="166"/>
  <c r="C25" i="166"/>
  <c r="C24" i="166"/>
  <c r="C23" i="166"/>
  <c r="C22" i="166"/>
  <c r="C21" i="166"/>
  <c r="C20" i="166"/>
  <c r="C19" i="166"/>
  <c r="C18" i="166"/>
  <c r="C17" i="166"/>
  <c r="C16" i="166"/>
  <c r="C15" i="166"/>
  <c r="C14" i="166"/>
  <c r="C13" i="166"/>
  <c r="C12" i="166"/>
  <c r="C11" i="166"/>
  <c r="C10" i="166"/>
  <c r="C9" i="166"/>
  <c r="C18" i="165"/>
  <c r="C17" i="165"/>
  <c r="C16" i="165"/>
  <c r="C15" i="165"/>
  <c r="C14" i="165"/>
  <c r="C13" i="165"/>
  <c r="C12" i="165"/>
  <c r="C11" i="165"/>
  <c r="C10" i="165"/>
  <c r="C29" i="164"/>
  <c r="C28" i="164"/>
  <c r="C27" i="164"/>
  <c r="C26" i="164"/>
  <c r="C25" i="164"/>
  <c r="C24" i="164"/>
  <c r="C23" i="164"/>
  <c r="C22" i="164"/>
  <c r="C21" i="164"/>
  <c r="C20" i="164"/>
  <c r="C19" i="164"/>
  <c r="C18" i="164"/>
  <c r="C17" i="164"/>
  <c r="C16" i="164"/>
  <c r="C15" i="164"/>
  <c r="C14" i="164"/>
  <c r="C13" i="164"/>
  <c r="C44" i="160"/>
  <c r="C13" i="162"/>
  <c r="C18" i="163"/>
  <c r="C17" i="163"/>
  <c r="C16" i="163"/>
  <c r="C15" i="163"/>
  <c r="C14" i="163"/>
  <c r="C13" i="163"/>
  <c r="C20" i="162"/>
  <c r="C19" i="162"/>
  <c r="C18" i="162"/>
  <c r="C17" i="162"/>
  <c r="C16" i="162"/>
  <c r="C15" i="162"/>
  <c r="C14" i="162"/>
  <c r="C12" i="162"/>
  <c r="C11" i="162"/>
  <c r="C10" i="162"/>
  <c r="C9" i="162"/>
  <c r="C56" i="161"/>
  <c r="C55" i="161"/>
  <c r="C54" i="161"/>
  <c r="C53" i="161"/>
  <c r="C52" i="161"/>
  <c r="C51" i="161"/>
  <c r="C50" i="161"/>
  <c r="C49" i="161"/>
  <c r="C48" i="161"/>
  <c r="C47" i="161"/>
  <c r="C46" i="161"/>
  <c r="C45" i="161"/>
  <c r="C44" i="161"/>
  <c r="C43" i="161"/>
  <c r="C42" i="161"/>
  <c r="C41" i="161"/>
  <c r="C40" i="161"/>
  <c r="C39" i="161"/>
  <c r="C38" i="161"/>
  <c r="C37" i="161"/>
  <c r="C36" i="161"/>
  <c r="C35" i="161"/>
  <c r="C34" i="161"/>
  <c r="C33" i="161"/>
  <c r="C32" i="161"/>
  <c r="C31" i="161"/>
  <c r="C30" i="161"/>
  <c r="C29" i="161"/>
  <c r="C28" i="161"/>
  <c r="C27" i="161"/>
  <c r="C26" i="161"/>
  <c r="C25" i="161"/>
  <c r="C24" i="161"/>
  <c r="C23" i="161"/>
  <c r="C22" i="161"/>
  <c r="C21" i="161"/>
  <c r="C20" i="161"/>
  <c r="C19" i="161"/>
  <c r="C18" i="161"/>
  <c r="C17" i="161"/>
  <c r="C16" i="161"/>
  <c r="C15" i="161"/>
  <c r="C14" i="161"/>
  <c r="C13" i="161"/>
  <c r="C11" i="161"/>
  <c r="C10" i="161"/>
  <c r="C9" i="161"/>
  <c r="C16" i="160"/>
  <c r="C15" i="160"/>
  <c r="C14" i="160"/>
  <c r="C13" i="160"/>
  <c r="C12" i="160"/>
  <c r="C11" i="160"/>
  <c r="C10" i="160"/>
  <c r="C17" i="160"/>
  <c r="C25" i="160"/>
  <c r="C24" i="160"/>
  <c r="C23" i="160"/>
  <c r="C22" i="160"/>
  <c r="C21" i="160"/>
  <c r="C20" i="160"/>
  <c r="C19" i="160"/>
  <c r="C18" i="160"/>
  <c r="C9" i="160"/>
  <c r="C173" i="160"/>
  <c r="C172" i="160"/>
  <c r="C171" i="160"/>
  <c r="C170" i="160"/>
  <c r="C169" i="160"/>
  <c r="C168" i="160"/>
  <c r="C167" i="160"/>
  <c r="C166" i="160"/>
  <c r="C165" i="160"/>
  <c r="C163" i="160"/>
  <c r="C162" i="160"/>
  <c r="C161" i="160"/>
  <c r="C160" i="160"/>
  <c r="C159" i="160"/>
  <c r="C158" i="160"/>
  <c r="C157" i="160"/>
  <c r="C156" i="160"/>
  <c r="C155" i="160"/>
  <c r="C154" i="160"/>
  <c r="C153" i="160"/>
  <c r="C152" i="160"/>
  <c r="C150" i="160"/>
  <c r="C149" i="160"/>
  <c r="C148" i="160"/>
  <c r="C147" i="160"/>
  <c r="C146" i="160"/>
  <c r="C145" i="160"/>
  <c r="C144" i="160"/>
  <c r="C143" i="160"/>
  <c r="C142" i="160"/>
  <c r="C141" i="160"/>
  <c r="C140" i="160"/>
  <c r="C139" i="160"/>
  <c r="C138" i="160"/>
  <c r="C137" i="160"/>
  <c r="C136" i="160"/>
  <c r="C135" i="160"/>
  <c r="C134" i="160"/>
  <c r="C133" i="160"/>
  <c r="C132" i="160"/>
  <c r="C131" i="160"/>
  <c r="C130" i="160"/>
  <c r="C129" i="160"/>
  <c r="C128" i="160"/>
  <c r="C127" i="160"/>
  <c r="C126" i="160"/>
  <c r="C125" i="160"/>
  <c r="C124" i="160"/>
  <c r="C123" i="160"/>
  <c r="C122" i="160"/>
  <c r="C121" i="160"/>
  <c r="C120" i="160"/>
  <c r="C119" i="160"/>
  <c r="C118" i="160"/>
  <c r="C117" i="160"/>
  <c r="C116" i="160"/>
  <c r="C115" i="160"/>
  <c r="C114" i="160"/>
  <c r="C113" i="160"/>
  <c r="C112" i="160"/>
  <c r="C111" i="160"/>
  <c r="C110" i="160"/>
  <c r="C109" i="160"/>
  <c r="C108" i="160"/>
  <c r="C107" i="160"/>
  <c r="C106" i="160"/>
  <c r="C105" i="160"/>
  <c r="C104" i="160"/>
  <c r="C103" i="160"/>
  <c r="C102" i="160"/>
  <c r="C101" i="160"/>
  <c r="C100" i="160"/>
  <c r="C99" i="160"/>
  <c r="C98" i="160"/>
  <c r="C97" i="160"/>
  <c r="C96" i="160"/>
  <c r="C95" i="160"/>
  <c r="C94" i="160"/>
  <c r="C93" i="160"/>
  <c r="C92" i="160"/>
  <c r="C91" i="160"/>
  <c r="C90" i="160"/>
  <c r="C89" i="160"/>
  <c r="C88" i="160"/>
  <c r="C87" i="160"/>
  <c r="C86" i="160"/>
  <c r="C85" i="160"/>
  <c r="C84" i="160"/>
  <c r="C83" i="160"/>
  <c r="C82" i="160"/>
  <c r="C81" i="160"/>
  <c r="C80" i="160"/>
  <c r="C79" i="160"/>
  <c r="C77" i="160"/>
  <c r="C75" i="160"/>
  <c r="C74" i="160"/>
  <c r="C73" i="160"/>
  <c r="C72" i="160"/>
  <c r="C71" i="160"/>
  <c r="C70" i="160"/>
  <c r="C69" i="160"/>
  <c r="C68" i="160"/>
  <c r="C67" i="160"/>
  <c r="C66" i="160"/>
  <c r="C65" i="160"/>
  <c r="C64" i="160"/>
  <c r="C62" i="160"/>
  <c r="C61" i="160"/>
  <c r="C60" i="160"/>
  <c r="C59" i="160"/>
  <c r="C58" i="160"/>
  <c r="C57" i="160"/>
  <c r="C56" i="160"/>
  <c r="C55" i="160"/>
  <c r="C54" i="160"/>
  <c r="C53" i="160"/>
  <c r="C52" i="160"/>
  <c r="C51" i="160"/>
  <c r="C50" i="160"/>
  <c r="C49" i="160"/>
  <c r="C48" i="160"/>
  <c r="C47" i="160"/>
  <c r="C46" i="160"/>
  <c r="C45" i="160"/>
  <c r="C43" i="160"/>
  <c r="C42" i="160"/>
  <c r="C41" i="160"/>
  <c r="C33" i="160"/>
  <c r="C53" i="172"/>
  <c r="C52" i="172"/>
  <c r="C51" i="172"/>
  <c r="C50" i="172"/>
  <c r="C49" i="172"/>
  <c r="C48" i="172"/>
  <c r="C47" i="172"/>
  <c r="C46" i="172"/>
  <c r="C40" i="172"/>
  <c r="C39" i="172"/>
  <c r="C38" i="172"/>
  <c r="C37" i="172"/>
  <c r="C36" i="172"/>
  <c r="C35" i="172"/>
  <c r="C34" i="172"/>
  <c r="C32" i="172"/>
  <c r="C31" i="172"/>
  <c r="C30" i="172"/>
  <c r="C29" i="172"/>
  <c r="C28" i="172"/>
  <c r="C27" i="172"/>
  <c r="C26" i="172"/>
  <c r="C25" i="172"/>
  <c r="C24" i="172"/>
  <c r="C23" i="172"/>
  <c r="C22" i="172"/>
  <c r="C21" i="172"/>
  <c r="C20" i="172"/>
  <c r="C19" i="172"/>
  <c r="C18" i="172"/>
  <c r="C17" i="172"/>
  <c r="C16" i="172"/>
  <c r="C15" i="172"/>
  <c r="C14" i="172"/>
  <c r="C13" i="172"/>
  <c r="C12" i="172"/>
  <c r="C11" i="172"/>
  <c r="C10" i="172"/>
  <c r="C9" i="170"/>
  <c r="C41" i="166"/>
  <c r="C76" i="166"/>
  <c r="C77" i="166"/>
  <c r="C197" i="166"/>
  <c r="C198" i="166"/>
  <c r="C199" i="166"/>
  <c r="C200" i="166"/>
  <c r="C201" i="166"/>
  <c r="C202" i="166"/>
  <c r="C203" i="166"/>
  <c r="C204" i="166"/>
  <c r="C205" i="166"/>
  <c r="C206" i="166"/>
  <c r="C207" i="166"/>
  <c r="C208" i="166"/>
  <c r="C209" i="166"/>
  <c r="C210" i="166"/>
  <c r="C211" i="166"/>
  <c r="C212" i="166"/>
  <c r="C213" i="166"/>
  <c r="C214" i="166"/>
  <c r="C215" i="166"/>
  <c r="C216" i="166"/>
  <c r="C217" i="166"/>
  <c r="C223" i="166"/>
  <c r="C224" i="166"/>
  <c r="C225" i="166"/>
  <c r="C226" i="166"/>
  <c r="C227" i="166"/>
  <c r="C228" i="166"/>
  <c r="C230" i="166"/>
  <c r="C231" i="166"/>
  <c r="C237" i="166"/>
  <c r="C238" i="166"/>
  <c r="C239" i="166"/>
  <c r="C240" i="166"/>
  <c r="C241" i="166"/>
  <c r="C242" i="166"/>
</calcChain>
</file>

<file path=xl/comments1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2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3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4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5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6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7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8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9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0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1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2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3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4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5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6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7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8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comments19.xml><?xml version="1.0" encoding="utf-8"?>
<comments xmlns="http://schemas.openxmlformats.org/spreadsheetml/2006/main">
  <authors>
    <author>NTKO</author>
  </authors>
  <commentLis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  <comment ref="Y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直接复制表结构</t>
        </r>
      </text>
    </comment>
  </commentList>
</comments>
</file>

<file path=xl/sharedStrings.xml><?xml version="1.0" encoding="utf-8"?>
<sst xmlns="http://schemas.openxmlformats.org/spreadsheetml/2006/main" count="5098" uniqueCount="1951">
  <si>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</si>
  <si>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</si>
  <si>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</si>
  <si>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</si>
  <si>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逻辑名称</t>
    <rPh sb="0" eb="3">
      <t>ニホンゴメイショウ</t>
    </rPh>
    <phoneticPr fontId="3"/>
  </si>
  <si>
    <t>表明名（物理名）</t>
    <rPh sb="4" eb="5">
      <t>メイ</t>
    </rPh>
    <rPh sb="6" eb="8">
      <t>エイジメイ</t>
    </rPh>
    <phoneticPr fontId="3"/>
  </si>
  <si>
    <t>系统名</t>
    <rPh sb="0" eb="3">
      <t>メイ</t>
    </rPh>
    <phoneticPr fontId="3"/>
  </si>
  <si>
    <t>表结构定义书</t>
    <rPh sb="4" eb="6">
      <t>テイギショ</t>
    </rPh>
    <phoneticPr fontId="3"/>
  </si>
  <si>
    <t>子系统名</t>
    <rPh sb="0" eb="4">
      <t>メイ</t>
    </rPh>
    <phoneticPr fontId="3"/>
  </si>
  <si>
    <t>項目名（逻辑名）</t>
    <rPh sb="3" eb="5">
      <t>コウモク</t>
    </rPh>
    <rPh sb="5" eb="6">
      <t>メイ</t>
    </rPh>
    <phoneticPr fontId="3"/>
  </si>
  <si>
    <t>英字名（物理名）</t>
    <rPh sb="0" eb="2">
      <t>エイジ</t>
    </rPh>
    <rPh sb="2" eb="3">
      <t>メイ</t>
    </rPh>
    <phoneticPr fontId="3"/>
  </si>
  <si>
    <t>类型</t>
    <rPh sb="0" eb="2">
      <t>ガタ</t>
    </rPh>
    <phoneticPr fontId="3"/>
  </si>
  <si>
    <t>全体
位数</t>
    <rPh sb="0" eb="2">
      <t>ゼンタイ</t>
    </rPh>
    <rPh sb="3" eb="5">
      <t>ケタスウ</t>
    </rPh>
    <phoneticPr fontId="3"/>
  </si>
  <si>
    <t>小数位数</t>
    <rPh sb="0" eb="2">
      <t>ショウスウケタスウ</t>
    </rPh>
    <phoneticPr fontId="3"/>
  </si>
  <si>
    <t>备注说明</t>
    <rPh sb="0" eb="2">
      <t>ビコウ</t>
    </rPh>
    <phoneticPr fontId="3"/>
  </si>
  <si>
    <t>CODE定义书No.</t>
    <rPh sb="3" eb="5">
      <t>テイギ</t>
    </rPh>
    <rPh sb="5" eb="6">
      <t>ショ</t>
    </rPh>
    <phoneticPr fontId="3"/>
  </si>
  <si>
    <t>varchar</t>
  </si>
  <si>
    <t>datetime</t>
  </si>
  <si>
    <t>○</t>
    <phoneticPr fontId="3"/>
  </si>
  <si>
    <t>PK</t>
    <phoneticPr fontId="3"/>
  </si>
  <si>
    <t>包名：</t>
    <phoneticPr fontId="3"/>
  </si>
  <si>
    <r>
      <t>N</t>
    </r>
    <r>
      <rPr>
        <sz val="11"/>
        <color theme="1"/>
        <rFont val="宋体"/>
        <family val="3"/>
        <charset val="134"/>
        <scheme val="minor"/>
      </rPr>
      <t>o.</t>
    </r>
    <phoneticPr fontId="3"/>
  </si>
  <si>
    <r>
      <t>N</t>
    </r>
    <r>
      <rPr>
        <sz val="11"/>
        <color theme="1"/>
        <rFont val="宋体"/>
        <family val="3"/>
        <charset val="134"/>
        <scheme val="minor"/>
      </rPr>
      <t>ot
Null</t>
    </r>
    <phoneticPr fontId="3"/>
  </si>
  <si>
    <r>
      <t>com.api</t>
    </r>
    <r>
      <rPr>
        <sz val="12"/>
        <rFont val="宋体"/>
        <family val="3"/>
        <charset val="134"/>
        <scheme val="minor"/>
      </rPr>
      <t>h5</t>
    </r>
    <r>
      <rPr>
        <sz val="12"/>
        <rFont val="宋体"/>
        <family val="3"/>
        <charset val="134"/>
        <scheme val="minor"/>
      </rPr>
      <t>.mybatis</t>
    </r>
    <phoneticPr fontId="1" type="noConversion"/>
  </si>
  <si>
    <t>主键ID</t>
    <phoneticPr fontId="1" type="noConversion"/>
  </si>
  <si>
    <t>一公局升级</t>
    <phoneticPr fontId="1" type="noConversion"/>
  </si>
  <si>
    <t>合同管理</t>
    <phoneticPr fontId="1" type="noConversion"/>
  </si>
  <si>
    <t>orgName</t>
  </si>
  <si>
    <t>orgID</t>
  </si>
  <si>
    <t>remark</t>
  </si>
  <si>
    <t>editTime</t>
  </si>
  <si>
    <t>ID</t>
  </si>
  <si>
    <t>firstName</t>
  </si>
  <si>
    <t>secondID</t>
  </si>
  <si>
    <t>pp7</t>
  </si>
  <si>
    <t>flowEndDate</t>
  </si>
  <si>
    <t>pp1</t>
  </si>
  <si>
    <t>pp8</t>
  </si>
  <si>
    <t>pp6</t>
  </si>
  <si>
    <t>contractName</t>
  </si>
  <si>
    <t>contractNo</t>
  </si>
  <si>
    <t>combProp</t>
  </si>
  <si>
    <t>contractType</t>
  </si>
  <si>
    <t>comID</t>
  </si>
  <si>
    <t>pp4</t>
  </si>
  <si>
    <t>pp5</t>
  </si>
  <si>
    <t>contractCost</t>
  </si>
  <si>
    <t>content</t>
  </si>
  <si>
    <t>竣工日期</t>
  </si>
  <si>
    <t>备注</t>
  </si>
  <si>
    <t>发起人</t>
  </si>
  <si>
    <t>甲方名称</t>
  </si>
  <si>
    <t>乙方ID</t>
  </si>
  <si>
    <t>合同名称</t>
  </si>
  <si>
    <t>合同编号</t>
  </si>
  <si>
    <t>合同类型</t>
  </si>
  <si>
    <t>code</t>
    <phoneticPr fontId="1" type="noConversion"/>
  </si>
  <si>
    <r>
      <t>n</t>
    </r>
    <r>
      <rPr>
        <sz val="12"/>
        <color theme="1"/>
        <rFont val="宋体"/>
        <family val="3"/>
        <charset val="134"/>
        <scheme val="minor"/>
      </rPr>
      <t>ame</t>
    </r>
    <phoneticPr fontId="1" type="noConversion"/>
  </si>
  <si>
    <t>[iecm_AttribDict]表内容复制到里面</t>
    <phoneticPr fontId="1" type="noConversion"/>
  </si>
  <si>
    <t>firstID</t>
  </si>
  <si>
    <t>secondName</t>
  </si>
  <si>
    <t>startDate</t>
  </si>
  <si>
    <t>endDate</t>
  </si>
  <si>
    <t>csTimeLimit</t>
  </si>
  <si>
    <t>agent</t>
  </si>
  <si>
    <t>beginPer</t>
  </si>
  <si>
    <t>status</t>
  </si>
  <si>
    <t>pp2</t>
  </si>
  <si>
    <t>pp3</t>
  </si>
  <si>
    <t>pp9</t>
  </si>
  <si>
    <t>pp10</t>
  </si>
  <si>
    <t>instProcessId</t>
  </si>
  <si>
    <t>workitemID</t>
  </si>
  <si>
    <t>code</t>
  </si>
  <si>
    <t>code1</t>
  </si>
  <si>
    <t>code2</t>
  </si>
  <si>
    <t>code3</t>
  </si>
  <si>
    <t>code4</t>
  </si>
  <si>
    <t>code5</t>
  </si>
  <si>
    <t>code6</t>
  </si>
  <si>
    <t>code7</t>
  </si>
  <si>
    <t>code8</t>
  </si>
  <si>
    <t>codeP1</t>
  </si>
  <si>
    <t>code2T3</t>
  </si>
  <si>
    <t>alterContractSum</t>
  </si>
  <si>
    <t>isFlag</t>
  </si>
  <si>
    <t>isReport</t>
  </si>
  <si>
    <t>appInsHistID</t>
  </si>
  <si>
    <t>sendToJuID</t>
  </si>
  <si>
    <t>materialSource</t>
  </si>
  <si>
    <t>upAlterContractSum</t>
  </si>
  <si>
    <t>legalPerson</t>
  </si>
  <si>
    <t>agentPerson</t>
  </si>
  <si>
    <t>chargePerson</t>
  </si>
  <si>
    <t>isFlagZhb</t>
  </si>
  <si>
    <t>isReportZhb</t>
  </si>
  <si>
    <t>sendToZhbID</t>
  </si>
  <si>
    <t>appInsHistIDZhb</t>
  </si>
  <si>
    <t>contractCostNoTax</t>
  </si>
  <si>
    <t>taxRate</t>
  </si>
  <si>
    <t>alterContractSumNoTax</t>
  </si>
  <si>
    <t>alterContractSumTax</t>
  </si>
  <si>
    <t>pp4NoTax</t>
  </si>
  <si>
    <t>pp4Tax</t>
  </si>
  <si>
    <t>isDeduct</t>
  </si>
  <si>
    <t>fromContractID</t>
  </si>
  <si>
    <t>fromContractNo</t>
  </si>
  <si>
    <t>fromContractName</t>
  </si>
  <si>
    <t>contractCostTax</t>
  </si>
  <si>
    <t>wtrName</t>
  </si>
  <si>
    <t>wtrPhone</t>
  </si>
  <si>
    <t>referenceName</t>
  </si>
  <si>
    <t>referencePost</t>
  </si>
  <si>
    <t>referencePhone</t>
  </si>
  <si>
    <t>upAlterContractSumNoTax</t>
  </si>
  <si>
    <t>upAlterContractSumTax</t>
  </si>
  <si>
    <t>fiId</t>
  </si>
  <si>
    <t>actDepartment</t>
  </si>
  <si>
    <t>actDepartmentBM</t>
  </si>
  <si>
    <t>actDepartmentID</t>
  </si>
  <si>
    <t>biddersId</t>
  </si>
  <si>
    <t>biddersCode</t>
  </si>
  <si>
    <t>biddersName</t>
  </si>
  <si>
    <t>accountUnitId</t>
  </si>
  <si>
    <t>accountUnitCode</t>
  </si>
  <si>
    <t>accountUnitName</t>
  </si>
  <si>
    <t>accountProjId</t>
  </si>
  <si>
    <t>accountProjCode</t>
  </si>
  <si>
    <t>accountProjName</t>
  </si>
  <si>
    <t>projSite</t>
  </si>
  <si>
    <t>busiSegments</t>
  </si>
  <si>
    <t>projFundsSource</t>
  </si>
  <si>
    <t>division</t>
  </si>
  <si>
    <t>taxFilingCode</t>
  </si>
  <si>
    <t>taxCountWay</t>
  </si>
  <si>
    <t>taxAdvanceRate</t>
  </si>
  <si>
    <t>taxUseWay</t>
  </si>
  <si>
    <t>prepaidLand</t>
  </si>
  <si>
    <t>nationalTax</t>
  </si>
  <si>
    <t>nationalTaxTel</t>
  </si>
  <si>
    <t>nationalTaxAdds</t>
  </si>
  <si>
    <t>projDepAdds</t>
  </si>
  <si>
    <t>projDepZipCode</t>
  </si>
  <si>
    <t>projDepTel</t>
  </si>
  <si>
    <t>projDepFax</t>
  </si>
  <si>
    <t>projStage</t>
  </si>
  <si>
    <t>pmFixedLine</t>
  </si>
  <si>
    <t>pmMail</t>
  </si>
  <si>
    <t>fiCharge</t>
  </si>
  <si>
    <t>fiTel</t>
  </si>
  <si>
    <t>fiFixedLine</t>
  </si>
  <si>
    <t>fiMail</t>
  </si>
  <si>
    <t>ctrCharge</t>
  </si>
  <si>
    <t>ctrTel</t>
  </si>
  <si>
    <t>ctrFixedLine</t>
  </si>
  <si>
    <t>ctrMail</t>
  </si>
  <si>
    <t>dcLeader</t>
  </si>
  <si>
    <t>dcTel</t>
  </si>
  <si>
    <t>dcFixedLine</t>
  </si>
  <si>
    <t>dcMail</t>
  </si>
  <si>
    <t>createTime</t>
  </si>
  <si>
    <t>doubleCheckDate</t>
  </si>
  <si>
    <t>writeDate</t>
  </si>
  <si>
    <t>accountDepId</t>
  </si>
  <si>
    <t>accountDepCode</t>
  </si>
  <si>
    <t>accountDepName</t>
  </si>
  <si>
    <t>secondIDCode</t>
  </si>
  <si>
    <t>writer</t>
  </si>
  <si>
    <t>systemNo</t>
  </si>
  <si>
    <t>currencyCode</t>
  </si>
  <si>
    <t>ctrNature</t>
  </si>
  <si>
    <t>ctrUpdateState</t>
  </si>
  <si>
    <t>fiCtrState</t>
  </si>
  <si>
    <t>revenueDir</t>
  </si>
  <si>
    <t>invoiceType</t>
  </si>
  <si>
    <t>staCtr</t>
  </si>
  <si>
    <t>keyCtr</t>
  </si>
  <si>
    <t>notDisplay</t>
  </si>
  <si>
    <t>doubleCheckPerson</t>
  </si>
  <si>
    <t>secondIDCodeBh</t>
  </si>
  <si>
    <t>auditWorkitemID</t>
  </si>
  <si>
    <t>auditSys</t>
  </si>
  <si>
    <t>secondIDCodeName</t>
  </si>
  <si>
    <t>secondOrgType</t>
  </si>
  <si>
    <t>firstOAorgID</t>
  </si>
  <si>
    <t>isBiddedOnCloud</t>
  </si>
  <si>
    <t>bidType</t>
  </si>
  <si>
    <t>cloudBidNo</t>
  </si>
  <si>
    <t>bidOrgType</t>
  </si>
  <si>
    <t>isAllDepartJoin</t>
  </si>
  <si>
    <t>joinType</t>
  </si>
  <si>
    <t>isDepartJoinBid</t>
  </si>
  <si>
    <t>contractDepart</t>
  </si>
  <si>
    <t>packageNo</t>
  </si>
  <si>
    <t>cloudEcoID</t>
  </si>
  <si>
    <t>investContractNo</t>
  </si>
  <si>
    <t>resCategoryID</t>
  </si>
  <si>
    <t>resCategoryName</t>
  </si>
  <si>
    <t>numeric</t>
  </si>
  <si>
    <t>char</t>
  </si>
  <si>
    <t>合同类别</t>
  </si>
  <si>
    <t>合同编码</t>
  </si>
  <si>
    <t>机构编码</t>
  </si>
  <si>
    <t>承建单位简称</t>
  </si>
  <si>
    <t>中标单位简称</t>
  </si>
  <si>
    <t>项目所在省份简称</t>
  </si>
  <si>
    <t>项目简称</t>
  </si>
  <si>
    <t>标段号</t>
  </si>
  <si>
    <t>合同序号</t>
  </si>
  <si>
    <t>财务系统ID</t>
  </si>
  <si>
    <t>流程实例ID</t>
  </si>
  <si>
    <t>业主合同编码</t>
  </si>
  <si>
    <t>同一公司</t>
  </si>
  <si>
    <t>现场负责人</t>
  </si>
  <si>
    <t>委托代理人</t>
  </si>
  <si>
    <t>法定代表人</t>
  </si>
  <si>
    <t>协作单位类型</t>
  </si>
  <si>
    <t>上期末变更后金额</t>
  </si>
  <si>
    <t>上期末变更后金额不含税</t>
  </si>
  <si>
    <t>上期末变更后税额</t>
  </si>
  <si>
    <t>公文任务ID</t>
  </si>
  <si>
    <t>授权委托人姓名</t>
  </si>
  <si>
    <t>授权委托人身份证号</t>
  </si>
  <si>
    <t>推荐人姓名</t>
  </si>
  <si>
    <t>推荐人职务</t>
  </si>
  <si>
    <t>推荐人电话</t>
  </si>
  <si>
    <t>核算单位ID</t>
  </si>
  <si>
    <t>核算单位编号</t>
  </si>
  <si>
    <t>核算单位</t>
  </si>
  <si>
    <t>核算部门id</t>
  </si>
  <si>
    <t>核算部门编号</t>
  </si>
  <si>
    <t>核算部门</t>
  </si>
  <si>
    <t>往来单位编号</t>
  </si>
  <si>
    <t>录入人</t>
  </si>
  <si>
    <t>录入日期</t>
  </si>
  <si>
    <t>财务合同状态</t>
  </si>
  <si>
    <t>系统编号</t>
  </si>
  <si>
    <t>币种编号</t>
  </si>
  <si>
    <t>合同性质</t>
  </si>
  <si>
    <t>复核日期</t>
  </si>
  <si>
    <t>复核人</t>
  </si>
  <si>
    <t>收支方向</t>
  </si>
  <si>
    <t>发票类型</t>
  </si>
  <si>
    <t>制式合同</t>
  </si>
  <si>
    <t>重点合同</t>
  </si>
  <si>
    <t>合同更新状态</t>
  </si>
  <si>
    <t>合同签定人</t>
  </si>
  <si>
    <t>不含税合同金额(万元)</t>
  </si>
  <si>
    <t>合同税额(万元)</t>
  </si>
  <si>
    <t>税率(%)</t>
  </si>
  <si>
    <t>是否抵扣</t>
  </si>
  <si>
    <t>发送局判断ID</t>
  </si>
  <si>
    <t>合同内容</t>
  </si>
  <si>
    <t>包件ID</t>
  </si>
  <si>
    <t>甲方ID</t>
  </si>
  <si>
    <t>管理机构</t>
  </si>
  <si>
    <t>乙方名称</t>
  </si>
  <si>
    <t>是否通过云电商进行招标</t>
  </si>
  <si>
    <t>招标方式</t>
  </si>
  <si>
    <t>云电商招标方案编号</t>
  </si>
  <si>
    <t>组织招标主体</t>
  </si>
  <si>
    <t>各单位主管部门是否参与</t>
  </si>
  <si>
    <t>参与方式</t>
  </si>
  <si>
    <t>各单位主管部门是否参与评标</t>
  </si>
  <si>
    <t>合同所属事业部</t>
  </si>
  <si>
    <t>往来单位名称</t>
  </si>
  <si>
    <t>评审状态</t>
  </si>
  <si>
    <t>发送局指判断ID</t>
  </si>
  <si>
    <t>包件编号</t>
  </si>
  <si>
    <t>是否局审批</t>
  </si>
  <si>
    <t>是否局指审批</t>
  </si>
  <si>
    <t>含税合同金额(万元)</t>
  </si>
  <si>
    <t>开工日期</t>
  </si>
  <si>
    <t>清单</t>
  </si>
  <si>
    <t>合同工期</t>
  </si>
  <si>
    <t>parentID</t>
  </si>
  <si>
    <t>treeNode</t>
  </si>
  <si>
    <t>contrApplyID</t>
  </si>
  <si>
    <t>workType</t>
  </si>
  <si>
    <t>workNo</t>
  </si>
  <si>
    <t>workName</t>
  </si>
  <si>
    <t>unit</t>
  </si>
  <si>
    <t>contractPrice</t>
  </si>
  <si>
    <t>price</t>
  </si>
  <si>
    <t>deleted</t>
  </si>
  <si>
    <t>isLeaf</t>
  </si>
  <si>
    <t>exsitStatus</t>
  </si>
  <si>
    <t>isAssignable</t>
  </si>
  <si>
    <t>updateFlag</t>
  </si>
  <si>
    <t>checkQty</t>
  </si>
  <si>
    <t>expectChangeQty</t>
  </si>
  <si>
    <t>expectChangePrice</t>
  </si>
  <si>
    <t>inputWorkType</t>
  </si>
  <si>
    <t>isReCountAmt</t>
  </si>
  <si>
    <t>qty</t>
  </si>
  <si>
    <t>isGroup</t>
  </si>
  <si>
    <t>requestEdit</t>
  </si>
  <si>
    <t>editUserID</t>
  </si>
  <si>
    <t>editUserName</t>
  </si>
  <si>
    <t>editDate</t>
  </si>
  <si>
    <t>priceNoTax</t>
  </si>
  <si>
    <t>ruleID</t>
  </si>
  <si>
    <t>ruleName</t>
  </si>
  <si>
    <t>int</t>
  </si>
  <si>
    <t>分包合同标准工序库</t>
    <phoneticPr fontId="1" type="noConversion"/>
  </si>
  <si>
    <t>processNo</t>
  </si>
  <si>
    <t>processName</t>
  </si>
  <si>
    <t>processUnit</t>
  </si>
  <si>
    <t>comName</t>
  </si>
  <si>
    <t>baseType</t>
  </si>
  <si>
    <t>施工内容</t>
  </si>
  <si>
    <t>单位</t>
  </si>
  <si>
    <t>主键</t>
  </si>
  <si>
    <t>applyWorkID</t>
  </si>
  <si>
    <t>contractID</t>
  </si>
  <si>
    <t>processID</t>
  </si>
  <si>
    <t>workID</t>
  </si>
  <si>
    <t>workUnit</t>
  </si>
  <si>
    <t>bhPriceNoTax</t>
  </si>
  <si>
    <t>yzPriceNoTax</t>
  </si>
  <si>
    <t>dbPrice</t>
  </si>
  <si>
    <t>amt1</t>
  </si>
  <si>
    <t>amt2</t>
  </si>
  <si>
    <t>amt3</t>
  </si>
  <si>
    <t>amt4</t>
  </si>
  <si>
    <t>amt5</t>
  </si>
  <si>
    <t>amt6</t>
  </si>
  <si>
    <t>item</t>
  </si>
  <si>
    <t>业主清单单价</t>
  </si>
  <si>
    <t>不含税单价</t>
  </si>
  <si>
    <t>不含税标后预算单价/限价</t>
  </si>
  <si>
    <t>对比(标后预算/限价-不含税合价)</t>
  </si>
  <si>
    <t>主材</t>
  </si>
  <si>
    <t>管理费</t>
  </si>
  <si>
    <t>利润</t>
  </si>
  <si>
    <t>人工费</t>
  </si>
  <si>
    <t>周转材料</t>
  </si>
  <si>
    <t>机械设备</t>
  </si>
  <si>
    <t>清单编号</t>
  </si>
  <si>
    <t>清单名称</t>
  </si>
  <si>
    <t>从表</t>
  </si>
  <si>
    <t>合同单价分析明细表</t>
    <phoneticPr fontId="1" type="noConversion"/>
  </si>
  <si>
    <t>mainID</t>
  </si>
  <si>
    <t>rgf</t>
  </si>
  <si>
    <t>jxsb</t>
  </si>
  <si>
    <t>zzcl</t>
  </si>
  <si>
    <t>单价</t>
  </si>
  <si>
    <t>工序编码</t>
  </si>
  <si>
    <t>标准工序名称</t>
  </si>
  <si>
    <t>最后编辑时间</t>
  </si>
  <si>
    <t>isOfficial</t>
  </si>
  <si>
    <t>contractViewType</t>
  </si>
  <si>
    <t>contractSort</t>
  </si>
  <si>
    <t>subject</t>
  </si>
  <si>
    <t>firstId</t>
  </si>
  <si>
    <t>firstPrincipal</t>
  </si>
  <si>
    <t>firstPrincipalIDCard</t>
  </si>
  <si>
    <t>firstUnitTel</t>
  </si>
  <si>
    <t>secondPrincipal</t>
  </si>
  <si>
    <t>secondPrincipalIDCard</t>
  </si>
  <si>
    <t>secondUnitTel</t>
  </si>
  <si>
    <t>thirdName</t>
  </si>
  <si>
    <t>payType</t>
  </si>
  <si>
    <t>locationInDepr</t>
  </si>
  <si>
    <t>locationInDeprId</t>
  </si>
  <si>
    <t>registerDate</t>
  </si>
  <si>
    <t>bidDate</t>
  </si>
  <si>
    <t>signatureDate</t>
  </si>
  <si>
    <t>planStartDate</t>
  </si>
  <si>
    <t>actualStartDate</t>
  </si>
  <si>
    <t>planEndDate</t>
  </si>
  <si>
    <t>actualEndDate</t>
  </si>
  <si>
    <t>consultative</t>
  </si>
  <si>
    <t>consultativeTel</t>
  </si>
  <si>
    <t>ownerLinkTel</t>
  </si>
  <si>
    <t>projectManager</t>
  </si>
  <si>
    <t>projectManagerTel</t>
  </si>
  <si>
    <t>projectChiefName</t>
  </si>
  <si>
    <t>projectChiefTel</t>
  </si>
  <si>
    <t>hasDetail</t>
  </si>
  <si>
    <t>contractStatus</t>
  </si>
  <si>
    <t>projectNo</t>
  </si>
  <si>
    <t>projectName</t>
  </si>
  <si>
    <t>shortName</t>
  </si>
  <si>
    <t>ventureGuaranty</t>
  </si>
  <si>
    <t>innerContractSum</t>
  </si>
  <si>
    <t>faxRate</t>
  </si>
  <si>
    <t>manageRate</t>
  </si>
  <si>
    <t>quanlityFeeRate</t>
  </si>
  <si>
    <t>goodsSum</t>
  </si>
  <si>
    <t>paymentAssumpsit</t>
  </si>
  <si>
    <t>transferAssumpsit</t>
  </si>
  <si>
    <t>otherAssumpsit</t>
  </si>
  <si>
    <t>manageIndex</t>
  </si>
  <si>
    <t>implementUnit</t>
  </si>
  <si>
    <t>designUnit</t>
  </si>
  <si>
    <t>transactor</t>
  </si>
  <si>
    <t>nominated</t>
  </si>
  <si>
    <t>auditStatus</t>
  </si>
  <si>
    <t>firstAddr</t>
  </si>
  <si>
    <t>designPhone</t>
  </si>
  <si>
    <t>contractMoney</t>
  </si>
  <si>
    <t>designAddr</t>
  </si>
  <si>
    <t>consultativeAddr</t>
  </si>
  <si>
    <t>fromApplyID</t>
  </si>
  <si>
    <t>flowBeginDate</t>
  </si>
  <si>
    <t>qualityBailRate</t>
  </si>
  <si>
    <t>prodSafeBailRate</t>
  </si>
  <si>
    <t>payBailRate</t>
  </si>
  <si>
    <t>realBeginDate</t>
  </si>
  <si>
    <t>realEndDate</t>
  </si>
  <si>
    <t>isJuProj</t>
  </si>
  <si>
    <t>juProjID</t>
  </si>
  <si>
    <t>juProjName</t>
  </si>
  <si>
    <t>stockAudit</t>
  </si>
  <si>
    <t>rentType</t>
  </si>
  <si>
    <t>settleType</t>
  </si>
  <si>
    <t>contrStatus</t>
  </si>
  <si>
    <t>subArea</t>
  </si>
  <si>
    <t>isEasyTax</t>
  </si>
  <si>
    <t>projectProperty</t>
  </si>
  <si>
    <t>cityName</t>
  </si>
  <si>
    <t>finalDate</t>
  </si>
  <si>
    <t>bidStatus</t>
  </si>
  <si>
    <t>premiumExpDate</t>
  </si>
  <si>
    <t>cushionExpDate</t>
  </si>
  <si>
    <t>advanceRate</t>
  </si>
  <si>
    <t>progressRate</t>
  </si>
  <si>
    <t>completionRate</t>
  </si>
  <si>
    <t>firstIdBh</t>
  </si>
  <si>
    <t>firstIdSh</t>
  </si>
  <si>
    <t>settleTotalAmt</t>
  </si>
  <si>
    <t>zjxmhtb_nm</t>
  </si>
  <si>
    <t>zjxmhtb_bh</t>
  </si>
  <si>
    <t>ZJGCXM_NM</t>
  </si>
  <si>
    <t>ZJGCXM_XMBH</t>
  </si>
  <si>
    <t>ZJGCXM_XMMC</t>
  </si>
  <si>
    <t>zjxmhtb_mc</t>
  </si>
  <si>
    <t>isRela</t>
  </si>
  <si>
    <t>contractCodeID</t>
  </si>
  <si>
    <t>firstIdFormula</t>
  </si>
  <si>
    <t>secondIDFormula</t>
  </si>
  <si>
    <t>locationInDeprFormula</t>
  </si>
  <si>
    <t>area</t>
  </si>
  <si>
    <t>country</t>
  </si>
  <si>
    <t>projType</t>
  </si>
  <si>
    <t>projFea</t>
  </si>
  <si>
    <t>workBookStatusP1</t>
  </si>
  <si>
    <t>workBookStatusP2</t>
  </si>
  <si>
    <t>auditContrAlterCount</t>
  </si>
  <si>
    <t>codeUsing</t>
  </si>
  <si>
    <t>stockSettleUseCount</t>
  </si>
  <si>
    <t>equipSettleUseCount</t>
  </si>
  <si>
    <t>zcgsEquipSettleUseCount</t>
  </si>
  <si>
    <t>projectSettleUseCount</t>
  </si>
  <si>
    <t>bizDep</t>
  </si>
  <si>
    <t>isSettle</t>
  </si>
  <si>
    <t>isJuSend</t>
  </si>
  <si>
    <t>projSize</t>
  </si>
  <si>
    <t>comment</t>
  </si>
  <si>
    <t>audit</t>
  </si>
  <si>
    <t>contractIndex</t>
  </si>
  <si>
    <t>rateitem</t>
  </si>
  <si>
    <t>firstSettleUseCount</t>
  </si>
  <si>
    <t>firstOrgID</t>
  </si>
  <si>
    <t>合同状态</t>
  </si>
  <si>
    <t>乙方代表身份证</t>
  </si>
  <si>
    <t>合同竣工日期</t>
  </si>
  <si>
    <t>质保费率</t>
  </si>
  <si>
    <t>项目编号</t>
  </si>
  <si>
    <t>项目全称</t>
  </si>
  <si>
    <t>中标日期</t>
  </si>
  <si>
    <t>所属处部ID</t>
  </si>
  <si>
    <t>签订日期</t>
  </si>
  <si>
    <t>含税合同总价(万元)</t>
  </si>
  <si>
    <t>合同工期(天)</t>
  </si>
  <si>
    <t>合同甲方</t>
  </si>
  <si>
    <t>项目经理</t>
  </si>
  <si>
    <t>乙方代表</t>
  </si>
  <si>
    <t>甲方代表身份证</t>
  </si>
  <si>
    <t>甲方联系电话</t>
  </si>
  <si>
    <t>乙方(固话)</t>
  </si>
  <si>
    <t>合同开工日期</t>
  </si>
  <si>
    <t>实际开始时间</t>
  </si>
  <si>
    <t>实际结束时间</t>
  </si>
  <si>
    <t>税率</t>
  </si>
  <si>
    <t>监理单位</t>
  </si>
  <si>
    <t>工程规模</t>
  </si>
  <si>
    <t>监理单位电话</t>
  </si>
  <si>
    <t>项目总工姓名</t>
  </si>
  <si>
    <t>项目经理电话</t>
  </si>
  <si>
    <t>项目总工电话</t>
  </si>
  <si>
    <t>乙方性质</t>
  </si>
  <si>
    <t>合同录入类型</t>
  </si>
  <si>
    <t>供货总额</t>
  </si>
  <si>
    <t>是否有标的</t>
  </si>
  <si>
    <t>主键ID</t>
  </si>
  <si>
    <t>内部承包总价(万元)</t>
  </si>
  <si>
    <t>经营指标</t>
  </si>
  <si>
    <t>管理费率</t>
  </si>
  <si>
    <t>其他条款</t>
  </si>
  <si>
    <t>业主联系电话</t>
  </si>
  <si>
    <t>付款约定</t>
  </si>
  <si>
    <t>收付类型</t>
  </si>
  <si>
    <t>登记日期</t>
  </si>
  <si>
    <t>摘要</t>
  </si>
  <si>
    <t>丙方</t>
  </si>
  <si>
    <t>装运方式约定</t>
  </si>
  <si>
    <t>风险抵押金</t>
  </si>
  <si>
    <t>业主合同功能码</t>
  </si>
  <si>
    <t>乙方(手机)</t>
  </si>
  <si>
    <t>乙方(传真)</t>
  </si>
  <si>
    <t>累计结算金额</t>
  </si>
  <si>
    <t>累计支付金额</t>
  </si>
  <si>
    <t>所属项目</t>
  </si>
  <si>
    <t>所属项目ID</t>
  </si>
  <si>
    <t>不含税合同总价(万元)</t>
  </si>
  <si>
    <t>变更后不含税合同金额(万元)</t>
  </si>
  <si>
    <t>变更后合同税额(万元)</t>
  </si>
  <si>
    <t>合同评审ID</t>
  </si>
  <si>
    <t>结算情况</t>
  </si>
  <si>
    <t>保证金比例明细</t>
  </si>
  <si>
    <t>物资结算引用数</t>
  </si>
  <si>
    <t>机械及其他结算引用</t>
  </si>
  <si>
    <t>工程结算引用数</t>
  </si>
  <si>
    <t>一期结算引用数</t>
  </si>
  <si>
    <t>变更后含税合同金额(万元)</t>
  </si>
  <si>
    <t>质量保证金扣除比例（%）</t>
  </si>
  <si>
    <t>安全生产保证金扣除比例（%）</t>
  </si>
  <si>
    <t>农民工工资偿付保证金扣除比例（%）</t>
  </si>
  <si>
    <t>合同码ID</t>
  </si>
  <si>
    <t>甲方</t>
  </si>
  <si>
    <t>合同乙方</t>
  </si>
  <si>
    <t>清单是否审核</t>
  </si>
  <si>
    <t>物资来源</t>
  </si>
  <si>
    <t>reporter</t>
  </si>
  <si>
    <t>reportDate</t>
  </si>
  <si>
    <t>auditor</t>
  </si>
  <si>
    <t>auditDate</t>
  </si>
  <si>
    <t>systemType</t>
  </si>
  <si>
    <t>detail</t>
  </si>
  <si>
    <t>编制人</t>
  </si>
  <si>
    <t>项目名称</t>
  </si>
  <si>
    <t>明细</t>
  </si>
  <si>
    <t>审核日期</t>
  </si>
  <si>
    <t>编制日期</t>
  </si>
  <si>
    <t>审核人</t>
  </si>
  <si>
    <t>workBookID</t>
  </si>
  <si>
    <t>变更后数量</t>
  </si>
  <si>
    <t>清单ID</t>
  </si>
  <si>
    <t>是否叶子节点</t>
  </si>
  <si>
    <t>变更后单价</t>
  </si>
  <si>
    <t>alterType</t>
  </si>
  <si>
    <t>变更类型</t>
  </si>
  <si>
    <t>机构ID</t>
  </si>
  <si>
    <t>变更后金额</t>
  </si>
  <si>
    <t>补充协议编号</t>
  </si>
  <si>
    <t>补充协议名称</t>
  </si>
  <si>
    <t>本期不含税增减金额(万元)</t>
  </si>
  <si>
    <t>本期增减税额(万元)</t>
  </si>
  <si>
    <t>上期末变更后合同金额</t>
  </si>
  <si>
    <t>变更后含税金额</t>
  </si>
  <si>
    <t>变更后不含税金额</t>
  </si>
  <si>
    <t>变更后税额</t>
  </si>
  <si>
    <t>coBookID</t>
  </si>
  <si>
    <t>alterLevel</t>
  </si>
  <si>
    <t>proposer</t>
  </si>
  <si>
    <t>alterContent</t>
  </si>
  <si>
    <t>alterReason</t>
  </si>
  <si>
    <t>happenDate</t>
  </si>
  <si>
    <t>applyAmount</t>
  </si>
  <si>
    <t>applyDate</t>
  </si>
  <si>
    <t>applyNo</t>
  </si>
  <si>
    <t>applyDelay</t>
  </si>
  <si>
    <t>replyAmount</t>
  </si>
  <si>
    <t>replyDate</t>
  </si>
  <si>
    <t>replyNo</t>
  </si>
  <si>
    <t>replyDelay</t>
  </si>
  <si>
    <t>replyStatus</t>
  </si>
  <si>
    <t>recorder</t>
  </si>
  <si>
    <t>recordDate</t>
  </si>
  <si>
    <t>takeEffectDate</t>
  </si>
  <si>
    <t>takeEffectMan</t>
  </si>
  <si>
    <t>applyAmountNoTax</t>
  </si>
  <si>
    <t>applyAmountTax</t>
  </si>
  <si>
    <t>replyAmountNoTax</t>
  </si>
  <si>
    <t>replyAmountTax</t>
  </si>
  <si>
    <t>pp2NoTax</t>
  </si>
  <si>
    <t>pp2Tax</t>
  </si>
  <si>
    <t>totalApplyAmt</t>
  </si>
  <si>
    <t>contractNoFormula</t>
  </si>
  <si>
    <t>viewType</t>
  </si>
  <si>
    <t>companyHelp</t>
  </si>
  <si>
    <t>claimPeriod</t>
  </si>
  <si>
    <t>contractNameFormula</t>
  </si>
  <si>
    <t>totalApplyAmtNoTax</t>
  </si>
  <si>
    <t>totalApplyAmtTax</t>
  </si>
  <si>
    <t>截止本期前累计变更金额</t>
  </si>
  <si>
    <t>申报文号</t>
  </si>
  <si>
    <t>协作清单书ID</t>
  </si>
  <si>
    <t>合同ID</t>
  </si>
  <si>
    <t>系统分类</t>
  </si>
  <si>
    <t>界面显示类型</t>
  </si>
  <si>
    <t>变更等级</t>
  </si>
  <si>
    <t>变更内容</t>
  </si>
  <si>
    <t>变更原因</t>
  </si>
  <si>
    <t>发生时间</t>
  </si>
  <si>
    <t>本期补充协议变更增减金额(万元)</t>
  </si>
  <si>
    <t>申报日期</t>
  </si>
  <si>
    <t>申报延期天数</t>
  </si>
  <si>
    <t>变更后合同金额(万元)</t>
  </si>
  <si>
    <t>日期</t>
  </si>
  <si>
    <t>补充协议书编号</t>
  </si>
  <si>
    <t>批复延期天数</t>
  </si>
  <si>
    <t>批复状态</t>
  </si>
  <si>
    <t>需要公司协助</t>
  </si>
  <si>
    <t>生效操作日期</t>
  </si>
  <si>
    <t>生效操作人</t>
  </si>
  <si>
    <t>审核状态</t>
  </si>
  <si>
    <t>索赔工期</t>
  </si>
  <si>
    <t>记录人</t>
  </si>
  <si>
    <t>记录日期</t>
  </si>
  <si>
    <t>原不含税合同金额(万元)</t>
  </si>
  <si>
    <t>原合同税额(万元)</t>
  </si>
  <si>
    <t>(IP的合同ID)</t>
  </si>
  <si>
    <t>原合同名称</t>
  </si>
  <si>
    <t>原含税合同金额(万元)</t>
  </si>
  <si>
    <t>批复单位</t>
  </si>
  <si>
    <t>截止本期前累计金额</t>
  </si>
  <si>
    <t>截止本期前累计税额</t>
  </si>
  <si>
    <t>评审ID</t>
  </si>
  <si>
    <t>本期不含税变更增减金额(万元)</t>
  </si>
  <si>
    <t>本期变更增减税额(万元)</t>
  </si>
  <si>
    <t>截止本期前累计变更税额</t>
  </si>
  <si>
    <t>alterID</t>
  </si>
  <si>
    <t>muID</t>
  </si>
  <si>
    <t>originQty</t>
  </si>
  <si>
    <t>originPrice</t>
  </si>
  <si>
    <t>applyQty</t>
  </si>
  <si>
    <t>applyPrice</t>
  </si>
  <si>
    <t>applyAddQty</t>
  </si>
  <si>
    <t>replyQty</t>
  </si>
  <si>
    <t>replyPrice</t>
  </si>
  <si>
    <t>replyAddQty</t>
  </si>
  <si>
    <t>changeQty</t>
  </si>
  <si>
    <t>changePrice</t>
  </si>
  <si>
    <t>afterChangeQty</t>
  </si>
  <si>
    <t>afterChangePrice</t>
  </si>
  <si>
    <t>originPriceNoTax</t>
  </si>
  <si>
    <t>afterAmt</t>
  </si>
  <si>
    <t>afterAmtNoTax</t>
  </si>
  <si>
    <t>afterAmtTax</t>
  </si>
  <si>
    <t>gjNum</t>
  </si>
  <si>
    <t>name</t>
  </si>
  <si>
    <t>settleQty</t>
  </si>
  <si>
    <t>变更ID</t>
  </si>
  <si>
    <t>管理单元</t>
  </si>
  <si>
    <t>归属主合同清单编号</t>
  </si>
  <si>
    <t>原合同单价</t>
  </si>
  <si>
    <t>申报单价</t>
  </si>
  <si>
    <t>批复新增数量</t>
  </si>
  <si>
    <t>修改人</t>
  </si>
  <si>
    <t>归属主合同清单ID</t>
  </si>
  <si>
    <t>管理单元ID</t>
  </si>
  <si>
    <t>原合同数量</t>
  </si>
  <si>
    <t>原合同金额</t>
  </si>
  <si>
    <t>变更增减数量</t>
  </si>
  <si>
    <t>增减单价</t>
  </si>
  <si>
    <t>申报数量</t>
  </si>
  <si>
    <t>申报新增数量</t>
  </si>
  <si>
    <t>批复数量</t>
  </si>
  <si>
    <t>批复单价</t>
  </si>
  <si>
    <t>结算数量</t>
  </si>
  <si>
    <t>要求修改</t>
  </si>
  <si>
    <t>修改日期</t>
  </si>
  <si>
    <t>原不含税合同单价</t>
  </si>
  <si>
    <t>原不含税合同金额</t>
  </si>
  <si>
    <t>原含税合同单价</t>
  </si>
  <si>
    <t>原含税合同金额</t>
  </si>
  <si>
    <t>挂接</t>
  </si>
  <si>
    <t>已挂接工序数</t>
  </si>
  <si>
    <t>comID</t>
    <phoneticPr fontId="1" type="noConversion"/>
  </si>
  <si>
    <t>这个字段不要了</t>
    <phoneticPr fontId="1" type="noConversion"/>
  </si>
  <si>
    <t>分公司ID</t>
    <phoneticPr fontId="1" type="noConversion"/>
  </si>
  <si>
    <t>comName</t>
    <phoneticPr fontId="1" type="noConversion"/>
  </si>
  <si>
    <t>iecm_Extree</t>
    <phoneticPr fontId="1" type="noConversion"/>
  </si>
  <si>
    <t>数据库没有这张表,这个是展示树结构的通用类，不是实体对象</t>
    <phoneticPr fontId="1" type="noConversion"/>
  </si>
  <si>
    <t>iect_ContrAlter</t>
  </si>
  <si>
    <t>其实相当于工程分包类中的清单书,清单书下面才是清单明细</t>
    <phoneticPr fontId="1" type="noConversion"/>
  </si>
  <si>
    <t>iect_ContrItem</t>
    <phoneticPr fontId="1" type="noConversion"/>
  </si>
  <si>
    <t>这个新增的清单存在哪个表里了，这里我怎么没有查到</t>
    <phoneticPr fontId="1" type="noConversion"/>
  </si>
  <si>
    <t>pp5关联的</t>
    <phoneticPr fontId="1" type="noConversion"/>
  </si>
  <si>
    <t>设备合同的评审，管理，补充协议用这个字段关联的</t>
    <phoneticPr fontId="1" type="noConversion"/>
  </si>
  <si>
    <t>有些字段在合同iect_Contract表里查不到  是分开存到不同的表里了么？</t>
    <phoneticPr fontId="1" type="noConversion"/>
  </si>
  <si>
    <t>iecc_WorkBook</t>
  </si>
  <si>
    <t>另外这里有个清单书的概念，相当于清单表的主表</t>
    <phoneticPr fontId="1" type="noConversion"/>
  </si>
  <si>
    <t>外键是workBookID，清单书主要用于标识清单是否审核、清单的统计等</t>
    <phoneticPr fontId="1" type="noConversion"/>
  </si>
  <si>
    <t>iect_ContrApply</t>
  </si>
  <si>
    <t>备注而已</t>
    <phoneticPr fontId="1" type="noConversion"/>
  </si>
  <si>
    <t>备注而已</t>
    <phoneticPr fontId="1" type="noConversion"/>
  </si>
  <si>
    <t>工程类合同评审+工程类补充协议都是这个表</t>
    <phoneticPr fontId="1" type="noConversion"/>
  </si>
  <si>
    <t>iect_Contract</t>
    <phoneticPr fontId="1" type="noConversion"/>
  </si>
  <si>
    <t>合同+(豪生)工程类合同+工程施工类合同+工程施工类合同(查询)+工程施工类合同财务信息都是这个表</t>
    <phoneticPr fontId="1" type="noConversion"/>
  </si>
  <si>
    <t>iecc_CoAlter</t>
    <phoneticPr fontId="1" type="noConversion"/>
  </si>
  <si>
    <t>工程施工类合同变更+工程施工类合同补充协议清单</t>
    <phoneticPr fontId="1" type="noConversion"/>
  </si>
  <si>
    <t>工程施工类合同变更明细副本+工程施工类合同补充协议清单明细</t>
    <phoneticPr fontId="1" type="noConversion"/>
  </si>
  <si>
    <t>iecc_CoAlterWork</t>
    <phoneticPr fontId="1" type="noConversion"/>
  </si>
  <si>
    <t>iect_contract_code</t>
    <phoneticPr fontId="1" type="noConversion"/>
  </si>
  <si>
    <t>statisticsNo</t>
  </si>
  <si>
    <t>statisticsName</t>
  </si>
  <si>
    <t>statisticsRate</t>
  </si>
  <si>
    <t>backCondition</t>
  </si>
  <si>
    <t>timeLimit</t>
  </si>
  <si>
    <t>allowDelete</t>
  </si>
  <si>
    <t>comOrders</t>
  </si>
  <si>
    <t>equipUseCount</t>
  </si>
  <si>
    <t>useCount</t>
  </si>
  <si>
    <t>stockUseCount</t>
  </si>
  <si>
    <t>是否被设备结算引用</t>
  </si>
  <si>
    <t>期限</t>
  </si>
  <si>
    <t>保证金</t>
  </si>
  <si>
    <t>是否被结算引用</t>
  </si>
  <si>
    <t>是否允许删除</t>
  </si>
  <si>
    <t>返还条件</t>
  </si>
  <si>
    <t>扣除比例(%)</t>
  </si>
  <si>
    <t>保证金编号</t>
  </si>
  <si>
    <t>项目ID</t>
  </si>
  <si>
    <t>是否被物资结算引用</t>
  </si>
  <si>
    <t>工程施工类合同管理</t>
    <phoneticPr fontId="1" type="noConversion"/>
  </si>
  <si>
    <t>工程施工类合同补充协议清单  + 工程施工类合同变更</t>
    <phoneticPr fontId="1" type="noConversion"/>
  </si>
  <si>
    <t>(豪生)工程类补充协议清单</t>
    <phoneticPr fontId="1" type="noConversion"/>
  </si>
  <si>
    <t>(豪生)工程类合同补充协议明细</t>
    <phoneticPr fontId="1" type="noConversion"/>
  </si>
  <si>
    <t>iect_ContrAlterItemResoure</t>
    <phoneticPr fontId="1" type="noConversion"/>
  </si>
  <si>
    <t>iect_ContrItem</t>
    <phoneticPr fontId="1" type="noConversion"/>
  </si>
  <si>
    <t>(豪生)工程类合同明细+(豪生)工程类合同评审合同明细</t>
    <phoneticPr fontId="1" type="noConversion"/>
  </si>
  <si>
    <t>分包计价规则库</t>
    <phoneticPr fontId="1" type="noConversion"/>
  </si>
  <si>
    <t>iect_valuationRules</t>
    <phoneticPr fontId="1" type="noConversion"/>
  </si>
  <si>
    <t>iect_PriceSys</t>
    <phoneticPr fontId="1" type="noConversion"/>
  </si>
  <si>
    <t>iecc_WorkBook</t>
    <phoneticPr fontId="1" type="noConversion"/>
  </si>
  <si>
    <t>iecc_CoBook</t>
    <phoneticPr fontId="1" type="noConversion"/>
  </si>
  <si>
    <t>iecc_WorksChange</t>
    <phoneticPr fontId="1" type="noConversion"/>
  </si>
  <si>
    <t>施工类合同管理清单变更(没用)</t>
    <phoneticPr fontId="1" type="noConversion"/>
  </si>
  <si>
    <t>清单书(业主合同用的)</t>
    <phoneticPr fontId="1" type="noConversion"/>
  </si>
  <si>
    <t>分包合同评审清单表</t>
    <phoneticPr fontId="1" type="noConversion"/>
  </si>
  <si>
    <t>iect_ContrProcess</t>
    <phoneticPr fontId="1" type="noConversion"/>
  </si>
  <si>
    <r>
      <t>(豪生)工程类合同评审合同明细+(豪生)工程类合同明细都是这个表，，</t>
    </r>
    <r>
      <rPr>
        <sz val="11"/>
        <color rgb="FFFF0000"/>
        <rFont val="宋体"/>
        <family val="3"/>
        <charset val="134"/>
        <scheme val="minor"/>
      </rPr>
      <t>除了施工，其它合同在用这个做清单表</t>
    </r>
    <phoneticPr fontId="1" type="noConversion"/>
  </si>
  <si>
    <r>
      <t>挂接关系表(</t>
    </r>
    <r>
      <rPr>
        <sz val="12"/>
        <color rgb="FFFF0000"/>
        <rFont val="宋体"/>
        <family val="3"/>
        <charset val="134"/>
        <scheme val="minor"/>
      </rPr>
      <t>清单与工序用关系表,计价规则直接存在清单表中</t>
    </r>
    <r>
      <rPr>
        <sz val="12"/>
        <rFont val="宋体"/>
        <family val="3"/>
        <charset val="134"/>
        <scheme val="minor"/>
      </rPr>
      <t>)</t>
    </r>
    <phoneticPr fontId="1" type="noConversion"/>
  </si>
  <si>
    <t>iect_ContrAlter</t>
    <phoneticPr fontId="1" type="noConversion"/>
  </si>
  <si>
    <t>豪生字样的表都是定制的，不需要</t>
    <phoneticPr fontId="1" type="noConversion"/>
  </si>
  <si>
    <t>工程施工类合同评审+工程施工类补充协议</t>
    <phoneticPr fontId="1" type="noConversion"/>
  </si>
  <si>
    <t>iect_ContrApply</t>
    <phoneticPr fontId="1" type="noConversion"/>
  </si>
  <si>
    <t>合同税额</t>
  </si>
  <si>
    <t>黄色为补充协议字段</t>
    <phoneticPr fontId="1" type="noConversion"/>
  </si>
  <si>
    <t>绿色为合同评审字段</t>
    <phoneticPr fontId="1" type="noConversion"/>
  </si>
  <si>
    <t>iect_Contract</t>
    <phoneticPr fontId="1" type="noConversion"/>
  </si>
  <si>
    <t>工程施工类合同管理表</t>
    <phoneticPr fontId="1" type="noConversion"/>
  </si>
  <si>
    <t>工程施工类合同评审清单表</t>
    <phoneticPr fontId="1" type="noConversion"/>
  </si>
  <si>
    <t>iect_ContrApplyWorks</t>
    <phoneticPr fontId="1" type="noConversion"/>
  </si>
  <si>
    <t>工程施工类合同补充协议清单</t>
    <phoneticPr fontId="1" type="noConversion"/>
  </si>
  <si>
    <t>工程施工类合同变更</t>
    <phoneticPr fontId="1" type="noConversion"/>
  </si>
  <si>
    <t>工程施工类合同补充协议清单明细 + 工程施工类合同变更明细副本</t>
    <phoneticPr fontId="1" type="noConversion"/>
  </si>
  <si>
    <t>工程施工类合同补充协议清单明细表</t>
    <phoneticPr fontId="1" type="noConversion"/>
  </si>
  <si>
    <t>iecc_CoAlterWork</t>
    <phoneticPr fontId="1" type="noConversion"/>
  </si>
  <si>
    <t>施工类合同管理清单</t>
    <phoneticPr fontId="1" type="noConversion"/>
  </si>
  <si>
    <t>iecc_Works</t>
    <phoneticPr fontId="1" type="noConversion"/>
  </si>
  <si>
    <r>
      <t>合同单价分析(评审、管理、补充协议共用</t>
    </r>
    <r>
      <rPr>
        <sz val="12"/>
        <rFont val="宋体"/>
        <family val="3"/>
        <charset val="134"/>
        <scheme val="minor"/>
      </rPr>
      <t>)</t>
    </r>
    <phoneticPr fontId="1" type="noConversion"/>
  </si>
  <si>
    <t>合同单价分析明细(评审、管理、补充协议共用)</t>
    <phoneticPr fontId="1" type="noConversion"/>
  </si>
  <si>
    <t>iect_PriceSysItem</t>
    <phoneticPr fontId="1" type="noConversion"/>
  </si>
  <si>
    <t>协作清单书(评审、管理、补充协议共用)</t>
    <phoneticPr fontId="1" type="noConversion"/>
  </si>
  <si>
    <t>customerOrgID</t>
  </si>
  <si>
    <t>bookNo</t>
  </si>
  <si>
    <t>bookName</t>
  </si>
  <si>
    <t>auditMsg</t>
  </si>
  <si>
    <t>customerOrgName</t>
  </si>
  <si>
    <t>coAmt</t>
  </si>
  <si>
    <t>bookNO</t>
  </si>
  <si>
    <t>项目</t>
  </si>
  <si>
    <t>协作清单书名称</t>
  </si>
  <si>
    <t>协作合同</t>
  </si>
  <si>
    <t>协作队伍</t>
  </si>
  <si>
    <t>金额</t>
  </si>
  <si>
    <t>编号</t>
  </si>
  <si>
    <t>审核意见</t>
  </si>
  <si>
    <t>协作清单书表</t>
    <phoneticPr fontId="1" type="noConversion"/>
  </si>
  <si>
    <t>合同清单与标准工序库关系表</t>
    <phoneticPr fontId="1" type="noConversion"/>
  </si>
  <si>
    <t>iect_ContrProcessGuajie</t>
    <phoneticPr fontId="1" type="noConversion"/>
  </si>
  <si>
    <t xml:space="preserve">分包清单与业主合同清单关联 </t>
    <phoneticPr fontId="1" type="noConversion"/>
  </si>
  <si>
    <t>iesa_CoWorkLinkWork</t>
    <phoneticPr fontId="1" type="noConversion"/>
  </si>
  <si>
    <t>coWorkID</t>
  </si>
  <si>
    <t>coWorkNo</t>
  </si>
  <si>
    <t>coWorkName</t>
  </si>
  <si>
    <t>coUnit</t>
  </si>
  <si>
    <t>isMain</t>
  </si>
  <si>
    <t>业主清单ID</t>
  </si>
  <si>
    <t>业主清单名称</t>
  </si>
  <si>
    <t>分包清单单位</t>
  </si>
  <si>
    <t>业主清单编号</t>
  </si>
  <si>
    <t>分包清单编号</t>
  </si>
  <si>
    <t>分包清单名称</t>
  </si>
  <si>
    <t>是否为主项</t>
  </si>
  <si>
    <t>分包清单与业主合同清单关联表</t>
    <phoneticPr fontId="1" type="noConversion"/>
  </si>
  <si>
    <t>分包合同保证金比例</t>
    <phoneticPr fontId="1" type="noConversion"/>
  </si>
  <si>
    <t>分包合同保证金比例表</t>
    <phoneticPr fontId="1" type="noConversion"/>
  </si>
  <si>
    <t>iect_CoContractAmtRate</t>
    <phoneticPr fontId="1" type="noConversion"/>
  </si>
  <si>
    <t>ie中搜不到但是在数据库中能查到的表怎么办？</t>
    <phoneticPr fontId="1" type="noConversion"/>
  </si>
  <si>
    <t>iecc_WorkAlterSingle</t>
    <phoneticPr fontId="1" type="noConversion"/>
  </si>
  <si>
    <t>清单变更(独立)表 ？</t>
    <phoneticPr fontId="1" type="noConversion"/>
  </si>
  <si>
    <t>工程施工类合同附件表用哪个？</t>
    <phoneticPr fontId="1" type="noConversion"/>
  </si>
  <si>
    <t>iect_ContrApplySet</t>
    <phoneticPr fontId="1" type="noConversion"/>
  </si>
  <si>
    <t>合同审批设置表 ？</t>
    <phoneticPr fontId="1" type="noConversion"/>
  </si>
  <si>
    <t>iecc_WorksChange</t>
    <phoneticPr fontId="1" type="noConversion"/>
  </si>
  <si>
    <t>清单增补？</t>
    <phoneticPr fontId="1" type="noConversion"/>
  </si>
  <si>
    <t>iecm_DatumDetail</t>
    <phoneticPr fontId="1" type="noConversion"/>
  </si>
  <si>
    <t>通用附件表</t>
    <phoneticPr fontId="1" type="noConversion"/>
  </si>
  <si>
    <t xml:space="preserve">ie中一个表在多个业务中使用，具体业务能查到多少字段就用多少字段是吗？不用的字段是否删掉？   </t>
    <phoneticPr fontId="1" type="noConversion"/>
  </si>
  <si>
    <t>先保留</t>
    <phoneticPr fontId="1" type="noConversion"/>
  </si>
  <si>
    <t>取代码里面找</t>
    <phoneticPr fontId="1" type="noConversion"/>
  </si>
  <si>
    <t>工程施工类合同、工程施工类合同(查询)、工程施工类合同财务信息</t>
    <phoneticPr fontId="1" type="noConversion"/>
  </si>
  <si>
    <t>有些业务列表页面和查询页面显示的字段不一致造成的</t>
    <phoneticPr fontId="1" type="noConversion"/>
  </si>
  <si>
    <t>iecm_DatumDetail</t>
    <phoneticPr fontId="1" type="noConversion"/>
  </si>
  <si>
    <t>工程施工类合同附件表</t>
    <phoneticPr fontId="1" type="noConversion"/>
  </si>
  <si>
    <t>masterID</t>
  </si>
  <si>
    <t>subSystem</t>
  </si>
  <si>
    <t>moduleName</t>
  </si>
  <si>
    <t>saveDateStr</t>
  </si>
  <si>
    <t>fileSize</t>
  </si>
  <si>
    <t>fileName</t>
  </si>
  <si>
    <t>url</t>
  </si>
  <si>
    <t>identifyStr</t>
  </si>
  <si>
    <t>parentID</t>
    <phoneticPr fontId="1" type="noConversion"/>
  </si>
  <si>
    <t>父节点ID</t>
    <phoneticPr fontId="1" type="noConversion"/>
  </si>
  <si>
    <t>treeNode</t>
    <phoneticPr fontId="1" type="noConversion"/>
  </si>
  <si>
    <t>树节点编号</t>
    <phoneticPr fontId="1" type="noConversion"/>
  </si>
  <si>
    <t>orgID</t>
    <phoneticPr fontId="1" type="noConversion"/>
  </si>
  <si>
    <t>责任中心</t>
    <phoneticPr fontId="1" type="noConversion"/>
  </si>
  <si>
    <t>contrApplyID</t>
    <phoneticPr fontId="1" type="noConversion"/>
  </si>
  <si>
    <t>合同评审ID</t>
    <phoneticPr fontId="1" type="noConversion"/>
  </si>
  <si>
    <t>workType</t>
    <phoneticPr fontId="1" type="noConversion"/>
  </si>
  <si>
    <t>清单类型</t>
    <phoneticPr fontId="1" type="noConversion"/>
  </si>
  <si>
    <t>workNo</t>
    <phoneticPr fontId="1" type="noConversion"/>
  </si>
  <si>
    <t>清单编号</t>
    <phoneticPr fontId="1" type="noConversion"/>
  </si>
  <si>
    <t>workName</t>
    <phoneticPr fontId="1" type="noConversion"/>
  </si>
  <si>
    <t>清单名称</t>
    <phoneticPr fontId="1" type="noConversion"/>
  </si>
  <si>
    <t>unit</t>
    <phoneticPr fontId="1" type="noConversion"/>
  </si>
  <si>
    <t>计量单位</t>
    <phoneticPr fontId="1" type="noConversion"/>
  </si>
  <si>
    <t>contractPrice</t>
    <phoneticPr fontId="1" type="noConversion"/>
  </si>
  <si>
    <t>合同单价</t>
    <phoneticPr fontId="1" type="noConversion"/>
  </si>
  <si>
    <t>contractQty</t>
    <phoneticPr fontId="1" type="noConversion"/>
  </si>
  <si>
    <t>合同数量</t>
    <phoneticPr fontId="1" type="noConversion"/>
  </si>
  <si>
    <t>contractAmt</t>
    <phoneticPr fontId="1" type="noConversion"/>
  </si>
  <si>
    <t>合同金额</t>
    <phoneticPr fontId="1" type="noConversion"/>
  </si>
  <si>
    <t>统计下面的业主叶子节点.先四舍五入在合计.保留两位小数</t>
    <phoneticPr fontId="1" type="noConversion"/>
  </si>
  <si>
    <t>quantity</t>
    <phoneticPr fontId="1" type="noConversion"/>
  </si>
  <si>
    <t>工程量</t>
    <phoneticPr fontId="1" type="noConversion"/>
  </si>
  <si>
    <t>price</t>
    <phoneticPr fontId="1" type="noConversion"/>
  </si>
  <si>
    <t>计量单价(含税合同单价)</t>
    <phoneticPr fontId="1" type="noConversion"/>
  </si>
  <si>
    <t>remark</t>
    <phoneticPr fontId="1" type="noConversion"/>
  </si>
  <si>
    <t>备注</t>
    <phoneticPr fontId="1" type="noConversion"/>
  </si>
  <si>
    <t>deleted</t>
    <phoneticPr fontId="1" type="noConversion"/>
  </si>
  <si>
    <t>是否删除</t>
    <phoneticPr fontId="1" type="noConversion"/>
  </si>
  <si>
    <t>isLeaf</t>
    <phoneticPr fontId="1" type="noConversion"/>
  </si>
  <si>
    <t>是否叶子节点</t>
    <phoneticPr fontId="1" type="noConversion"/>
  </si>
  <si>
    <t>变更状态</t>
    <phoneticPr fontId="1" type="noConversion"/>
  </si>
  <si>
    <t>是否可分配计量</t>
    <phoneticPr fontId="1" type="noConversion"/>
  </si>
  <si>
    <t>业主清单子节点.业主清单的叶子节点,和拆分的清单都是可以分配计量的.</t>
    <phoneticPr fontId="1" type="noConversion"/>
  </si>
  <si>
    <t>updateFlag</t>
    <phoneticPr fontId="1" type="noConversion"/>
  </si>
  <si>
    <t>combProp</t>
    <phoneticPr fontId="1" type="noConversion"/>
  </si>
  <si>
    <t>pp1</t>
    <phoneticPr fontId="1" type="noConversion"/>
  </si>
  <si>
    <t>pp2</t>
    <phoneticPr fontId="1" type="noConversion"/>
  </si>
  <si>
    <t>pp3</t>
    <phoneticPr fontId="1" type="noConversion"/>
  </si>
  <si>
    <t>pp4</t>
    <phoneticPr fontId="1" type="noConversion"/>
  </si>
  <si>
    <t>checkQty</t>
    <phoneticPr fontId="1" type="noConversion"/>
  </si>
  <si>
    <t>核定数量</t>
    <phoneticPr fontId="1" type="noConversion"/>
  </si>
  <si>
    <t>expectChangeQty</t>
    <phoneticPr fontId="1" type="noConversion"/>
  </si>
  <si>
    <t>预计变更后数量</t>
    <phoneticPr fontId="1" type="noConversion"/>
  </si>
  <si>
    <t>预计变更后单价</t>
    <phoneticPr fontId="1" type="noConversion"/>
  </si>
  <si>
    <t>expectChangePrice</t>
    <phoneticPr fontId="1" type="noConversion"/>
  </si>
  <si>
    <t>清单类型</t>
    <phoneticPr fontId="1" type="noConversion"/>
  </si>
  <si>
    <t>1：公路 2：铁路 3：市政</t>
    <phoneticPr fontId="1" type="noConversion"/>
  </si>
  <si>
    <t>isReCountAmt</t>
    <phoneticPr fontId="1" type="noConversion"/>
  </si>
  <si>
    <t>用于判断是否要重算预算单价</t>
    <phoneticPr fontId="1" type="noConversion"/>
  </si>
  <si>
    <t>qty</t>
    <phoneticPr fontId="1" type="noConversion"/>
  </si>
  <si>
    <t>old contract qty</t>
    <phoneticPr fontId="1" type="noConversion"/>
  </si>
  <si>
    <t>isGroup</t>
    <phoneticPr fontId="1" type="noConversion"/>
  </si>
  <si>
    <t>是否局下达</t>
    <phoneticPr fontId="1" type="noConversion"/>
  </si>
  <si>
    <t>用于标准清单</t>
    <phoneticPr fontId="1" type="noConversion"/>
  </si>
  <si>
    <t>requestEdit</t>
    <phoneticPr fontId="1" type="noConversion"/>
  </si>
  <si>
    <t>要求修改</t>
    <phoneticPr fontId="1" type="noConversion"/>
  </si>
  <si>
    <t>editUserID</t>
    <phoneticPr fontId="1" type="noConversion"/>
  </si>
  <si>
    <t>修改人</t>
    <phoneticPr fontId="1" type="noConversion"/>
  </si>
  <si>
    <t>editUserName</t>
    <phoneticPr fontId="1" type="noConversion"/>
  </si>
  <si>
    <t>修改人</t>
    <phoneticPr fontId="1" type="noConversion"/>
  </si>
  <si>
    <t>editDate</t>
    <phoneticPr fontId="1" type="noConversion"/>
  </si>
  <si>
    <t>修改日期</t>
    <phoneticPr fontId="1" type="noConversion"/>
  </si>
  <si>
    <t>priceNoTax</t>
    <phoneticPr fontId="1" type="noConversion"/>
  </si>
  <si>
    <t>taxRate</t>
    <phoneticPr fontId="1" type="noConversion"/>
  </si>
  <si>
    <t>税率</t>
    <phoneticPr fontId="1" type="noConversion"/>
  </si>
  <si>
    <t>amtNoTax</t>
    <phoneticPr fontId="1" type="noConversion"/>
  </si>
  <si>
    <t>ruleID</t>
    <phoneticPr fontId="1" type="noConversion"/>
  </si>
  <si>
    <t>计价规则ID</t>
    <phoneticPr fontId="1" type="noConversion"/>
  </si>
  <si>
    <t>ruleName</t>
    <phoneticPr fontId="1" type="noConversion"/>
  </si>
  <si>
    <t>计价规则名称</t>
    <phoneticPr fontId="1" type="noConversion"/>
  </si>
  <si>
    <t>combProp</t>
    <phoneticPr fontId="1" type="noConversion"/>
  </si>
  <si>
    <t>这个字段没有用</t>
    <phoneticPr fontId="1" type="noConversion"/>
  </si>
  <si>
    <t>editTime</t>
    <phoneticPr fontId="1" type="noConversion"/>
  </si>
  <si>
    <t>最后编辑时间</t>
    <phoneticPr fontId="1" type="noConversion"/>
  </si>
  <si>
    <t>主键ID</t>
    <phoneticPr fontId="1" type="noConversion"/>
  </si>
  <si>
    <t>主键ID</t>
    <phoneticPr fontId="1" type="noConversion"/>
  </si>
  <si>
    <t>workID</t>
    <phoneticPr fontId="1" type="noConversion"/>
  </si>
  <si>
    <t>合同清单ID</t>
    <phoneticPr fontId="1" type="noConversion"/>
  </si>
  <si>
    <t>applyWorkID</t>
    <phoneticPr fontId="1" type="noConversion"/>
  </si>
  <si>
    <t>合同评审清单ID、合同清单ID、合同补充协议清单ID</t>
    <phoneticPr fontId="1" type="noConversion"/>
  </si>
  <si>
    <t>contrApplyID</t>
    <phoneticPr fontId="1" type="noConversion"/>
  </si>
  <si>
    <t>contractID</t>
    <phoneticPr fontId="1" type="noConversion"/>
  </si>
  <si>
    <t>contractID</t>
    <phoneticPr fontId="1" type="noConversion"/>
  </si>
  <si>
    <t>processID</t>
    <phoneticPr fontId="1" type="noConversion"/>
  </si>
  <si>
    <t>工序ID</t>
    <phoneticPr fontId="1" type="noConversion"/>
  </si>
  <si>
    <t>processNo</t>
    <phoneticPr fontId="1" type="noConversion"/>
  </si>
  <si>
    <t>挂接工序编号</t>
    <phoneticPr fontId="1" type="noConversion"/>
  </si>
  <si>
    <t>editTime</t>
    <phoneticPr fontId="1" type="noConversion"/>
  </si>
  <si>
    <t>processName</t>
    <phoneticPr fontId="1" type="noConversion"/>
  </si>
  <si>
    <t>工序名称</t>
    <phoneticPr fontId="1" type="noConversion"/>
  </si>
  <si>
    <t>processUnit</t>
    <phoneticPr fontId="1" type="noConversion"/>
  </si>
  <si>
    <t>计量单位</t>
    <phoneticPr fontId="1" type="noConversion"/>
  </si>
  <si>
    <t>baseType</t>
    <phoneticPr fontId="1" type="noConversion"/>
  </si>
  <si>
    <t>工序库类型</t>
    <phoneticPr fontId="1" type="noConversion"/>
  </si>
  <si>
    <t>最后编辑时间</t>
    <phoneticPr fontId="1" type="noConversion"/>
  </si>
  <si>
    <t>identifyStr</t>
    <phoneticPr fontId="1" type="noConversion"/>
  </si>
  <si>
    <t>标识</t>
    <phoneticPr fontId="1" type="noConversion"/>
  </si>
  <si>
    <t>分公司发送到局标识为ju分公司修改标识为part分公司下发标识为ju</t>
    <phoneticPr fontId="1" type="noConversion"/>
  </si>
  <si>
    <t>0 =正常 1 = 已删除 2= 新增</t>
    <phoneticPr fontId="1" type="noConversion"/>
  </si>
  <si>
    <t>masterID</t>
    <phoneticPr fontId="1" type="noConversion"/>
  </si>
  <si>
    <t>subSystem</t>
    <phoneticPr fontId="1" type="noConversion"/>
  </si>
  <si>
    <t>saveDateStr</t>
    <phoneticPr fontId="1" type="noConversion"/>
  </si>
  <si>
    <t>子系统</t>
    <phoneticPr fontId="1" type="noConversion"/>
  </si>
  <si>
    <t>主表id</t>
    <phoneticPr fontId="1" type="noConversion"/>
  </si>
  <si>
    <t>moduleName</t>
    <phoneticPr fontId="1" type="noConversion"/>
  </si>
  <si>
    <t>模块名</t>
    <phoneticPr fontId="1" type="noConversion"/>
  </si>
  <si>
    <t>saveDateStr</t>
    <phoneticPr fontId="1" type="noConversion"/>
  </si>
  <si>
    <t>fileSize</t>
    <phoneticPr fontId="1" type="noConversion"/>
  </si>
  <si>
    <t>fileName</t>
    <phoneticPr fontId="1" type="noConversion"/>
  </si>
  <si>
    <t>附件名</t>
    <phoneticPr fontId="1" type="noConversion"/>
  </si>
  <si>
    <t>附件大小</t>
    <phoneticPr fontId="1" type="noConversion"/>
  </si>
  <si>
    <t>deleted</t>
    <phoneticPr fontId="1" type="noConversion"/>
  </si>
  <si>
    <t>是否删除</t>
    <phoneticPr fontId="1" type="noConversion"/>
  </si>
  <si>
    <t>editTime</t>
    <phoneticPr fontId="1" type="noConversion"/>
  </si>
  <si>
    <t>最后编辑时间</t>
    <phoneticPr fontId="1" type="noConversion"/>
  </si>
  <si>
    <t>url</t>
    <phoneticPr fontId="1" type="noConversion"/>
  </si>
  <si>
    <t>请求地址</t>
    <phoneticPr fontId="1" type="noConversion"/>
  </si>
  <si>
    <t>comID</t>
    <phoneticPr fontId="1" type="noConversion"/>
  </si>
  <si>
    <t>分公司名称</t>
    <phoneticPr fontId="1" type="noConversion"/>
  </si>
  <si>
    <t>分公司名称</t>
    <phoneticPr fontId="1" type="noConversion"/>
  </si>
  <si>
    <t>分公司ID</t>
    <phoneticPr fontId="1" type="noConversion"/>
  </si>
  <si>
    <t>主键ID</t>
    <phoneticPr fontId="1" type="noConversion"/>
  </si>
  <si>
    <t>清单书ID</t>
    <phoneticPr fontId="1" type="noConversion"/>
  </si>
  <si>
    <t>isAssignable</t>
    <phoneticPr fontId="1" type="noConversion"/>
  </si>
  <si>
    <t>contractPriceNoTax</t>
    <phoneticPr fontId="1" type="noConversion"/>
  </si>
  <si>
    <t>contractAmtNoTax</t>
    <phoneticPr fontId="1" type="noConversion"/>
  </si>
  <si>
    <t>变更后不含税金额</t>
    <phoneticPr fontId="1" type="noConversion"/>
  </si>
  <si>
    <t>变更后不含税合同单价</t>
    <phoneticPr fontId="1" type="noConversion"/>
  </si>
  <si>
    <t>原合同不含税合同单价</t>
    <phoneticPr fontId="1" type="noConversion"/>
  </si>
  <si>
    <t>原合同不含税合同金额</t>
    <phoneticPr fontId="1" type="noConversion"/>
  </si>
  <si>
    <t>parentID</t>
    <phoneticPr fontId="1" type="noConversion"/>
  </si>
  <si>
    <t>父节点ID</t>
    <phoneticPr fontId="1" type="noConversion"/>
  </si>
  <si>
    <t>treeNode</t>
    <phoneticPr fontId="1" type="noConversion"/>
  </si>
  <si>
    <t>树节点编号</t>
    <phoneticPr fontId="1" type="noConversion"/>
  </si>
  <si>
    <t>orgID</t>
    <phoneticPr fontId="1" type="noConversion"/>
  </si>
  <si>
    <t>责任中心</t>
    <phoneticPr fontId="1" type="noConversion"/>
  </si>
  <si>
    <t>workBookID</t>
    <phoneticPr fontId="1" type="noConversion"/>
  </si>
  <si>
    <t>计量单价</t>
    <phoneticPr fontId="1" type="noConversion"/>
  </si>
  <si>
    <t>exsitStatus</t>
    <phoneticPr fontId="1" type="noConversion"/>
  </si>
  <si>
    <t>1：公路 2：铁路3：市政</t>
    <phoneticPr fontId="1" type="noConversion"/>
  </si>
  <si>
    <t>变更后不含税合同单价</t>
    <phoneticPr fontId="1" type="noConversion"/>
  </si>
  <si>
    <t>不含税合同金额</t>
    <phoneticPr fontId="1" type="noConversion"/>
  </si>
  <si>
    <t>contractPriceNoTax</t>
    <phoneticPr fontId="1" type="noConversion"/>
  </si>
  <si>
    <t>原合同不含税合同单价</t>
    <phoneticPr fontId="1" type="noConversion"/>
  </si>
  <si>
    <t>investContractNo</t>
    <phoneticPr fontId="1" type="noConversion"/>
  </si>
  <si>
    <t>editTime</t>
    <phoneticPr fontId="1" type="noConversion"/>
  </si>
  <si>
    <t>appInsHistID</t>
    <phoneticPr fontId="1" type="noConversion"/>
  </si>
  <si>
    <t>actDepartment</t>
    <phoneticPr fontId="1" type="noConversion"/>
  </si>
  <si>
    <t>actDepartmentBM</t>
    <phoneticPr fontId="1" type="noConversion"/>
  </si>
  <si>
    <t>名义投标单位ID</t>
  </si>
  <si>
    <t>名义投标单位ID</t>
    <phoneticPr fontId="1" type="noConversion"/>
  </si>
  <si>
    <t>名义投标单位编号</t>
  </si>
  <si>
    <t>名义投标单位编号</t>
    <phoneticPr fontId="1" type="noConversion"/>
  </si>
  <si>
    <t>biddersName</t>
    <phoneticPr fontId="1" type="noConversion"/>
  </si>
  <si>
    <t>名义投标单位</t>
  </si>
  <si>
    <t>名义投标单位</t>
    <phoneticPr fontId="1" type="noConversion"/>
  </si>
  <si>
    <t>核算项目Id</t>
  </si>
  <si>
    <t>核算项目Id</t>
    <phoneticPr fontId="1" type="noConversion"/>
  </si>
  <si>
    <t>核算项目编号</t>
  </si>
  <si>
    <t>核算项目编号</t>
    <phoneticPr fontId="1" type="noConversion"/>
  </si>
  <si>
    <t>accountProjName</t>
    <phoneticPr fontId="1" type="noConversion"/>
  </si>
  <si>
    <t>核算项目名称</t>
  </si>
  <si>
    <t>项目属地</t>
  </si>
  <si>
    <t>busiSegments</t>
    <phoneticPr fontId="1" type="noConversion"/>
  </si>
  <si>
    <t>业务板块</t>
  </si>
  <si>
    <t>业务板块</t>
    <phoneticPr fontId="1" type="noConversion"/>
  </si>
  <si>
    <t>项目资金来源</t>
  </si>
  <si>
    <t>项目资金来源</t>
    <phoneticPr fontId="1" type="noConversion"/>
  </si>
  <si>
    <t>事业部</t>
  </si>
  <si>
    <t>事业部</t>
    <phoneticPr fontId="1" type="noConversion"/>
  </si>
  <si>
    <t>税务备案号(名义投标单位/中标单位)</t>
    <phoneticPr fontId="1" type="noConversion"/>
  </si>
  <si>
    <t>taxCountWay</t>
    <phoneticPr fontId="1" type="noConversion"/>
  </si>
  <si>
    <t>计税方法</t>
    <phoneticPr fontId="1" type="noConversion"/>
  </si>
  <si>
    <t>增值税预征率(%)</t>
  </si>
  <si>
    <t>增值税使用税率(%)</t>
    <phoneticPr fontId="1" type="noConversion"/>
  </si>
  <si>
    <t>是否属地预缴</t>
  </si>
  <si>
    <t>预缴国税机关</t>
  </si>
  <si>
    <t>预缴国税机关联系方式</t>
  </si>
  <si>
    <t>预交国税机关地址</t>
  </si>
  <si>
    <t>项目部通讯地址</t>
  </si>
  <si>
    <t>projDepZipCode</t>
    <phoneticPr fontId="1" type="noConversion"/>
  </si>
  <si>
    <t>项目部邮编</t>
  </si>
  <si>
    <t>项目部电话</t>
  </si>
  <si>
    <t>项目部传真</t>
  </si>
  <si>
    <t>项目阶段</t>
  </si>
  <si>
    <t>项目经理固话</t>
  </si>
  <si>
    <t>项目经理邮箱</t>
  </si>
  <si>
    <t>财务负责人</t>
  </si>
  <si>
    <t>财务负责人手机</t>
  </si>
  <si>
    <t>财务负责人固话</t>
  </si>
  <si>
    <t>财务负责人邮箱</t>
  </si>
  <si>
    <t>合约负责人</t>
  </si>
  <si>
    <t>合约负责人手机</t>
  </si>
  <si>
    <t>合约负责人固话</t>
  </si>
  <si>
    <t>合约负责人邮箱</t>
  </si>
  <si>
    <t>债权清收负责人</t>
  </si>
  <si>
    <t>债权清收负责人手机</t>
  </si>
  <si>
    <t>债权清收负责人固话</t>
  </si>
  <si>
    <t>债权清收负责人邮箱</t>
  </si>
  <si>
    <t>创建时间</t>
  </si>
  <si>
    <t>投资合同编号</t>
  </si>
  <si>
    <t>物资类别ID</t>
  </si>
  <si>
    <t>物资类别</t>
  </si>
  <si>
    <t>firstID对应OA机构ID</t>
    <phoneticPr fontId="1" type="noConversion"/>
  </si>
  <si>
    <t>actDepartmentID</t>
    <phoneticPr fontId="1" type="noConversion"/>
  </si>
  <si>
    <t>核算部门名称ID</t>
    <phoneticPr fontId="1" type="noConversion"/>
  </si>
  <si>
    <t>fromContractNo</t>
    <phoneticPr fontId="1" type="noConversion"/>
  </si>
  <si>
    <t>flowBeginDate</t>
    <phoneticPr fontId="1" type="noConversion"/>
  </si>
  <si>
    <t>评审开始时间</t>
  </si>
  <si>
    <t>评审开始时间</t>
    <phoneticPr fontId="1" type="noConversion"/>
  </si>
  <si>
    <t>flowEndDate</t>
    <phoneticPr fontId="1" type="noConversion"/>
  </si>
  <si>
    <t>评审结束时间</t>
  </si>
  <si>
    <t>评审结束时间</t>
    <phoneticPr fontId="1" type="noConversion"/>
  </si>
  <si>
    <t>isReport</t>
    <phoneticPr fontId="1" type="noConversion"/>
  </si>
  <si>
    <t>是否发送到局机关审批</t>
    <phoneticPr fontId="1" type="noConversion"/>
  </si>
  <si>
    <t>局历史流程ID</t>
    <phoneticPr fontId="1" type="noConversion"/>
  </si>
  <si>
    <t>isReportZhb</t>
    <phoneticPr fontId="1" type="noConversion"/>
  </si>
  <si>
    <t>appInsHistIDZhb</t>
    <phoneticPr fontId="1" type="noConversion"/>
  </si>
  <si>
    <t>局指挥部历史流程ID</t>
    <phoneticPr fontId="1" type="noConversion"/>
  </si>
  <si>
    <t>fromContractID</t>
    <phoneticPr fontId="1" type="noConversion"/>
  </si>
  <si>
    <t>原合同编号--附属合同应用</t>
    <phoneticPr fontId="1" type="noConversion"/>
  </si>
  <si>
    <t>fromContractName</t>
    <phoneticPr fontId="1" type="noConversion"/>
  </si>
  <si>
    <t>原合同名称--附属合同应用</t>
    <phoneticPr fontId="1" type="noConversion"/>
  </si>
  <si>
    <t>biddersId</t>
    <phoneticPr fontId="1" type="noConversion"/>
  </si>
  <si>
    <t>biddersCode</t>
    <phoneticPr fontId="1" type="noConversion"/>
  </si>
  <si>
    <t>核算部门名称</t>
    <phoneticPr fontId="1" type="noConversion"/>
  </si>
  <si>
    <t>核算部门名称编码</t>
    <phoneticPr fontId="1" type="noConversion"/>
  </si>
  <si>
    <t>accountProjId</t>
    <phoneticPr fontId="1" type="noConversion"/>
  </si>
  <si>
    <t>accountProjCode</t>
    <phoneticPr fontId="1" type="noConversion"/>
  </si>
  <si>
    <t>projFundsSource</t>
    <phoneticPr fontId="1" type="noConversion"/>
  </si>
  <si>
    <t>division</t>
    <phoneticPr fontId="1" type="noConversion"/>
  </si>
  <si>
    <t>taxFilingCode</t>
    <phoneticPr fontId="1" type="noConversion"/>
  </si>
  <si>
    <t>taxAdvanceRate</t>
    <phoneticPr fontId="1" type="noConversion"/>
  </si>
  <si>
    <t>prepaidLand</t>
    <phoneticPr fontId="1" type="noConversion"/>
  </si>
  <si>
    <t>firstOAorgID</t>
    <phoneticPr fontId="1" type="noConversion"/>
  </si>
  <si>
    <t>字典表和代码查找</t>
    <phoneticPr fontId="1" type="noConversion"/>
  </si>
  <si>
    <t>isOfficial</t>
    <phoneticPr fontId="1" type="noConversion"/>
  </si>
  <si>
    <t>contractViewType</t>
    <phoneticPr fontId="1" type="noConversion"/>
  </si>
  <si>
    <t>contractSort</t>
    <phoneticPr fontId="1" type="noConversion"/>
  </si>
  <si>
    <t>合同种类:合同种类(总价合同或单价合同)</t>
    <phoneticPr fontId="1" type="noConversion"/>
  </si>
  <si>
    <t>locationInDepr</t>
    <phoneticPr fontId="1" type="noConversion"/>
  </si>
  <si>
    <t>所属处部</t>
    <phoneticPr fontId="1" type="noConversion"/>
  </si>
  <si>
    <t>implementUnit</t>
    <phoneticPr fontId="1" type="noConversion"/>
  </si>
  <si>
    <t>施工单位</t>
    <phoneticPr fontId="1" type="noConversion"/>
  </si>
  <si>
    <t>designUnit</t>
    <phoneticPr fontId="1" type="noConversion"/>
  </si>
  <si>
    <t>设计单位</t>
    <phoneticPr fontId="1" type="noConversion"/>
  </si>
  <si>
    <t>0代表不是 1代表是</t>
    <phoneticPr fontId="1" type="noConversion"/>
  </si>
  <si>
    <t>assignContract</t>
    <phoneticPr fontId="1" type="noConversion"/>
  </si>
  <si>
    <t>是否指定合同</t>
    <phoneticPr fontId="1" type="noConversion"/>
  </si>
  <si>
    <t>firstAddr</t>
    <phoneticPr fontId="1" type="noConversion"/>
  </si>
  <si>
    <t>甲方地址</t>
    <phoneticPr fontId="1" type="noConversion"/>
  </si>
  <si>
    <t>designPhone</t>
    <phoneticPr fontId="1" type="noConversion"/>
  </si>
  <si>
    <t>设计单位电话</t>
    <phoneticPr fontId="1" type="noConversion"/>
  </si>
  <si>
    <t>contractMoney</t>
    <phoneticPr fontId="1" type="noConversion"/>
  </si>
  <si>
    <t>当前合同总造价（万元）</t>
    <phoneticPr fontId="1" type="noConversion"/>
  </si>
  <si>
    <t>designAddr</t>
    <phoneticPr fontId="1" type="noConversion"/>
  </si>
  <si>
    <t>设计单位地址</t>
    <phoneticPr fontId="1" type="noConversion"/>
  </si>
  <si>
    <t>consultativeAddr</t>
    <phoneticPr fontId="1" type="noConversion"/>
  </si>
  <si>
    <t>监理单位电话:监理单位地址</t>
    <phoneticPr fontId="1" type="noConversion"/>
  </si>
  <si>
    <t>实际开工日期</t>
  </si>
  <si>
    <t>实际结束日期</t>
  </si>
  <si>
    <t>是否局属项目</t>
  </si>
  <si>
    <t>局直属项目ID</t>
  </si>
  <si>
    <t>局直属项目名称</t>
  </si>
  <si>
    <t>因auditStatus不知被什么引用，时间紧没多查找，干脆新增一个栏位</t>
    <phoneticPr fontId="1" type="noConversion"/>
  </si>
  <si>
    <t>用于物资审核</t>
    <phoneticPr fontId="1" type="noConversion"/>
  </si>
  <si>
    <t>rentType</t>
    <phoneticPr fontId="1" type="noConversion"/>
  </si>
  <si>
    <t>合同管理中的租赁类型</t>
    <phoneticPr fontId="1" type="noConversion"/>
  </si>
  <si>
    <t>materialSource</t>
    <phoneticPr fontId="1" type="noConversion"/>
  </si>
  <si>
    <t>物资来源</t>
    <phoneticPr fontId="1" type="noConversion"/>
  </si>
  <si>
    <t>subArea</t>
    <phoneticPr fontId="1" type="noConversion"/>
  </si>
  <si>
    <t>所属区域</t>
  </si>
  <si>
    <t>是否简易计税</t>
    <phoneticPr fontId="1" type="noConversion"/>
  </si>
  <si>
    <t>【业主合同台账】_项目性质</t>
    <phoneticPr fontId="1" type="noConversion"/>
  </si>
  <si>
    <t>fiId</t>
    <phoneticPr fontId="1" type="noConversion"/>
  </si>
  <si>
    <t>财务系统ID</t>
    <phoneticPr fontId="1" type="noConversion"/>
  </si>
  <si>
    <t>核算单位id</t>
  </si>
  <si>
    <t>税务备案号</t>
  </si>
  <si>
    <t>增值税计税方法</t>
  </si>
  <si>
    <t>增值税预征率</t>
  </si>
  <si>
    <t>增值税使用税率</t>
  </si>
  <si>
    <t>邮编</t>
  </si>
  <si>
    <t>电话</t>
  </si>
  <si>
    <t>传真</t>
  </si>
  <si>
    <t>固话</t>
  </si>
  <si>
    <t>邮箱</t>
  </si>
  <si>
    <t>手机</t>
  </si>
  <si>
    <t>业务系统写入时间</t>
  </si>
  <si>
    <t>writeDate</t>
    <phoneticPr fontId="1" type="noConversion"/>
  </si>
  <si>
    <t>录入日期</t>
    <phoneticPr fontId="1" type="noConversion"/>
  </si>
  <si>
    <t>accountDepId</t>
    <phoneticPr fontId="1" type="noConversion"/>
  </si>
  <si>
    <t>accountDepCode</t>
    <phoneticPr fontId="1" type="noConversion"/>
  </si>
  <si>
    <t>accountDepName</t>
    <phoneticPr fontId="1" type="noConversion"/>
  </si>
  <si>
    <t>核算部门名称财务</t>
    <phoneticPr fontId="1" type="noConversion"/>
  </si>
  <si>
    <t xml:space="preserve">核算部门编号财务 </t>
    <phoneticPr fontId="1" type="noConversion"/>
  </si>
  <si>
    <t xml:space="preserve">核算部门id财务  </t>
    <phoneticPr fontId="1" type="noConversion"/>
  </si>
  <si>
    <t>secondIDCode</t>
    <phoneticPr fontId="1" type="noConversion"/>
  </si>
  <si>
    <t>往来单位编号</t>
    <phoneticPr fontId="1" type="noConversion"/>
  </si>
  <si>
    <t>writer</t>
    <phoneticPr fontId="1" type="noConversion"/>
  </si>
  <si>
    <t>录入人</t>
    <phoneticPr fontId="1" type="noConversion"/>
  </si>
  <si>
    <t>systemNo</t>
    <phoneticPr fontId="1" type="noConversion"/>
  </si>
  <si>
    <t>系统编号</t>
    <phoneticPr fontId="1" type="noConversion"/>
  </si>
  <si>
    <t>currencyCode</t>
    <phoneticPr fontId="1" type="noConversion"/>
  </si>
  <si>
    <t>revenueDir</t>
    <phoneticPr fontId="1" type="noConversion"/>
  </si>
  <si>
    <t>收支方向</t>
    <phoneticPr fontId="1" type="noConversion"/>
  </si>
  <si>
    <t>invoiceType</t>
    <phoneticPr fontId="1" type="noConversion"/>
  </si>
  <si>
    <t>发票类型</t>
    <phoneticPr fontId="1" type="noConversion"/>
  </si>
  <si>
    <t>staCtr</t>
    <phoneticPr fontId="1" type="noConversion"/>
  </si>
  <si>
    <t>制式合同</t>
    <phoneticPr fontId="1" type="noConversion"/>
  </si>
  <si>
    <t>keyCtr</t>
    <phoneticPr fontId="1" type="noConversion"/>
  </si>
  <si>
    <t>重点合同</t>
    <phoneticPr fontId="1" type="noConversion"/>
  </si>
  <si>
    <t>cityName</t>
    <phoneticPr fontId="1" type="noConversion"/>
  </si>
  <si>
    <t>市级</t>
    <phoneticPr fontId="1" type="noConversion"/>
  </si>
  <si>
    <t>doubleCheckPerson</t>
    <phoneticPr fontId="1" type="noConversion"/>
  </si>
  <si>
    <t>复核人</t>
    <phoneticPr fontId="1" type="noConversion"/>
  </si>
  <si>
    <t>finalDate</t>
    <phoneticPr fontId="1" type="noConversion"/>
  </si>
  <si>
    <t>竣工决算日期</t>
    <phoneticPr fontId="1" type="noConversion"/>
  </si>
  <si>
    <t>bidStatus</t>
    <phoneticPr fontId="1" type="noConversion"/>
  </si>
  <si>
    <t>投标状态</t>
    <phoneticPr fontId="1" type="noConversion"/>
  </si>
  <si>
    <t>premiumExpDate</t>
    <phoneticPr fontId="1" type="noConversion"/>
  </si>
  <si>
    <t>质保金到期日期</t>
    <phoneticPr fontId="1" type="noConversion"/>
  </si>
  <si>
    <t>cushionExpDate</t>
    <phoneticPr fontId="1" type="noConversion"/>
  </si>
  <si>
    <t>垫付款到期日期</t>
    <phoneticPr fontId="1" type="noConversion"/>
  </si>
  <si>
    <t>advanceRate</t>
    <phoneticPr fontId="1" type="noConversion"/>
  </si>
  <si>
    <t>预付款比例</t>
    <phoneticPr fontId="1" type="noConversion"/>
  </si>
  <si>
    <t>progressRate</t>
    <phoneticPr fontId="1" type="noConversion"/>
  </si>
  <si>
    <t>进度款比例</t>
    <phoneticPr fontId="1" type="noConversion"/>
  </si>
  <si>
    <t>completionRate</t>
    <phoneticPr fontId="1" type="noConversion"/>
  </si>
  <si>
    <t>竣工款比例</t>
    <phoneticPr fontId="1" type="noConversion"/>
  </si>
  <si>
    <t>firstIdBh</t>
    <phoneticPr fontId="1" type="noConversion"/>
  </si>
  <si>
    <t>往来单位编号LSWLDW_WLDWBH</t>
    <phoneticPr fontId="1" type="noConversion"/>
  </si>
  <si>
    <t>firstIdSh</t>
    <phoneticPr fontId="1" type="noConversion"/>
  </si>
  <si>
    <t>往来单位编号lswldw_sh</t>
    <phoneticPr fontId="1" type="noConversion"/>
  </si>
  <si>
    <t>secondIDCodeBh</t>
    <phoneticPr fontId="1" type="noConversion"/>
  </si>
  <si>
    <t>cwStatus</t>
    <phoneticPr fontId="1" type="noConversion"/>
  </si>
  <si>
    <t>zjxmhtb_bh</t>
    <phoneticPr fontId="1" type="noConversion"/>
  </si>
  <si>
    <t>ZJGCXM_XMBH</t>
    <phoneticPr fontId="1" type="noConversion"/>
  </si>
  <si>
    <t>orgCertificate</t>
    <phoneticPr fontId="1" type="noConversion"/>
  </si>
  <si>
    <t>统一社会信用代码</t>
    <phoneticPr fontId="1" type="noConversion"/>
  </si>
  <si>
    <t>locationInDeprFormula</t>
    <phoneticPr fontId="1" type="noConversion"/>
  </si>
  <si>
    <t>area</t>
    <phoneticPr fontId="1" type="noConversion"/>
  </si>
  <si>
    <t>区域(北京市,广东省..)</t>
    <phoneticPr fontId="1" type="noConversion"/>
  </si>
  <si>
    <t>country</t>
    <phoneticPr fontId="1" type="noConversion"/>
  </si>
  <si>
    <t>国家</t>
    <phoneticPr fontId="1" type="noConversion"/>
  </si>
  <si>
    <t>projType</t>
    <phoneticPr fontId="1" type="noConversion"/>
  </si>
  <si>
    <t>类型(公路,铁路,市政,其他)</t>
    <phoneticPr fontId="1" type="noConversion"/>
  </si>
  <si>
    <t>projFea</t>
    <phoneticPr fontId="1" type="noConversion"/>
  </si>
  <si>
    <t>workBookStatusP1</t>
    <phoneticPr fontId="1" type="noConversion"/>
  </si>
  <si>
    <t>承包合同中清单是否审核</t>
    <phoneticPr fontId="1" type="noConversion"/>
  </si>
  <si>
    <t>auditContrAlterCount</t>
    <phoneticPr fontId="1" type="noConversion"/>
  </si>
  <si>
    <t>物资变更是否有审核单据</t>
    <phoneticPr fontId="1" type="noConversion"/>
  </si>
  <si>
    <t>codeUsing</t>
    <phoneticPr fontId="1" type="noConversion"/>
  </si>
  <si>
    <t>用于判断编号是否已被引用</t>
    <phoneticPr fontId="1" type="noConversion"/>
  </si>
  <si>
    <t>zcgsEquipSettleUseCount</t>
    <phoneticPr fontId="1" type="noConversion"/>
  </si>
  <si>
    <t>资产公司结算引用，用于明细是否可以编辑处理</t>
    <phoneticPr fontId="1" type="noConversion"/>
  </si>
  <si>
    <t>isSettle</t>
    <phoneticPr fontId="1" type="noConversion"/>
  </si>
  <si>
    <t>resCategoryName</t>
    <phoneticPr fontId="1" type="noConversion"/>
  </si>
  <si>
    <t>合同显示类型</t>
    <phoneticPr fontId="1" type="noConversion"/>
  </si>
  <si>
    <t>transactor</t>
    <phoneticPr fontId="1" type="noConversion"/>
  </si>
  <si>
    <t>经办人</t>
    <phoneticPr fontId="1" type="noConversion"/>
  </si>
  <si>
    <t>指定的</t>
    <phoneticPr fontId="1" type="noConversion"/>
  </si>
  <si>
    <t>auditStatus</t>
    <phoneticPr fontId="1" type="noConversion"/>
  </si>
  <si>
    <t>评审状态</t>
    <phoneticPr fontId="1" type="noConversion"/>
  </si>
  <si>
    <t>contrStatus</t>
    <phoneticPr fontId="1" type="noConversion"/>
  </si>
  <si>
    <t>基本信息审核按钮</t>
    <phoneticPr fontId="1" type="noConversion"/>
  </si>
  <si>
    <t>settleTotalAmt</t>
    <phoneticPr fontId="1" type="noConversion"/>
  </si>
  <si>
    <t>累计结算金额</t>
    <phoneticPr fontId="1" type="noConversion"/>
  </si>
  <si>
    <t>财务审核状态</t>
    <phoneticPr fontId="1" type="noConversion"/>
  </si>
  <si>
    <t>zjxmhtb_nm</t>
    <phoneticPr fontId="1" type="noConversion"/>
  </si>
  <si>
    <t>财务合同ID</t>
    <phoneticPr fontId="1" type="noConversion"/>
  </si>
  <si>
    <t>财务合同编号</t>
    <phoneticPr fontId="1" type="noConversion"/>
  </si>
  <si>
    <t>secondIDCodeName</t>
    <phoneticPr fontId="1" type="noConversion"/>
  </si>
  <si>
    <t>往来单位名称</t>
    <phoneticPr fontId="1" type="noConversion"/>
  </si>
  <si>
    <t>ZJGCXM_NM</t>
    <phoneticPr fontId="1" type="noConversion"/>
  </si>
  <si>
    <t>项目内码</t>
    <phoneticPr fontId="1" type="noConversion"/>
  </si>
  <si>
    <t>项目编号</t>
    <phoneticPr fontId="1" type="noConversion"/>
  </si>
  <si>
    <t>ZJGCXM_XMMC</t>
    <phoneticPr fontId="1" type="noConversion"/>
  </si>
  <si>
    <t>项目名称</t>
    <phoneticPr fontId="1" type="noConversion"/>
  </si>
  <si>
    <t>zjxmhtb_mc</t>
    <phoneticPr fontId="1" type="noConversion"/>
  </si>
  <si>
    <t>财务合同名称</t>
    <phoneticPr fontId="1" type="noConversion"/>
  </si>
  <si>
    <t>isRela</t>
    <phoneticPr fontId="1" type="noConversion"/>
  </si>
  <si>
    <t>是否关联</t>
    <phoneticPr fontId="1" type="noConversion"/>
  </si>
  <si>
    <t>项目特征</t>
    <phoneticPr fontId="1" type="noConversion"/>
  </si>
  <si>
    <t>原合同编号ID</t>
    <phoneticPr fontId="1" type="noConversion"/>
  </si>
  <si>
    <t>bizDep</t>
    <phoneticPr fontId="1" type="noConversion"/>
  </si>
  <si>
    <t>所属事业部</t>
  </si>
  <si>
    <t>是否参与结算指标考核</t>
  </si>
  <si>
    <t>isJuSend</t>
    <phoneticPr fontId="1" type="noConversion"/>
  </si>
  <si>
    <t>是否局发送</t>
    <phoneticPr fontId="1" type="noConversion"/>
  </si>
  <si>
    <t>投资合同编号</t>
    <phoneticPr fontId="1" type="noConversion"/>
  </si>
  <si>
    <t>resCategoryID</t>
    <phoneticPr fontId="1" type="noConversion"/>
  </si>
  <si>
    <t>物资类别ID</t>
    <phoneticPr fontId="1" type="noConversion"/>
  </si>
  <si>
    <t>projectSize</t>
    <phoneticPr fontId="1" type="noConversion"/>
  </si>
  <si>
    <t>工程规模</t>
    <phoneticPr fontId="1" type="noConversion"/>
  </si>
  <si>
    <t>标段号</t>
    <phoneticPr fontId="1" type="noConversion"/>
  </si>
  <si>
    <t>editTime</t>
    <phoneticPr fontId="1" type="noConversion"/>
  </si>
  <si>
    <t>auditStatus</t>
    <phoneticPr fontId="1" type="noConversion"/>
  </si>
  <si>
    <t>combProp</t>
    <phoneticPr fontId="1" type="noConversion"/>
  </si>
  <si>
    <t>pp5</t>
    <phoneticPr fontId="1" type="noConversion"/>
  </si>
  <si>
    <t>pp7</t>
    <phoneticPr fontId="1" type="noConversion"/>
  </si>
  <si>
    <t>pp8</t>
    <phoneticPr fontId="1" type="noConversion"/>
  </si>
  <si>
    <t>pp9</t>
    <phoneticPr fontId="1" type="noConversion"/>
  </si>
  <si>
    <t>pp10</t>
    <phoneticPr fontId="1" type="noConversion"/>
  </si>
  <si>
    <t>审核状态</t>
    <phoneticPr fontId="1" type="noConversion"/>
  </si>
  <si>
    <t>废弃字段不要了</t>
    <phoneticPr fontId="1" type="noConversion"/>
  </si>
  <si>
    <t>字典查找字段</t>
    <phoneticPr fontId="1" type="noConversion"/>
  </si>
  <si>
    <t>ruleName</t>
    <phoneticPr fontId="1" type="noConversion"/>
  </si>
  <si>
    <t>废弃字段</t>
    <phoneticPr fontId="1" type="noConversion"/>
  </si>
  <si>
    <t>字典表查找字段</t>
    <phoneticPr fontId="1" type="noConversion"/>
  </si>
  <si>
    <t>所属公司ID</t>
    <phoneticPr fontId="1" type="noConversion"/>
  </si>
  <si>
    <t>所属公司名称</t>
    <phoneticPr fontId="1" type="noConversion"/>
  </si>
  <si>
    <t>最后编辑时间</t>
    <phoneticPr fontId="1" type="noConversion"/>
  </si>
  <si>
    <t>字典表查找字段</t>
    <phoneticPr fontId="1" type="noConversion"/>
  </si>
  <si>
    <t>备注</t>
    <phoneticPr fontId="1" type="noConversion"/>
  </si>
  <si>
    <t>废弃字段</t>
    <phoneticPr fontId="1" type="noConversion"/>
  </si>
  <si>
    <t>comOrders</t>
    <phoneticPr fontId="1" type="noConversion"/>
  </si>
  <si>
    <t>所属公司排序</t>
    <phoneticPr fontId="1" type="noConversion"/>
  </si>
  <si>
    <t>所属公司名称</t>
    <phoneticPr fontId="1" type="noConversion"/>
  </si>
  <si>
    <t>所属公司ID</t>
    <phoneticPr fontId="1" type="noConversion"/>
  </si>
  <si>
    <t>字典表查找字段</t>
    <phoneticPr fontId="1" type="noConversion"/>
  </si>
  <si>
    <t>废弃字段</t>
    <phoneticPr fontId="1" type="noConversion"/>
  </si>
  <si>
    <t>combProp</t>
    <phoneticPr fontId="1" type="noConversion"/>
  </si>
  <si>
    <t>numeric</t>
    <phoneticPr fontId="1" type="noConversion"/>
  </si>
  <si>
    <t>YYYY-MM-DD hh24:mi:ss</t>
    <phoneticPr fontId="1" type="noConversion"/>
  </si>
  <si>
    <t>YYYY-MM-DD hh24:mi:ss</t>
    <phoneticPr fontId="1" type="noConversion"/>
  </si>
  <si>
    <t>numeric</t>
    <phoneticPr fontId="1" type="noConversion"/>
  </si>
  <si>
    <t>decimal</t>
    <phoneticPr fontId="1" type="noConversion"/>
  </si>
  <si>
    <t>YYYY-MM-DD hh24:mi:ss</t>
    <phoneticPr fontId="1" type="noConversion"/>
  </si>
  <si>
    <t>decimal</t>
  </si>
  <si>
    <t>decimal</t>
    <phoneticPr fontId="1" type="noConversion"/>
  </si>
  <si>
    <t>decimal</t>
    <phoneticPr fontId="1" type="noConversion"/>
  </si>
  <si>
    <t>numeric</t>
    <phoneticPr fontId="1" type="noConversion"/>
  </si>
  <si>
    <t>numeric</t>
    <phoneticPr fontId="1" type="noConversion"/>
  </si>
  <si>
    <t>numeric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</si>
  <si>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</si>
  <si>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</si>
  <si>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</si>
  <si>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</si>
  <si>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</si>
  <si>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YYYY-MM-DD hh24:mi:ss</t>
    <phoneticPr fontId="1" type="noConversion"/>
  </si>
  <si>
    <t>YYYY-MM-DD hh24:mi:ss</t>
    <phoneticPr fontId="1" type="noConversion"/>
  </si>
  <si>
    <t>nvarchar</t>
    <phoneticPr fontId="1" type="noConversion"/>
  </si>
  <si>
    <t>nvarchar</t>
    <phoneticPr fontId="1" type="noConversion"/>
  </si>
  <si>
    <t>varchar</t>
    <phoneticPr fontId="1" type="noConversion"/>
  </si>
  <si>
    <t>varchar</t>
    <phoneticPr fontId="1" type="noConversion"/>
  </si>
  <si>
    <t>旧系统表名</t>
    <phoneticPr fontId="1" type="noConversion"/>
  </si>
  <si>
    <t>numeric</t>
    <phoneticPr fontId="1" type="noConversion"/>
  </si>
  <si>
    <t>numeric</t>
    <phoneticPr fontId="1" type="noConversion"/>
  </si>
  <si>
    <t>numeric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</si>
  <si>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</si>
  <si>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</si>
  <si>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</si>
  <si>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YYYY-MM-DD hh24:mi:ss</t>
    <phoneticPr fontId="1" type="noConversion"/>
  </si>
  <si>
    <t>YYYY-MM-DD hh24:mi:ss</t>
    <phoneticPr fontId="1" type="noConversion"/>
  </si>
  <si>
    <t>YYYY-MM-DD hh24:mi:ss</t>
    <phoneticPr fontId="1" type="noConversion"/>
  </si>
  <si>
    <t>varchar</t>
    <phoneticPr fontId="1" type="noConversion"/>
  </si>
  <si>
    <t>numeric</t>
    <phoneticPr fontId="1" type="noConversion"/>
  </si>
  <si>
    <t>decimal</t>
    <phoneticPr fontId="1" type="noConversion"/>
  </si>
  <si>
    <t>decimal</t>
    <phoneticPr fontId="1" type="noConversion"/>
  </si>
  <si>
    <t>旧系统表名</t>
    <phoneticPr fontId="1" type="noConversion"/>
  </si>
  <si>
    <t>numeric</t>
    <phoneticPr fontId="1" type="noConversion"/>
  </si>
  <si>
    <t>numeric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</si>
  <si>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</si>
  <si>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</si>
  <si>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</si>
  <si>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</si>
  <si>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YYYY-MM-DD hh24:mi:ss</t>
    <phoneticPr fontId="1" type="noConversion"/>
  </si>
  <si>
    <t>YYYY-MM-DD hh24:mi:ss</t>
    <phoneticPr fontId="1" type="noConversion"/>
  </si>
  <si>
    <t>YYYY-MM-DD hh24:mi:ss</t>
    <phoneticPr fontId="1" type="noConversion"/>
  </si>
  <si>
    <t>YYYY-MM-DD hh24:mi:ss</t>
    <phoneticPr fontId="1" type="noConversion"/>
  </si>
  <si>
    <t>decimal</t>
    <phoneticPr fontId="1" type="noConversion"/>
  </si>
  <si>
    <t>decimal</t>
    <phoneticPr fontId="1" type="noConversion"/>
  </si>
  <si>
    <t>旧系统表名</t>
    <phoneticPr fontId="1" type="noConversion"/>
  </si>
  <si>
    <t>YYYY-MM-DD hh24:mi:ss</t>
    <phoneticPr fontId="1" type="noConversion"/>
  </si>
  <si>
    <t>YYYY-MM-DD hh24:mi:ss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</si>
  <si>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</si>
  <si>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</si>
  <si>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</si>
  <si>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</si>
  <si>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</si>
  <si>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decimal</t>
    <phoneticPr fontId="1" type="noConversion"/>
  </si>
  <si>
    <t>旧系统表名</t>
    <phoneticPr fontId="1" type="noConversion"/>
  </si>
  <si>
    <t>numeric</t>
    <phoneticPr fontId="1" type="noConversion"/>
  </si>
  <si>
    <t>decimal</t>
    <phoneticPr fontId="1" type="noConversion"/>
  </si>
  <si>
    <t>decimal</t>
    <phoneticPr fontId="1" type="noConversion"/>
  </si>
  <si>
    <t>YYYY-MM-DD hh24:mi:ss</t>
    <phoneticPr fontId="1" type="noConversion"/>
  </si>
  <si>
    <t>旧系统表名</t>
    <phoneticPr fontId="1" type="noConversion"/>
  </si>
  <si>
    <t>numeric</t>
    <phoneticPr fontId="1" type="noConversion"/>
  </si>
  <si>
    <t>YYYY-MM-DD hh24:mi:ss</t>
    <phoneticPr fontId="1" type="noConversion"/>
  </si>
  <si>
    <t>旧系统表名</t>
    <phoneticPr fontId="1" type="noConversion"/>
  </si>
  <si>
    <t>YYYY-MM-DD hh24:mi:sss</t>
    <phoneticPr fontId="1" type="noConversion"/>
  </si>
  <si>
    <t>iesa_CoWorkLinkWork</t>
    <phoneticPr fontId="1" type="noConversion"/>
  </si>
  <si>
    <t>numeric</t>
    <phoneticPr fontId="1" type="noConversion"/>
  </si>
  <si>
    <t>YYYY-MM-DD hh24:mi:sss</t>
    <phoneticPr fontId="1" type="noConversion"/>
  </si>
  <si>
    <t>旧系统表名</t>
    <phoneticPr fontId="1" type="noConversion"/>
  </si>
  <si>
    <t>iect_CoContractAmtRate</t>
    <phoneticPr fontId="1" type="noConversion"/>
  </si>
  <si>
    <t>numeric</t>
    <phoneticPr fontId="1" type="noConversion"/>
  </si>
  <si>
    <t>YYYY-MM-DD hh24:mi:sss</t>
    <phoneticPr fontId="1" type="noConversion"/>
  </si>
  <si>
    <t>iecm_DatumDetail</t>
    <phoneticPr fontId="1" type="noConversion"/>
  </si>
  <si>
    <t>旧系统表名</t>
    <phoneticPr fontId="1" type="noConversion"/>
  </si>
  <si>
    <r>
      <t>opinion_field</t>
    </r>
    <r>
      <rPr>
        <sz val="12"/>
        <rFont val="宋体"/>
        <family val="3"/>
        <charset val="134"/>
        <scheme val="minor"/>
      </rPr>
      <t>1</t>
    </r>
    <phoneticPr fontId="20" type="noConversion"/>
  </si>
  <si>
    <t>text</t>
  </si>
  <si>
    <r>
      <t>opinion_field</t>
    </r>
    <r>
      <rPr>
        <sz val="12"/>
        <rFont val="宋体"/>
        <family val="3"/>
        <charset val="134"/>
        <scheme val="minor"/>
      </rPr>
      <t>2</t>
    </r>
    <phoneticPr fontId="20" type="noConversion"/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</si>
  <si>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3</t>
    </r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</si>
  <si>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4</t>
    </r>
  </si>
  <si>
    <t>流程id</t>
  </si>
  <si>
    <t>apih5_flow_id</t>
    <phoneticPr fontId="20" type="noConversion"/>
  </si>
  <si>
    <t>work_id</t>
  </si>
  <si>
    <t>work_id</t>
    <phoneticPr fontId="20" type="noConversion"/>
  </si>
  <si>
    <t>流程用</t>
  </si>
  <si>
    <t>工序审核状态</t>
  </si>
  <si>
    <t>apih5_flow_status</t>
    <phoneticPr fontId="20" type="noConversion"/>
  </si>
  <si>
    <t>0:发起审核 1:审核中 2:完成 3:驳回  默认0</t>
  </si>
  <si>
    <t>流程状态</t>
  </si>
  <si>
    <t>apih5_flow_node_status</t>
    <phoneticPr fontId="20" type="noConversion"/>
  </si>
  <si>
    <t>0：默认</t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</si>
  <si>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</si>
  <si>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</si>
  <si>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</si>
  <si>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</si>
  <si>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2"/>
        <rFont val="宋体"/>
        <family val="3"/>
        <charset val="134"/>
        <scheme val="minor"/>
      </rPr>
      <t>opinion_field</t>
    </r>
    <r>
      <rPr>
        <sz val="12"/>
        <rFont val="宋体"/>
        <family val="3"/>
        <charset val="134"/>
        <scheme val="minor"/>
      </rPr>
      <t>9</t>
    </r>
    <r>
      <rPr>
        <sz val="11"/>
        <color theme="1"/>
        <rFont val="宋体"/>
        <family val="2"/>
        <charset val="134"/>
        <scheme val="minor"/>
      </rPr>
      <t/>
    </r>
  </si>
  <si>
    <t>opinion_field10</t>
    <phoneticPr fontId="1" type="noConversion"/>
  </si>
  <si>
    <t>ID</t>
    <phoneticPr fontId="1" type="noConversion"/>
  </si>
  <si>
    <t>工程施工类合同评审补充协议表</t>
    <phoneticPr fontId="1" type="noConversion"/>
  </si>
  <si>
    <t>zx_gcsg_ct_contr_process_guajie</t>
    <phoneticPr fontId="1" type="noConversion"/>
  </si>
  <si>
    <t>zx_gcsg_ct_price_sys_item</t>
    <phoneticPr fontId="1" type="noConversion"/>
  </si>
  <si>
    <t>旧系统表名</t>
    <phoneticPr fontId="1" type="noConversion"/>
  </si>
  <si>
    <t>zx_gcsg_ct_price_sys</t>
    <phoneticPr fontId="1" type="noConversion"/>
  </si>
  <si>
    <t>iect_PriceSysItem</t>
    <phoneticPr fontId="1" type="noConversion"/>
  </si>
  <si>
    <t>ct_contract_id</t>
    <phoneticPr fontId="1" type="noConversion"/>
  </si>
  <si>
    <t>ID</t>
    <phoneticPr fontId="1" type="noConversion"/>
  </si>
  <si>
    <t>ID</t>
    <phoneticPr fontId="1" type="noConversion"/>
  </si>
  <si>
    <t>ct_contr_apply_id</t>
    <phoneticPr fontId="1" type="noConversion"/>
  </si>
  <si>
    <t>ID</t>
    <phoneticPr fontId="1" type="noConversion"/>
  </si>
  <si>
    <t>合同ID</t>
    <phoneticPr fontId="1" type="noConversion"/>
  </si>
  <si>
    <t>cc_co_book_id</t>
    <phoneticPr fontId="1" type="noConversion"/>
  </si>
  <si>
    <t>cc_co_alter_work_id</t>
    <phoneticPr fontId="1" type="noConversion"/>
  </si>
  <si>
    <t>ID</t>
    <phoneticPr fontId="1" type="noConversion"/>
  </si>
  <si>
    <t>cc_co_book_id</t>
    <phoneticPr fontId="1" type="noConversion"/>
  </si>
  <si>
    <t>cc_works_id</t>
    <phoneticPr fontId="1" type="noConversion"/>
  </si>
  <si>
    <t>ct_price_sys_item_id</t>
    <phoneticPr fontId="1" type="noConversion"/>
  </si>
  <si>
    <t>ct_contr_process_guajie_id</t>
    <phoneticPr fontId="1" type="noConversion"/>
  </si>
  <si>
    <t>合同评审ID补充协议ID</t>
    <phoneticPr fontId="1" type="noConversion"/>
  </si>
  <si>
    <t>coWorkID</t>
    <phoneticPr fontId="1" type="noConversion"/>
  </si>
  <si>
    <t>分包清单ID</t>
    <phoneticPr fontId="1" type="noConversion"/>
  </si>
  <si>
    <t>ct_co_contract_amt_rate_id</t>
    <phoneticPr fontId="1" type="noConversion"/>
  </si>
  <si>
    <t>ID</t>
    <phoneticPr fontId="1" type="noConversion"/>
  </si>
  <si>
    <t>工程施工类合同补充协议清单表</t>
    <phoneticPr fontId="1" type="noConversion"/>
  </si>
  <si>
    <t>工程施工类合同管理清单表</t>
    <phoneticPr fontId="1" type="noConversion"/>
  </si>
  <si>
    <t>合同单价分析表</t>
    <phoneticPr fontId="1" type="noConversion"/>
  </si>
  <si>
    <t>合同单价分析表里面的id不清楚？</t>
    <phoneticPr fontId="1" type="noConversion"/>
  </si>
  <si>
    <t>ct_contract_id</t>
    <phoneticPr fontId="1" type="noConversion"/>
  </si>
  <si>
    <t>工程施工类合同评审清单表里面为啥没有清单书ID ？</t>
    <phoneticPr fontId="1" type="noConversion"/>
  </si>
  <si>
    <t>没有用，补充协议清单表虽然有字段，但是也没有用</t>
    <phoneticPr fontId="1" type="noConversion"/>
  </si>
  <si>
    <t>工程施工类合同补充协议清单表没有补充协议ID但是有评审ID和合同ID？</t>
    <phoneticPr fontId="1" type="noConversion"/>
  </si>
  <si>
    <t>评审id就是补充协议id</t>
    <phoneticPr fontId="1" type="noConversion"/>
  </si>
  <si>
    <t>工程施工类合同管理清单表没有合同ID?</t>
    <phoneticPr fontId="1" type="noConversion"/>
  </si>
  <si>
    <t>原来是通过清单书关联的，现在可以直接再建一个新字段解决</t>
    <phoneticPr fontId="1" type="noConversion"/>
  </si>
  <si>
    <t>清楚了</t>
    <phoneticPr fontId="1" type="noConversion"/>
  </si>
  <si>
    <t>ct_contr_apply_id</t>
    <phoneticPr fontId="1" type="noConversion"/>
  </si>
  <si>
    <t>ct_contract_id</t>
    <phoneticPr fontId="1" type="noConversion"/>
  </si>
  <si>
    <t>cc_works_id</t>
    <phoneticPr fontId="1" type="noConversion"/>
  </si>
  <si>
    <t>ct_contr_apply_works_id + cc_co_alter_id</t>
    <phoneticPr fontId="1" type="noConversion"/>
  </si>
  <si>
    <t>ct_price_sys_id</t>
    <phoneticPr fontId="1" type="noConversion"/>
  </si>
  <si>
    <t>ct_price_sys_id</t>
    <phoneticPr fontId="1" type="noConversion"/>
  </si>
  <si>
    <t>ct_contract_id</t>
    <phoneticPr fontId="1" type="noConversion"/>
  </si>
  <si>
    <t>cc_works_id</t>
    <phoneticPr fontId="1" type="noConversion"/>
  </si>
  <si>
    <t>ct_contr_apply_works_id + cc_co_alter_id</t>
    <phoneticPr fontId="1" type="noConversion"/>
  </si>
  <si>
    <t>apply_alter_works_id</t>
    <phoneticPr fontId="1" type="noConversion"/>
  </si>
  <si>
    <t>ct_contract_id</t>
    <phoneticPr fontId="1" type="noConversion"/>
  </si>
  <si>
    <t>标准工序ID</t>
    <phoneticPr fontId="1" type="noConversion"/>
  </si>
  <si>
    <t>pp6</t>
    <phoneticPr fontId="1" type="noConversion"/>
  </si>
  <si>
    <t>清单父节点ID</t>
    <phoneticPr fontId="1" type="noConversion"/>
  </si>
  <si>
    <t>归属主合同清单ID</t>
    <phoneticPr fontId="1" type="noConversion"/>
  </si>
  <si>
    <t>归属主合同清单ID</t>
    <phoneticPr fontId="1" type="noConversion"/>
  </si>
  <si>
    <t>补充协议ID</t>
    <phoneticPr fontId="1" type="noConversion"/>
  </si>
  <si>
    <t>fromContractID</t>
    <phoneticPr fontId="1" type="noConversion"/>
  </si>
  <si>
    <t>codeP1</t>
    <phoneticPr fontId="1" type="noConversion"/>
  </si>
  <si>
    <t xml:space="preserve">业主合同功能码 </t>
    <phoneticPr fontId="1" type="noConversion"/>
  </si>
  <si>
    <t>0:未发送；1：已发送</t>
    <phoneticPr fontId="1" type="noConversion"/>
  </si>
  <si>
    <t>0:未发送；1：已发送</t>
    <phoneticPr fontId="1" type="noConversion"/>
  </si>
  <si>
    <t>projSite</t>
    <phoneticPr fontId="1" type="noConversion"/>
  </si>
  <si>
    <t>nominated</t>
    <phoneticPr fontId="1" type="noConversion"/>
  </si>
  <si>
    <t>0代表不是 1代表是</t>
    <phoneticPr fontId="1" type="noConversion"/>
  </si>
  <si>
    <t>projectProperty</t>
    <phoneticPr fontId="1" type="noConversion"/>
  </si>
  <si>
    <t>下拉选择，填“现汇项目”或“投资项目”，在此模块中增加此字段，放到“项目名称”后边</t>
    <phoneticPr fontId="1" type="noConversion"/>
  </si>
  <si>
    <t>下拉选择，填“现汇项目”或“投资项目”，在此模块中增加此字段，放到“项目名称”后边</t>
    <phoneticPr fontId="1" type="noConversion"/>
  </si>
  <si>
    <t>stockAudit</t>
    <phoneticPr fontId="1" type="noConversion"/>
  </si>
  <si>
    <t>因auditStatus不知被什么引用，时间紧没多查找，干脆新增一个栏位</t>
    <phoneticPr fontId="1" type="noConversion"/>
  </si>
  <si>
    <t>统计下面的业主叶子节点.先四舍五入在合计.保留两位小数</t>
    <phoneticPr fontId="1" type="noConversion"/>
  </si>
  <si>
    <r>
      <t>numeric</t>
    </r>
    <r>
      <rPr>
        <sz val="12"/>
        <rFont val="宋体"/>
        <family val="3"/>
        <charset val="134"/>
        <scheme val="minor"/>
      </rPr>
      <t xml:space="preserve"> 统计下面的业主叶子节点.先四舍五入在合计.保留两位小数</t>
    </r>
    <phoneticPr fontId="1" type="noConversion"/>
  </si>
  <si>
    <t>exsitStatus</t>
    <phoneticPr fontId="1" type="noConversion"/>
  </si>
  <si>
    <t>0正常 1 新增 2 修改 3 删除 标记数量为0</t>
    <phoneticPr fontId="1" type="noConversion"/>
  </si>
  <si>
    <t>0正常 1 新增 2 修改 3 删除 标记数量为0</t>
    <phoneticPr fontId="1" type="noConversion"/>
  </si>
  <si>
    <t>isAssignable</t>
    <phoneticPr fontId="1" type="noConversion"/>
  </si>
  <si>
    <t>业主清单子节点.业主清单的叶子节点,和拆分的清单都是可以分配计量的.</t>
    <phoneticPr fontId="1" type="noConversion"/>
  </si>
  <si>
    <t>业主清单子节点.业主清单的叶子节点,和拆分的清单都是可以分配计量的.</t>
    <phoneticPr fontId="1" type="noConversion"/>
  </si>
  <si>
    <t>inputWorkType</t>
    <phoneticPr fontId="1" type="noConversion"/>
  </si>
  <si>
    <t>用于标准清单</t>
    <phoneticPr fontId="1" type="noConversion"/>
  </si>
  <si>
    <r>
      <t>numeric</t>
    </r>
    <r>
      <rPr>
        <sz val="12"/>
        <color theme="1"/>
        <rFont val="宋体"/>
        <family val="3"/>
        <charset val="134"/>
        <scheme val="minor"/>
      </rPr>
      <t xml:space="preserve"> 统计下面的业主叶子节点.先四舍五入在合计.保留两位小数</t>
    </r>
    <phoneticPr fontId="1" type="noConversion"/>
  </si>
  <si>
    <t>1：公路 2：铁路3：市政</t>
    <phoneticPr fontId="1" type="noConversion"/>
  </si>
  <si>
    <t>用于标准清单</t>
    <phoneticPr fontId="1" type="noConversion"/>
  </si>
  <si>
    <r>
      <t>numeric</t>
    </r>
    <r>
      <rPr>
        <sz val="12"/>
        <color theme="1"/>
        <rFont val="宋体"/>
        <family val="3"/>
        <charset val="134"/>
        <scheme val="minor"/>
      </rPr>
      <t xml:space="preserve"> 统计下面的业主叶子节点.先四舍五入在合计.保留两位小数</t>
    </r>
    <phoneticPr fontId="1" type="noConversion"/>
  </si>
  <si>
    <t>0正常 1 新增 2 修改 3 删除 标记数量为0</t>
    <phoneticPr fontId="1" type="noConversion"/>
  </si>
  <si>
    <t>业主清单子节点.业主清单的叶子节点,和拆分的清单都是可以分配计量的.</t>
    <phoneticPr fontId="1" type="noConversion"/>
  </si>
  <si>
    <t>0 =正常 1 = 已删除 2= 新增</t>
    <phoneticPr fontId="1" type="noConversion"/>
  </si>
  <si>
    <t>分公司发送到局标识为ju分公司修改标识为part分公司下发标识为ju</t>
    <phoneticPr fontId="1" type="noConversion"/>
  </si>
  <si>
    <t>ct_contract_id</t>
    <phoneticPr fontId="1" type="noConversion"/>
  </si>
  <si>
    <t>新建的字段</t>
    <phoneticPr fontId="1" type="noConversion"/>
  </si>
  <si>
    <t>合同管理ID(新建字段)</t>
    <phoneticPr fontId="1" type="noConversion"/>
  </si>
  <si>
    <t>contractNo</t>
    <phoneticPr fontId="1" type="noConversion"/>
  </si>
  <si>
    <t>pp1</t>
    <phoneticPr fontId="1" type="noConversion"/>
  </si>
  <si>
    <t>补充协议名称</t>
    <phoneticPr fontId="1" type="noConversion"/>
  </si>
  <si>
    <t>本期含税增减金额(万元)</t>
    <phoneticPr fontId="1" type="noConversion"/>
  </si>
  <si>
    <t>CoAlterBO</t>
    <phoneticPr fontId="1" type="noConversion"/>
  </si>
  <si>
    <t>合同名称ID</t>
    <phoneticPr fontId="1" type="noConversion"/>
  </si>
  <si>
    <t>补充协议合同管理ID</t>
    <phoneticPr fontId="1" type="noConversion"/>
  </si>
  <si>
    <t>pp10</t>
    <phoneticPr fontId="1" type="noConversion"/>
  </si>
  <si>
    <t>pp2</t>
    <phoneticPr fontId="1" type="noConversion"/>
  </si>
  <si>
    <t>pp1</t>
    <phoneticPr fontId="1" type="noConversion"/>
  </si>
  <si>
    <t>补充协议清单ID CoAlterBO</t>
    <phoneticPr fontId="1" type="noConversion"/>
  </si>
  <si>
    <t>pp7</t>
    <phoneticPr fontId="1" type="noConversion"/>
  </si>
  <si>
    <t>pp9</t>
    <phoneticPr fontId="1" type="noConversion"/>
  </si>
  <si>
    <t>pp10</t>
    <phoneticPr fontId="1" type="noConversion"/>
  </si>
  <si>
    <t>pp9</t>
    <phoneticPr fontId="1" type="noConversion"/>
  </si>
  <si>
    <t>补充协议名称(pp3)</t>
    <phoneticPr fontId="1" type="noConversion"/>
  </si>
  <si>
    <t>补充协议合同管理ID(pp6)</t>
    <phoneticPr fontId="1" type="noConversion"/>
  </si>
  <si>
    <t>清单(pp8)</t>
    <phoneticPr fontId="1" type="noConversion"/>
  </si>
  <si>
    <t>补充协议本期含税增减金额(万元)(pp4)</t>
    <phoneticPr fontId="1" type="noConversion"/>
  </si>
  <si>
    <t>cc_co_alter_id</t>
    <phoneticPr fontId="1" type="noConversion"/>
  </si>
  <si>
    <t>补充协议本期含税增减金额(万元)</t>
    <phoneticPr fontId="1" type="noConversion"/>
  </si>
  <si>
    <t>agreement_name</t>
    <phoneticPr fontId="1" type="noConversion"/>
  </si>
  <si>
    <t>pp1</t>
    <phoneticPr fontId="1" type="noConversion"/>
  </si>
  <si>
    <t>乙方(手机)(pp1)</t>
    <phoneticPr fontId="1" type="noConversion"/>
  </si>
  <si>
    <t>乙方(传真)(pp2)</t>
    <phoneticPr fontId="1" type="noConversion"/>
  </si>
  <si>
    <t>合同类型(pp3)</t>
    <phoneticPr fontId="1" type="noConversion"/>
  </si>
  <si>
    <t>累计结算金额(pp4)</t>
    <phoneticPr fontId="1" type="noConversion"/>
  </si>
  <si>
    <t>累计支付金额(pp5)</t>
    <phoneticPr fontId="1" type="noConversion"/>
  </si>
  <si>
    <t>清单(pp8)</t>
    <phoneticPr fontId="1" type="noConversion"/>
  </si>
  <si>
    <t>second_party_mobile</t>
    <phoneticPr fontId="1" type="noConversion"/>
  </si>
  <si>
    <t>second_party_fax</t>
    <phoneticPr fontId="1" type="noConversion"/>
  </si>
  <si>
    <t>contractType</t>
    <phoneticPr fontId="1" type="noConversion"/>
  </si>
  <si>
    <t>contract_manage_type</t>
    <phoneticPr fontId="1" type="noConversion"/>
  </si>
  <si>
    <t>acc_settlement_amount</t>
    <phoneticPr fontId="1" type="noConversion"/>
  </si>
  <si>
    <t>acc_payment_amount</t>
    <phoneticPr fontId="1" type="noConversion"/>
  </si>
  <si>
    <t>works_id</t>
    <phoneticPr fontId="1" type="noConversion"/>
  </si>
  <si>
    <t>works_id</t>
    <phoneticPr fontId="1" type="noConversion"/>
  </si>
  <si>
    <t>varchar</t>
    <phoneticPr fontId="1" type="noConversion"/>
  </si>
  <si>
    <t>pp1</t>
    <phoneticPr fontId="1" type="noConversion"/>
  </si>
  <si>
    <t>pp1</t>
    <phoneticPr fontId="1" type="noConversion"/>
  </si>
  <si>
    <t>pp6</t>
    <phoneticPr fontId="1" type="noConversion"/>
  </si>
  <si>
    <t>pp7</t>
    <phoneticPr fontId="1" type="noConversion"/>
  </si>
  <si>
    <t>补充协议ID(pp3)</t>
    <phoneticPr fontId="1" type="noConversion"/>
  </si>
  <si>
    <t>(IP的合同ID)(pp6)</t>
    <phoneticPr fontId="1" type="noConversion"/>
  </si>
  <si>
    <t>批复单位(pp1)</t>
    <phoneticPr fontId="1" type="noConversion"/>
  </si>
  <si>
    <t>approval_unit</t>
    <phoneticPr fontId="1" type="noConversion"/>
  </si>
  <si>
    <t>ct_contr_apply_id</t>
    <phoneticPr fontId="1" type="noConversion"/>
  </si>
  <si>
    <t>ip_contract_id</t>
    <phoneticPr fontId="1" type="noConversion"/>
  </si>
  <si>
    <t>清单名称(pp2)</t>
    <phoneticPr fontId="1" type="noConversion"/>
  </si>
  <si>
    <t>单位(pp3)</t>
    <phoneticPr fontId="1" type="noConversion"/>
  </si>
  <si>
    <t>清单编号(pp4)</t>
    <phoneticPr fontId="1" type="noConversion"/>
  </si>
  <si>
    <t>挂接(pp10)</t>
    <phoneticPr fontId="1" type="noConversion"/>
  </si>
  <si>
    <t>归属主合同清单ID(pp6)</t>
    <phoneticPr fontId="1" type="noConversion"/>
  </si>
  <si>
    <t>清单父节点ID</t>
    <phoneticPr fontId="1" type="noConversion"/>
  </si>
  <si>
    <t>workNo</t>
    <phoneticPr fontId="1" type="noConversion"/>
  </si>
  <si>
    <t>cc_works_id</t>
    <phoneticPr fontId="1" type="noConversion"/>
  </si>
  <si>
    <t>unit</t>
    <phoneticPr fontId="1" type="noConversion"/>
  </si>
  <si>
    <t>归属主合同清单编号(pp1)</t>
    <phoneticPr fontId="1" type="noConversion"/>
  </si>
  <si>
    <t>mount</t>
    <phoneticPr fontId="1" type="noConversion"/>
  </si>
  <si>
    <t>cc_works_name</t>
    <phoneticPr fontId="1" type="noConversion"/>
  </si>
  <si>
    <t>cc_works_unit</t>
    <phoneticPr fontId="1" type="noConversion"/>
  </si>
  <si>
    <t>cc_works_no</t>
    <phoneticPr fontId="1" type="noConversion"/>
  </si>
  <si>
    <t>cc_works_parent_id</t>
    <phoneticPr fontId="1" type="noConversion"/>
  </si>
  <si>
    <t>cc_works_parent_no</t>
    <phoneticPr fontId="1" type="noConversion"/>
  </si>
  <si>
    <t>alterID</t>
    <phoneticPr fontId="1" type="noConversion"/>
  </si>
  <si>
    <t>cc_co_alter_id</t>
    <phoneticPr fontId="1" type="noConversion"/>
  </si>
  <si>
    <t>变更ID(alterID)</t>
    <phoneticPr fontId="1" type="noConversion"/>
  </si>
  <si>
    <t>ct_contr_apply_id</t>
    <phoneticPr fontId="1" type="noConversion"/>
  </si>
  <si>
    <t>ct_contract_id</t>
    <phoneticPr fontId="1" type="noConversion"/>
  </si>
  <si>
    <t>fromApplyID</t>
    <phoneticPr fontId="1" type="noConversion"/>
  </si>
  <si>
    <t>合同评审ID(fromApplyID)</t>
    <phoneticPr fontId="1" type="noConversion"/>
  </si>
  <si>
    <t>contrApplyID</t>
    <phoneticPr fontId="1" type="noConversion"/>
  </si>
  <si>
    <t>合同评审ID(contrApplyID)</t>
    <phoneticPr fontId="1" type="noConversion"/>
  </si>
  <si>
    <t>ct_contr_apply_works_id</t>
    <phoneticPr fontId="1" type="noConversion"/>
  </si>
  <si>
    <t>cc_co_alter_id</t>
    <phoneticPr fontId="1" type="noConversion"/>
  </si>
  <si>
    <t>coBookID</t>
    <phoneticPr fontId="1" type="noConversion"/>
  </si>
  <si>
    <t>协作清单书ID(coBookID)</t>
    <phoneticPr fontId="1" type="noConversion"/>
  </si>
  <si>
    <t>合同ID(contractID)</t>
    <phoneticPr fontId="1" type="noConversion"/>
  </si>
  <si>
    <t>清单ID(workID)</t>
    <phoneticPr fontId="1" type="noConversion"/>
  </si>
  <si>
    <t>清单书ID(workBookID)</t>
    <phoneticPr fontId="1" type="noConversion"/>
  </si>
  <si>
    <t>合同评审,补充协议ID(contrApplyID)</t>
    <phoneticPr fontId="1" type="noConversion"/>
  </si>
  <si>
    <t>contractID</t>
    <phoneticPr fontId="1" type="noConversion"/>
  </si>
  <si>
    <t>合同管理ID(contractID)</t>
    <phoneticPr fontId="1" type="noConversion"/>
  </si>
  <si>
    <t>apply_alter_works_id</t>
    <phoneticPr fontId="1" type="noConversion"/>
  </si>
  <si>
    <t>合同评审,补充协议清单ID(applyWorkID)</t>
    <phoneticPr fontId="1" type="noConversion"/>
  </si>
  <si>
    <t>workID</t>
    <phoneticPr fontId="1" type="noConversion"/>
  </si>
  <si>
    <t>合同管理清单ID(workID)</t>
    <phoneticPr fontId="1" type="noConversion"/>
  </si>
  <si>
    <t>mainID</t>
    <phoneticPr fontId="1" type="noConversion"/>
  </si>
  <si>
    <t>合同单价分析表ID(mainID)</t>
    <phoneticPr fontId="1" type="noConversion"/>
  </si>
  <si>
    <t>contractID 这个字段用其它不用了</t>
    <phoneticPr fontId="1" type="noConversion"/>
  </si>
  <si>
    <t>协作合同(contractID)</t>
    <phoneticPr fontId="1" type="noConversion"/>
  </si>
  <si>
    <t>workID</t>
    <phoneticPr fontId="1" type="noConversion"/>
  </si>
  <si>
    <t>合同清单ID(workID)</t>
    <phoneticPr fontId="1" type="noConversion"/>
  </si>
  <si>
    <t>合同评审清单ID、合同补充协议清单ID(applyWorkID)</t>
    <phoneticPr fontId="1" type="noConversion"/>
  </si>
  <si>
    <t>合同评审ID补充协议ID(contrApplyID)</t>
    <phoneticPr fontId="1" type="noConversion"/>
  </si>
  <si>
    <t>contractID</t>
    <phoneticPr fontId="1" type="noConversion"/>
  </si>
  <si>
    <t>合同管理ID(contractID)</t>
    <phoneticPr fontId="1" type="noConversion"/>
  </si>
  <si>
    <t>contractID</t>
    <phoneticPr fontId="1" type="noConversion"/>
  </si>
  <si>
    <t>合同ID(contractID)</t>
    <phoneticPr fontId="1" type="noConversion"/>
  </si>
  <si>
    <t>分包清单ID(coWorkID)</t>
    <phoneticPr fontId="1" type="noConversion"/>
  </si>
  <si>
    <t>sa_co_work_link_work_id</t>
    <phoneticPr fontId="1" type="noConversion"/>
  </si>
  <si>
    <t>zx_gcsg_sa_co_work_link_work</t>
    <phoneticPr fontId="1" type="noConversion"/>
  </si>
  <si>
    <t>zx_gcsg_ct_co_contract_amt_rate</t>
    <phoneticPr fontId="1" type="noConversion"/>
  </si>
  <si>
    <t>zx_gcsg_cc_co_book</t>
    <phoneticPr fontId="1" type="noConversion"/>
  </si>
  <si>
    <t>flowpassed不知道是哪里用的</t>
    <phoneticPr fontId="1" type="noConversion"/>
  </si>
  <si>
    <t>iect_ContrApply</t>
    <phoneticPr fontId="1" type="noConversion"/>
  </si>
  <si>
    <t>湖北省不知是哪里用</t>
    <phoneticPr fontId="1" type="noConversion"/>
  </si>
  <si>
    <r>
      <t>iectContrInfoP2</t>
    </r>
    <r>
      <rPr>
        <sz val="12"/>
        <rFont val="宋体"/>
        <family val="3"/>
        <charset val="134"/>
        <scheme val="minor"/>
      </rPr>
      <t xml:space="preserve"> 不知是哪里用</t>
    </r>
    <phoneticPr fontId="1" type="noConversion"/>
  </si>
  <si>
    <t>流入 不知哪里用</t>
    <phoneticPr fontId="1" type="noConversion"/>
  </si>
  <si>
    <t>iect_PriceSys</t>
    <phoneticPr fontId="1" type="noConversion"/>
  </si>
  <si>
    <t>remark</t>
    <phoneticPr fontId="1" type="noConversion"/>
  </si>
  <si>
    <t>合同管理/工程施工类合同/工程施工类合同评审补充协议表</t>
    <phoneticPr fontId="1" type="noConversion"/>
  </si>
  <si>
    <t>zx_gcsg_cm_datum_detail</t>
    <phoneticPr fontId="1" type="noConversion"/>
  </si>
  <si>
    <t>cm_datum_detail_id</t>
    <phoneticPr fontId="1" type="noConversion"/>
  </si>
  <si>
    <t>○</t>
  </si>
  <si>
    <t>其他表主键</t>
  </si>
  <si>
    <r>
      <rPr>
        <sz val="12"/>
        <color theme="1"/>
        <rFont val="宋体"/>
        <family val="3"/>
        <charset val="134"/>
        <scheme val="minor"/>
      </rPr>
      <t>c</t>
    </r>
    <r>
      <rPr>
        <sz val="12"/>
        <color theme="1"/>
        <rFont val="宋体"/>
        <family val="3"/>
        <charset val="134"/>
        <scheme val="minor"/>
      </rPr>
      <t>har</t>
    </r>
  </si>
  <si>
    <r>
      <rPr>
        <sz val="12"/>
        <color theme="1"/>
        <rFont val="宋体"/>
        <family val="3"/>
        <charset val="134"/>
        <scheme val="minor"/>
      </rPr>
      <t>F</t>
    </r>
    <r>
      <rPr>
        <sz val="12"/>
        <color theme="1"/>
        <rFont val="宋体"/>
        <family val="3"/>
        <charset val="134"/>
        <scheme val="minor"/>
      </rPr>
      <t>K</t>
    </r>
  </si>
  <si>
    <t>业务表类型</t>
  </si>
  <si>
    <t>文件名称</t>
  </si>
  <si>
    <t>大小</t>
  </si>
  <si>
    <t>WEB文件地址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</si>
  <si>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</si>
  <si>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</si>
  <si>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</si>
  <si>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</si>
  <si>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</si>
  <si>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</si>
  <si>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</si>
  <si>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</si>
  <si>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</si>
  <si>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</si>
  <si>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删除flg</t>
  </si>
  <si>
    <t>del_flag</t>
  </si>
  <si>
    <t>0:未删除 1：逻辑删除</t>
  </si>
  <si>
    <t>create_time</t>
  </si>
  <si>
    <t>YYYY-MM-DD hh24:mi:ss</t>
  </si>
  <si>
    <t>创建者</t>
  </si>
  <si>
    <t>create_user</t>
  </si>
  <si>
    <t>创建者姓名</t>
  </si>
  <si>
    <t>create_user_name</t>
  </si>
  <si>
    <t>更新时间</t>
  </si>
  <si>
    <t>modify_time</t>
  </si>
  <si>
    <t>更新者</t>
  </si>
  <si>
    <t>modify_user</t>
  </si>
  <si>
    <t>更新者姓名</t>
  </si>
  <si>
    <t>modify_user_name</t>
  </si>
  <si>
    <t>工程施工类合同附件表(新)</t>
    <phoneticPr fontId="1" type="noConversion"/>
  </si>
  <si>
    <t>other_type</t>
    <phoneticPr fontId="1" type="noConversion"/>
  </si>
  <si>
    <t>contractStatus</t>
    <phoneticPr fontId="1" type="noConversion"/>
  </si>
  <si>
    <t>settleType</t>
    <phoneticPr fontId="1" type="noConversion"/>
  </si>
  <si>
    <t>audit</t>
    <phoneticPr fontId="1" type="noConversion"/>
  </si>
  <si>
    <t>计价规则ID</t>
  </si>
  <si>
    <t>计价规则名称</t>
  </si>
  <si>
    <t>新增的字段</t>
    <phoneticPr fontId="1" type="noConversion"/>
  </si>
  <si>
    <t>新增的字段</t>
    <phoneticPr fontId="1" type="noConversion"/>
  </si>
  <si>
    <t>变更后含税金额</t>
    <phoneticPr fontId="1" type="noConversion"/>
  </si>
  <si>
    <t>补充协议清单ID CoAlterBO(pp5)</t>
    <phoneticPr fontId="1" type="noConversion"/>
  </si>
  <si>
    <t>原含税合同金额(万元)(pp2)</t>
    <phoneticPr fontId="1" type="noConversion"/>
  </si>
  <si>
    <t>varchar64</t>
    <phoneticPr fontId="1" type="noConversion"/>
  </si>
  <si>
    <t>补充协议ID</t>
    <phoneticPr fontId="1" type="noConversion"/>
  </si>
  <si>
    <t>新增的字段</t>
    <phoneticPr fontId="1" type="noConversion"/>
  </si>
  <si>
    <t>新增的字段</t>
    <phoneticPr fontId="1" type="noConversion"/>
  </si>
  <si>
    <t>树节点编号</t>
    <phoneticPr fontId="1" type="noConversion"/>
  </si>
  <si>
    <t>项目id</t>
    <phoneticPr fontId="1" type="noConversion"/>
  </si>
  <si>
    <t>项目名称</t>
    <phoneticPr fontId="1" type="noConversion"/>
  </si>
  <si>
    <t>公司id</t>
    <phoneticPr fontId="1" type="noConversion"/>
  </si>
  <si>
    <t>公司名称</t>
    <phoneticPr fontId="1" type="noConversion"/>
  </si>
  <si>
    <t>原合同ID--附属合同应用</t>
    <phoneticPr fontId="1" type="noConversion"/>
  </si>
  <si>
    <r>
      <t>project</t>
    </r>
    <r>
      <rPr>
        <sz val="12"/>
        <color theme="1"/>
        <rFont val="宋体"/>
        <family val="3"/>
        <charset val="134"/>
        <scheme val="minor"/>
      </rPr>
      <t>_name</t>
    </r>
    <phoneticPr fontId="1" type="noConversion"/>
  </si>
  <si>
    <r>
      <t>company_</t>
    </r>
    <r>
      <rPr>
        <sz val="12"/>
        <color theme="1"/>
        <rFont val="宋体"/>
        <family val="3"/>
        <charset val="134"/>
        <scheme val="minor"/>
      </rPr>
      <t>name</t>
    </r>
    <phoneticPr fontId="1" type="noConversion"/>
  </si>
  <si>
    <r>
      <t>v</t>
    </r>
    <r>
      <rPr>
        <sz val="12"/>
        <color theme="1"/>
        <rFont val="宋体"/>
        <family val="3"/>
        <charset val="134"/>
        <scheme val="minor"/>
      </rPr>
      <t>archar</t>
    </r>
    <phoneticPr fontId="1" type="noConversion"/>
  </si>
  <si>
    <t>新增的字段</t>
    <phoneticPr fontId="1" type="noConversion"/>
  </si>
  <si>
    <r>
      <t>project</t>
    </r>
    <r>
      <rPr>
        <sz val="12"/>
        <color theme="1"/>
        <rFont val="宋体"/>
        <family val="3"/>
        <charset val="134"/>
        <scheme val="minor"/>
      </rPr>
      <t>_i</t>
    </r>
    <r>
      <rPr>
        <sz val="12"/>
        <color theme="1"/>
        <rFont val="宋体"/>
        <family val="3"/>
        <charset val="134"/>
        <scheme val="minor"/>
      </rPr>
      <t>d</t>
    </r>
    <phoneticPr fontId="1" type="noConversion"/>
  </si>
  <si>
    <r>
      <t>company</t>
    </r>
    <r>
      <rPr>
        <sz val="12"/>
        <color theme="1"/>
        <rFont val="宋体"/>
        <family val="3"/>
        <charset val="134"/>
        <scheme val="minor"/>
      </rPr>
      <t>_i</t>
    </r>
    <r>
      <rPr>
        <sz val="12"/>
        <color theme="1"/>
        <rFont val="宋体"/>
        <family val="3"/>
        <charset val="134"/>
        <scheme val="minor"/>
      </rPr>
      <t>d</t>
    </r>
    <phoneticPr fontId="1" type="noConversion"/>
  </si>
  <si>
    <t>orgID</t>
    <phoneticPr fontId="1" type="noConversion"/>
  </si>
  <si>
    <t>工程施工类合同补充协议清单明细表</t>
    <phoneticPr fontId="1" type="noConversion"/>
  </si>
  <si>
    <t>工程施工类合同变更明细副本</t>
    <phoneticPr fontId="1" type="noConversion"/>
  </si>
  <si>
    <t>char</t>
    <phoneticPr fontId="1" type="noConversion"/>
  </si>
  <si>
    <t>char</t>
    <phoneticPr fontId="1" type="noConversion"/>
  </si>
  <si>
    <t>原合同名称</t>
    <phoneticPr fontId="1" type="noConversion"/>
  </si>
  <si>
    <t>contractName</t>
    <phoneticPr fontId="1" type="noConversion"/>
  </si>
  <si>
    <t>contract_name</t>
    <phoneticPr fontId="1" type="noConversion"/>
  </si>
  <si>
    <t>新增的字段</t>
    <phoneticPr fontId="1" type="noConversion"/>
  </si>
  <si>
    <t>contractNameFormula</t>
    <phoneticPr fontId="1" type="noConversion"/>
  </si>
  <si>
    <t>1:执行中 3:终止 默认1</t>
    <phoneticPr fontId="1" type="noConversion"/>
  </si>
  <si>
    <t>0:个人 1:单位 默认空</t>
    <phoneticPr fontId="1" type="noConversion"/>
  </si>
  <si>
    <t>原合同含税单价</t>
    <phoneticPr fontId="1" type="noConversion"/>
  </si>
  <si>
    <t>原合同数量</t>
    <phoneticPr fontId="1" type="noConversion"/>
  </si>
  <si>
    <t>原合同不含税单价</t>
    <phoneticPr fontId="1" type="noConversion"/>
  </si>
  <si>
    <t>原合同不含税金额</t>
    <phoneticPr fontId="1" type="noConversion"/>
  </si>
  <si>
    <t>变更后合同数量</t>
    <phoneticPr fontId="1" type="noConversion"/>
  </si>
  <si>
    <t>变更后合同含税单价</t>
    <phoneticPr fontId="1" type="noConversion"/>
  </si>
  <si>
    <t>变更后合同不含税单价</t>
    <phoneticPr fontId="1" type="noConversion"/>
  </si>
  <si>
    <t>原合同含税金额</t>
    <phoneticPr fontId="1" type="noConversion"/>
  </si>
  <si>
    <t>原合同税额</t>
    <phoneticPr fontId="1" type="noConversion"/>
  </si>
  <si>
    <t>变更后合同含税金额</t>
    <phoneticPr fontId="1" type="noConversion"/>
  </si>
  <si>
    <t>变更后合同不含税金额</t>
    <phoneticPr fontId="1" type="noConversion"/>
  </si>
  <si>
    <t>变更后合同税额</t>
    <phoneticPr fontId="1" type="noConversion"/>
  </si>
  <si>
    <t>上期末变更后合同含税金额</t>
    <phoneticPr fontId="1" type="noConversion"/>
  </si>
  <si>
    <t>上期末变更后合同不含税金额</t>
    <phoneticPr fontId="1" type="noConversion"/>
  </si>
  <si>
    <t>上期末变更后合同税额</t>
    <phoneticPr fontId="1" type="noConversion"/>
  </si>
  <si>
    <t>本期合同变更增减税额</t>
    <phoneticPr fontId="1" type="noConversion"/>
  </si>
  <si>
    <t>本期含税变更增减金额(万元)</t>
    <phoneticPr fontId="1" type="noConversion"/>
  </si>
  <si>
    <t>本期合同含税变更增减金额</t>
    <phoneticPr fontId="1" type="noConversion"/>
  </si>
  <si>
    <t>本期合同不含税变更增减金额</t>
    <phoneticPr fontId="1" type="noConversion"/>
  </si>
  <si>
    <t>zx_gcsg_ct_contr_apply</t>
    <phoneticPr fontId="1" type="noConversion"/>
  </si>
  <si>
    <t>zx_gcsg_ct_contr_apply_works</t>
    <phoneticPr fontId="1" type="noConversion"/>
  </si>
  <si>
    <t>zx_gcsg_ct_contract</t>
    <phoneticPr fontId="1" type="noConversion"/>
  </si>
  <si>
    <t>zx_gcsg_cc_works</t>
    <phoneticPr fontId="1" type="noConversion"/>
  </si>
  <si>
    <t>zx_gcsg_cc_co_alter</t>
    <phoneticPr fontId="1" type="noConversion"/>
  </si>
  <si>
    <t>zx_gcsg_cc_co_alter_work</t>
    <phoneticPr fontId="1" type="noConversion"/>
  </si>
  <si>
    <r>
      <t xml:space="preserve">合同评审表
</t>
    </r>
    <r>
      <rPr>
        <b/>
        <sz val="6"/>
        <color theme="1"/>
        <rFont val="宋体"/>
        <family val="3"/>
        <charset val="134"/>
        <scheme val="minor"/>
      </rPr>
      <t>(zx_gcsg_ct_contr_apply)</t>
    </r>
    <phoneticPr fontId="1" type="noConversion"/>
  </si>
  <si>
    <r>
      <t xml:space="preserve">合同评审清单表
</t>
    </r>
    <r>
      <rPr>
        <b/>
        <sz val="6"/>
        <color theme="1"/>
        <rFont val="宋体"/>
        <family val="3"/>
        <charset val="134"/>
        <scheme val="minor"/>
      </rPr>
      <t>(zx_gcsg_ct_contr_apply_works)</t>
    </r>
    <phoneticPr fontId="1" type="noConversion"/>
  </si>
  <si>
    <r>
      <t xml:space="preserve">合同管理表
</t>
    </r>
    <r>
      <rPr>
        <b/>
        <sz val="6"/>
        <color theme="1"/>
        <rFont val="宋体"/>
        <family val="3"/>
        <charset val="134"/>
        <scheme val="minor"/>
      </rPr>
      <t>(zx_gcsg_ct_contract)</t>
    </r>
    <phoneticPr fontId="1" type="noConversion"/>
  </si>
  <si>
    <r>
      <t xml:space="preserve">合同管理清单表
</t>
    </r>
    <r>
      <rPr>
        <b/>
        <sz val="6"/>
        <color theme="1"/>
        <rFont val="宋体"/>
        <family val="3"/>
        <charset val="134"/>
        <scheme val="minor"/>
      </rPr>
      <t>(zx_gcsg_cc_works)</t>
    </r>
    <phoneticPr fontId="1" type="noConversion"/>
  </si>
  <si>
    <r>
      <t xml:space="preserve">补充协议表
</t>
    </r>
    <r>
      <rPr>
        <b/>
        <sz val="6"/>
        <color theme="1"/>
        <rFont val="宋体"/>
        <family val="3"/>
        <charset val="134"/>
        <scheme val="minor"/>
      </rPr>
      <t>(zx_gcsg_ct_contr_apply)</t>
    </r>
    <phoneticPr fontId="1" type="noConversion"/>
  </si>
  <si>
    <r>
      <t xml:space="preserve">补充协议清单表
</t>
    </r>
    <r>
      <rPr>
        <b/>
        <sz val="6"/>
        <color theme="1"/>
        <rFont val="宋体"/>
        <family val="3"/>
        <charset val="134"/>
        <scheme val="minor"/>
      </rPr>
      <t>(zx_gcsg_cc_co_alter)</t>
    </r>
    <phoneticPr fontId="1" type="noConversion"/>
  </si>
  <si>
    <r>
      <t xml:space="preserve">补充协议清单明细表
</t>
    </r>
    <r>
      <rPr>
        <b/>
        <sz val="6"/>
        <color theme="1"/>
        <rFont val="宋体"/>
        <family val="3"/>
        <charset val="134"/>
        <scheme val="minor"/>
      </rPr>
      <t>(zx_gcsg_cc_co_alter_work)</t>
    </r>
    <phoneticPr fontId="1" type="noConversion"/>
  </si>
  <si>
    <t>contractCost</t>
    <phoneticPr fontId="1" type="noConversion"/>
  </si>
  <si>
    <t>contractCostNoTax</t>
    <phoneticPr fontId="1" type="noConversion"/>
  </si>
  <si>
    <t>quantity</t>
    <phoneticPr fontId="1" type="noConversion"/>
  </si>
  <si>
    <t>priceNoTax</t>
    <phoneticPr fontId="1" type="noConversion"/>
  </si>
  <si>
    <t>amtNoTax</t>
    <phoneticPr fontId="1" type="noConversion"/>
  </si>
  <si>
    <t>contractCostTax</t>
    <phoneticPr fontId="1" type="noConversion"/>
  </si>
  <si>
    <t>alterContractSumNoTax</t>
    <phoneticPr fontId="1" type="noConversion"/>
  </si>
  <si>
    <t>alterContractSumNoTax</t>
    <phoneticPr fontId="1" type="noConversion"/>
  </si>
  <si>
    <t>alterContractSumTax</t>
    <phoneticPr fontId="1" type="noConversion"/>
  </si>
  <si>
    <t>price</t>
    <phoneticPr fontId="1" type="noConversion"/>
  </si>
  <si>
    <t>priceNoTax</t>
    <phoneticPr fontId="1" type="noConversion"/>
  </si>
  <si>
    <t>amt</t>
    <phoneticPr fontId="1" type="noConversion"/>
  </si>
  <si>
    <t>contractCost</t>
    <phoneticPr fontId="1" type="noConversion"/>
  </si>
  <si>
    <t>current_tax_amount</t>
    <phoneticPr fontId="1" type="noConversion"/>
  </si>
  <si>
    <t>current_tax_amount</t>
    <phoneticPr fontId="1" type="noConversion"/>
  </si>
  <si>
    <t>alterContractSum</t>
    <phoneticPr fontId="1" type="noConversion"/>
  </si>
  <si>
    <t>alterContractSum</t>
    <phoneticPr fontId="1" type="noConversion"/>
  </si>
  <si>
    <t>upAlterContractSum</t>
    <phoneticPr fontId="1" type="noConversion"/>
  </si>
  <si>
    <t>alterContractSumTax</t>
    <phoneticPr fontId="1" type="noConversion"/>
  </si>
  <si>
    <t>alterContractSumTax</t>
    <phoneticPr fontId="1" type="noConversion"/>
  </si>
  <si>
    <t>pp4NoTax</t>
    <phoneticPr fontId="1" type="noConversion"/>
  </si>
  <si>
    <t>pp4NoTax</t>
    <phoneticPr fontId="1" type="noConversion"/>
  </si>
  <si>
    <t>pp4Tax</t>
    <phoneticPr fontId="1" type="noConversion"/>
  </si>
  <si>
    <t>pp4Tax</t>
    <phoneticPr fontId="1" type="noConversion"/>
  </si>
  <si>
    <t>upAlterContractSumTax</t>
    <phoneticPr fontId="1" type="noConversion"/>
  </si>
  <si>
    <t>applyAmount</t>
    <phoneticPr fontId="1" type="noConversion"/>
  </si>
  <si>
    <t>original_tax_amount</t>
    <phoneticPr fontId="1" type="noConversion"/>
  </si>
  <si>
    <t>applyAmountNoTax</t>
    <phoneticPr fontId="1" type="noConversion"/>
  </si>
  <si>
    <t>replyAmountNoTax</t>
    <phoneticPr fontId="1" type="noConversion"/>
  </si>
  <si>
    <t>replyAmountTax</t>
    <phoneticPr fontId="1" type="noConversion"/>
  </si>
  <si>
    <t>pp2NoTax</t>
    <phoneticPr fontId="1" type="noConversion"/>
  </si>
  <si>
    <t>pp2NoTax</t>
    <phoneticPr fontId="1" type="noConversion"/>
  </si>
  <si>
    <t>pp2Tax</t>
    <phoneticPr fontId="1" type="noConversion"/>
  </si>
  <si>
    <t>pp2Tax</t>
    <phoneticPr fontId="1" type="noConversion"/>
  </si>
  <si>
    <t>originQty</t>
    <phoneticPr fontId="1" type="noConversion"/>
  </si>
  <si>
    <t>originPrice</t>
    <phoneticPr fontId="1" type="noConversion"/>
  </si>
  <si>
    <t>变更增减数量</t>
    <phoneticPr fontId="1" type="noConversion"/>
  </si>
  <si>
    <t>变更增减单价</t>
    <phoneticPr fontId="1" type="noConversion"/>
  </si>
  <si>
    <t>afterChangeQty</t>
    <phoneticPr fontId="1" type="noConversion"/>
  </si>
  <si>
    <t>afterChangePrice</t>
    <phoneticPr fontId="1" type="noConversion"/>
  </si>
  <si>
    <t>afterAmt</t>
    <phoneticPr fontId="1" type="noConversion"/>
  </si>
  <si>
    <t>afterAmtNoTax</t>
    <phoneticPr fontId="1" type="noConversion"/>
  </si>
  <si>
    <t>afterAmtTax</t>
    <phoneticPr fontId="1" type="noConversion"/>
  </si>
  <si>
    <t>amtNoTax(未持久化)</t>
    <phoneticPr fontId="1" type="noConversion"/>
  </si>
  <si>
    <t>amt(未持久化)</t>
    <phoneticPr fontId="1" type="noConversion"/>
  </si>
  <si>
    <t>1:公路 2:铁路 3:市政 4:房建</t>
    <phoneticPr fontId="1" type="noConversion"/>
  </si>
  <si>
    <t>contractCostNoTax</t>
    <phoneticPr fontId="1" type="noConversion"/>
  </si>
  <si>
    <t>contractCost</t>
    <phoneticPr fontId="1" type="noConversion"/>
  </si>
  <si>
    <t>contractCostTax</t>
    <phoneticPr fontId="1" type="noConversion"/>
  </si>
  <si>
    <t>contractPrice</t>
    <phoneticPr fontId="1" type="noConversion"/>
  </si>
  <si>
    <t>contractQty</t>
    <phoneticPr fontId="1" type="noConversion"/>
  </si>
  <si>
    <t>contractAmt</t>
    <phoneticPr fontId="1" type="noConversion"/>
  </si>
  <si>
    <t>contractAmt(未持久化)</t>
    <phoneticPr fontId="1" type="noConversion"/>
  </si>
  <si>
    <t>quantity</t>
    <phoneticPr fontId="1" type="noConversion"/>
  </si>
  <si>
    <t>contractPriceNoTax</t>
    <phoneticPr fontId="1" type="noConversion"/>
  </si>
  <si>
    <t>contractPriceNoTax</t>
    <phoneticPr fontId="1" type="noConversion"/>
  </si>
  <si>
    <t>priceNoTax</t>
    <phoneticPr fontId="1" type="noConversion"/>
  </si>
  <si>
    <t>amtNoTax</t>
    <phoneticPr fontId="1" type="noConversion"/>
  </si>
  <si>
    <t>contractCost</t>
    <phoneticPr fontId="1" type="noConversion"/>
  </si>
  <si>
    <t>alterContractSum</t>
    <phoneticPr fontId="1" type="noConversion"/>
  </si>
  <si>
    <t>contractCostNoTax</t>
    <phoneticPr fontId="1" type="noConversion"/>
  </si>
  <si>
    <t>alterContractSumNoTax</t>
    <phoneticPr fontId="1" type="noConversion"/>
  </si>
  <si>
    <t>alterContractSum</t>
    <phoneticPr fontId="1" type="noConversion"/>
  </si>
  <si>
    <t>alterContractSumTax</t>
    <phoneticPr fontId="1" type="noConversion"/>
  </si>
  <si>
    <t>contractPrice</t>
    <phoneticPr fontId="1" type="noConversion"/>
  </si>
  <si>
    <t>contractQty</t>
    <phoneticPr fontId="1" type="noConversion"/>
  </si>
  <si>
    <t>contractAmt</t>
    <phoneticPr fontId="1" type="noConversion"/>
  </si>
  <si>
    <t>contractAmt(未持久化)</t>
    <phoneticPr fontId="1" type="noConversion"/>
  </si>
  <si>
    <t>contractAmtNoTax</t>
    <phoneticPr fontId="1" type="noConversion"/>
  </si>
  <si>
    <t>contractAmtNoTax(未持久化)</t>
    <phoneticPr fontId="1" type="noConversion"/>
  </si>
  <si>
    <t>contractCostNoTax</t>
    <phoneticPr fontId="1" type="noConversion"/>
  </si>
  <si>
    <t>upAlterContractSumNoTax</t>
    <phoneticPr fontId="1" type="noConversion"/>
  </si>
  <si>
    <t>upAlterContractSumNoTax</t>
    <phoneticPr fontId="1" type="noConversion"/>
  </si>
  <si>
    <t>upAlterContractSumTax</t>
    <phoneticPr fontId="1" type="noConversion"/>
  </si>
  <si>
    <t>applyAmount</t>
    <phoneticPr fontId="1" type="noConversion"/>
  </si>
  <si>
    <t>replyAmount</t>
    <phoneticPr fontId="1" type="noConversion"/>
  </si>
  <si>
    <t>replyAmount</t>
    <phoneticPr fontId="1" type="noConversion"/>
  </si>
  <si>
    <t>applyAmountNoTax</t>
    <phoneticPr fontId="1" type="noConversion"/>
  </si>
  <si>
    <t>applyAmountTax</t>
    <phoneticPr fontId="1" type="noConversion"/>
  </si>
  <si>
    <t>applyAmountTax</t>
    <phoneticPr fontId="1" type="noConversion"/>
  </si>
  <si>
    <t>replyAmountNoTax</t>
    <phoneticPr fontId="1" type="noConversion"/>
  </si>
  <si>
    <t>originQty</t>
    <phoneticPr fontId="1" type="noConversion"/>
  </si>
  <si>
    <t>originPrice</t>
    <phoneticPr fontId="1" type="noConversion"/>
  </si>
  <si>
    <t>changeQty</t>
    <phoneticPr fontId="1" type="noConversion"/>
  </si>
  <si>
    <t>changeQty</t>
    <phoneticPr fontId="1" type="noConversion"/>
  </si>
  <si>
    <t>changePrice</t>
    <phoneticPr fontId="1" type="noConversion"/>
  </si>
  <si>
    <t>changePrice</t>
    <phoneticPr fontId="1" type="noConversion"/>
  </si>
  <si>
    <t>contractPrice</t>
    <phoneticPr fontId="1" type="noConversion"/>
  </si>
  <si>
    <t>afterChangePrice</t>
    <phoneticPr fontId="1" type="noConversion"/>
  </si>
  <si>
    <t>originPriceNoTax</t>
    <phoneticPr fontId="1" type="noConversion"/>
  </si>
  <si>
    <t>contractCostNoTax</t>
    <phoneticPr fontId="1" type="noConversion"/>
  </si>
  <si>
    <t>contractCostNoTax</t>
    <phoneticPr fontId="1" type="noConversion"/>
  </si>
  <si>
    <t>afterAmt</t>
    <phoneticPr fontId="1" type="noConversion"/>
  </si>
  <si>
    <t>cloudEcoID</t>
    <phoneticPr fontId="1" type="noConversion"/>
  </si>
  <si>
    <t xml:space="preserve">glsz:公路市政事业部 tlgd:铁路轨道事业部 csfj:城市房建事业部 </t>
    <phoneticPr fontId="1" type="noConversion"/>
  </si>
  <si>
    <t>0:内部分包 1:专业分包 2:劳务分包 3:总体分包</t>
    <phoneticPr fontId="1" type="noConversion"/>
  </si>
  <si>
    <t>quantity(pojo中属性)</t>
    <phoneticPr fontId="1" type="noConversion"/>
  </si>
  <si>
    <r>
      <t xml:space="preserve">                </t>
    </r>
    <r>
      <rPr>
        <b/>
        <sz val="12"/>
        <color theme="1"/>
        <rFont val="宋体"/>
        <family val="3"/>
        <charset val="134"/>
        <scheme val="minor"/>
      </rPr>
      <t>表名(中英文)</t>
    </r>
    <r>
      <rPr>
        <sz val="11"/>
        <color theme="1"/>
        <rFont val="宋体"/>
        <family val="2"/>
        <charset val="134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b/>
        <sz val="12"/>
        <color theme="1"/>
        <rFont val="宋体"/>
        <family val="3"/>
        <charset val="134"/>
        <scheme val="minor"/>
      </rPr>
      <t>中文字段名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</si>
  <si>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原合同变更后合同数量(未建字段)</t>
    <phoneticPr fontId="1" type="noConversion"/>
  </si>
  <si>
    <t>auditPassed</t>
    <phoneticPr fontId="1" type="noConversion"/>
  </si>
  <si>
    <t>是否叶子节点</t>
    <phoneticPr fontId="1" type="noConversion"/>
  </si>
  <si>
    <r>
      <t>0否</t>
    </r>
    <r>
      <rPr>
        <sz val="12"/>
        <rFont val="宋体"/>
        <family val="3"/>
        <charset val="134"/>
        <scheme val="minor"/>
      </rPr>
      <t xml:space="preserve"> 1是  新增的字段</t>
    </r>
    <phoneticPr fontId="1" type="noConversion"/>
  </si>
  <si>
    <r>
      <t>isL</t>
    </r>
    <r>
      <rPr>
        <sz val="12"/>
        <color theme="1"/>
        <rFont val="宋体"/>
        <family val="3"/>
        <charset val="134"/>
        <scheme val="minor"/>
      </rPr>
      <t>eaf</t>
    </r>
    <phoneticPr fontId="1" type="noConversion"/>
  </si>
  <si>
    <r>
      <t>report</t>
    </r>
    <r>
      <rPr>
        <sz val="12"/>
        <color theme="1"/>
        <rFont val="宋体"/>
        <family val="3"/>
        <charset val="134"/>
        <scheme val="minor"/>
      </rPr>
      <t>_t</t>
    </r>
    <r>
      <rPr>
        <sz val="12"/>
        <color theme="1"/>
        <rFont val="宋体"/>
        <family val="3"/>
        <charset val="134"/>
        <scheme val="minor"/>
      </rPr>
      <t>ime</t>
    </r>
    <phoneticPr fontId="1" type="noConversion"/>
  </si>
  <si>
    <t>approval_time</t>
    <phoneticPr fontId="1" type="noConversion"/>
  </si>
  <si>
    <t>上报时间</t>
    <phoneticPr fontId="1" type="noConversion"/>
  </si>
  <si>
    <t>新增的字段YYYY-MM-DD hh24:mi:ss</t>
    <phoneticPr fontId="1" type="noConversion"/>
  </si>
  <si>
    <t>新增的字段YYYY-MM-DD hh24:mi:ss</t>
    <phoneticPr fontId="1" type="noConversion"/>
  </si>
  <si>
    <t>live:现场 site:网上 notJoin:未参与</t>
    <phoneticPr fontId="1" type="noConversion"/>
  </si>
  <si>
    <t>public:公开招标 invited:邀请招标 other:其他</t>
    <phoneticPr fontId="1" type="noConversion"/>
  </si>
  <si>
    <t>com:公司 contr:总承包部 pro:项目部</t>
    <phoneticPr fontId="1" type="noConversion"/>
  </si>
  <si>
    <t>新加的字段</t>
    <phoneticPr fontId="1" type="noConversion"/>
  </si>
  <si>
    <t>相对路径(新)</t>
    <phoneticPr fontId="1" type="noConversion"/>
  </si>
  <si>
    <t>path</t>
    <phoneticPr fontId="1" type="noConversion"/>
  </si>
  <si>
    <t>给前台用</t>
  </si>
  <si>
    <t>0:无 1:有</t>
  </si>
  <si>
    <t>删除flag</t>
  </si>
  <si>
    <t>是否叶子节点</t>
    <phoneticPr fontId="1" type="noConversion"/>
  </si>
  <si>
    <t>主键ID</t>
    <phoneticPr fontId="1" type="noConversion"/>
  </si>
  <si>
    <t>资料库文件附件表</t>
    <phoneticPr fontId="1" type="noConversion"/>
  </si>
  <si>
    <t>other_id</t>
    <phoneticPr fontId="1" type="noConversion"/>
  </si>
  <si>
    <t>other_type</t>
    <phoneticPr fontId="1" type="noConversion"/>
  </si>
  <si>
    <t>name</t>
    <phoneticPr fontId="1" type="noConversion"/>
  </si>
  <si>
    <t>file_type</t>
    <phoneticPr fontId="1" type="noConversion"/>
  </si>
  <si>
    <t>path</t>
    <phoneticPr fontId="1" type="noConversion"/>
  </si>
  <si>
    <t>file_class</t>
    <phoneticPr fontId="1" type="noConversion"/>
  </si>
  <si>
    <t>file_id</t>
    <phoneticPr fontId="1" type="noConversion"/>
  </si>
  <si>
    <t>file_size</t>
    <phoneticPr fontId="1" type="noConversion"/>
  </si>
  <si>
    <t>zx_gcsg_common_attachment</t>
    <phoneticPr fontId="1" type="noConversion"/>
  </si>
  <si>
    <t>附件分类</t>
    <phoneticPr fontId="1" type="noConversion"/>
  </si>
  <si>
    <t>文件格式</t>
    <phoneticPr fontId="1" type="noConversion"/>
  </si>
  <si>
    <t>zx_zlk_file_attachment</t>
    <phoneticPr fontId="1" type="noConversion"/>
  </si>
  <si>
    <t>level_id</t>
    <phoneticPr fontId="1" type="noConversion"/>
  </si>
  <si>
    <t>文件夹层级路径名称</t>
    <phoneticPr fontId="1" type="noConversion"/>
  </si>
  <si>
    <t>文件夹层级路径id</t>
    <phoneticPr fontId="1" type="noConversion"/>
  </si>
  <si>
    <t>0:否 1:是</t>
    <phoneticPr fontId="1" type="noConversion"/>
  </si>
  <si>
    <t>char</t>
    <phoneticPr fontId="1" type="noConversion"/>
  </si>
  <si>
    <t>varchar</t>
    <phoneticPr fontId="1" type="noConversion"/>
  </si>
  <si>
    <t>getSysRoleUserList</t>
    <phoneticPr fontId="1" type="noConversion"/>
  </si>
  <si>
    <t>varchar</t>
    <phoneticPr fontId="1" type="noConversion"/>
  </si>
  <si>
    <t>父节点</t>
    <phoneticPr fontId="1" type="noConversion"/>
  </si>
  <si>
    <t>(0：根节点；1：部门；2：人员)</t>
    <phoneticPr fontId="1" type="noConversion"/>
  </si>
  <si>
    <t>value</t>
    <phoneticPr fontId="1" type="noConversion"/>
  </si>
  <si>
    <t>char</t>
    <phoneticPr fontId="1" type="noConversion"/>
  </si>
  <si>
    <t>0:浏览权限 1:管理权限</t>
    <phoneticPr fontId="1" type="noConversion"/>
  </si>
  <si>
    <t>权限类别</t>
    <phoneticPr fontId="1" type="noConversion"/>
  </si>
  <si>
    <t>level_id+value+permission_type联合唯一</t>
    <phoneticPr fontId="1" type="noConversion"/>
  </si>
  <si>
    <t>同一条主线保留权限最大集合</t>
    <phoneticPr fontId="1" type="noConversion"/>
  </si>
  <si>
    <t>左侧树结构和右侧文件列表分开看待</t>
    <phoneticPr fontId="1" type="noConversion"/>
  </si>
  <si>
    <t>varchar</t>
    <phoneticPr fontId="1" type="noConversion"/>
  </si>
  <si>
    <t>文件总数</t>
    <phoneticPr fontId="1" type="noConversion"/>
  </si>
  <si>
    <t>level_id_path</t>
    <phoneticPr fontId="1" type="noConversion"/>
  </si>
  <si>
    <t>level_name_path</t>
    <phoneticPr fontId="1" type="noConversion"/>
  </si>
  <si>
    <t>主键ID</t>
    <phoneticPr fontId="1" type="noConversion"/>
  </si>
  <si>
    <t>主键ID</t>
    <phoneticPr fontId="1" type="noConversion"/>
  </si>
  <si>
    <t>归档时间</t>
    <phoneticPr fontId="1" type="noConversion"/>
  </si>
  <si>
    <t>排序</t>
    <phoneticPr fontId="1" type="noConversion"/>
  </si>
  <si>
    <t>sort</t>
    <phoneticPr fontId="1" type="noConversion"/>
  </si>
  <si>
    <t>int</t>
    <phoneticPr fontId="1" type="noConversion"/>
  </si>
  <si>
    <t>合同编号/结算编号</t>
    <phoneticPr fontId="1" type="noConversion"/>
  </si>
  <si>
    <t>操作归档动作的账号姓名；手动上传资料文件归档人为空</t>
    <phoneticPr fontId="1" type="noConversion"/>
  </si>
  <si>
    <t>show_department_name</t>
    <phoneticPr fontId="1" type="noConversion"/>
  </si>
  <si>
    <t>varchar</t>
    <phoneticPr fontId="1" type="noConversion"/>
  </si>
  <si>
    <t>level_id</t>
    <phoneticPr fontId="1" type="noConversion"/>
  </si>
  <si>
    <t>level_name</t>
    <phoneticPr fontId="1" type="noConversion"/>
  </si>
  <si>
    <t>层级名称</t>
    <phoneticPr fontId="1" type="noConversion"/>
  </si>
  <si>
    <t>level_code</t>
    <phoneticPr fontId="1" type="noConversion"/>
  </si>
  <si>
    <t>编码</t>
    <phoneticPr fontId="1" type="noConversion"/>
  </si>
  <si>
    <t>parent_id</t>
    <phoneticPr fontId="1" type="noConversion"/>
  </si>
  <si>
    <t>parent_id_path</t>
    <phoneticPr fontId="1" type="noConversion"/>
  </si>
  <si>
    <t>parent_name_path</t>
    <phoneticPr fontId="1" type="noConversion"/>
  </si>
  <si>
    <t>total_num</t>
    <phoneticPr fontId="1" type="noConversion"/>
  </si>
  <si>
    <t>is_leaf</t>
    <phoneticPr fontId="1" type="noConversion"/>
  </si>
  <si>
    <t>project_id</t>
    <phoneticPr fontId="1" type="noConversion"/>
  </si>
  <si>
    <t>项目ID</t>
    <phoneticPr fontId="1" type="noConversion"/>
  </si>
  <si>
    <t>project_name</t>
    <phoneticPr fontId="1" type="noConversion"/>
  </si>
  <si>
    <t>项目名称</t>
    <phoneticPr fontId="1" type="noConversion"/>
  </si>
  <si>
    <t>company_id</t>
    <phoneticPr fontId="1" type="noConversion"/>
  </si>
  <si>
    <t>公司ID</t>
    <phoneticPr fontId="1" type="noConversion"/>
  </si>
  <si>
    <t>公司名称</t>
    <phoneticPr fontId="1" type="noConversion"/>
  </si>
  <si>
    <t>title_id</t>
    <phoneticPr fontId="1" type="noConversion"/>
  </si>
  <si>
    <t>title_name</t>
    <phoneticPr fontId="1" type="noConversion"/>
  </si>
  <si>
    <t>标题名称</t>
    <phoneticPr fontId="1" type="noConversion"/>
  </si>
  <si>
    <t>filing_time</t>
    <phoneticPr fontId="1" type="noConversion"/>
  </si>
  <si>
    <t>filing_user</t>
    <phoneticPr fontId="1" type="noConversion"/>
  </si>
  <si>
    <t>归档人id</t>
    <phoneticPr fontId="1" type="noConversion"/>
  </si>
  <si>
    <t>filing_user_name</t>
    <phoneticPr fontId="1" type="noConversion"/>
  </si>
  <si>
    <t>归档人姓名</t>
    <phoneticPr fontId="1" type="noConversion"/>
  </si>
  <si>
    <t>文件夹层级id</t>
    <phoneticPr fontId="1" type="noConversion"/>
  </si>
  <si>
    <t>level_name_path</t>
    <phoneticPr fontId="1" type="noConversion"/>
  </si>
  <si>
    <t>文件夹层级name路径</t>
    <phoneticPr fontId="1" type="noConversion"/>
  </si>
  <si>
    <t>文件夹层级id路径</t>
    <phoneticPr fontId="1" type="noConversion"/>
  </si>
  <si>
    <t>permission_id</t>
    <phoneticPr fontId="1" type="noConversion"/>
  </si>
  <si>
    <t>主键ID</t>
    <phoneticPr fontId="1" type="noConversion"/>
  </si>
  <si>
    <t>permission_name</t>
    <phoneticPr fontId="1" type="noConversion"/>
  </si>
  <si>
    <t>权限名称</t>
    <phoneticPr fontId="1" type="noConversion"/>
  </si>
  <si>
    <t>文件夹层级id</t>
    <phoneticPr fontId="1" type="noConversion"/>
  </si>
  <si>
    <t>文件夹层级id路径</t>
    <phoneticPr fontId="1" type="noConversion"/>
  </si>
  <si>
    <t>level_name_path</t>
    <phoneticPr fontId="1" type="noConversion"/>
  </si>
  <si>
    <t>文件夹层级name路径</t>
    <phoneticPr fontId="1" type="noConversion"/>
  </si>
  <si>
    <t>include_child</t>
    <phoneticPr fontId="1" type="noConversion"/>
  </si>
  <si>
    <t>是否包含所有子目录</t>
    <phoneticPr fontId="1" type="noConversion"/>
  </si>
  <si>
    <t>permission_type</t>
    <phoneticPr fontId="1" type="noConversion"/>
  </si>
  <si>
    <t>department_id</t>
    <phoneticPr fontId="1" type="noConversion"/>
  </si>
  <si>
    <t>部门id</t>
    <phoneticPr fontId="1" type="noConversion"/>
  </si>
  <si>
    <t>department_name</t>
    <phoneticPr fontId="1" type="noConversion"/>
  </si>
  <si>
    <t>部门名称</t>
    <phoneticPr fontId="1" type="noConversion"/>
  </si>
  <si>
    <t>user_key</t>
    <phoneticPr fontId="1" type="noConversion"/>
  </si>
  <si>
    <t>人员id</t>
    <phoneticPr fontId="1" type="noConversion"/>
  </si>
  <si>
    <t>real_name</t>
    <phoneticPr fontId="1" type="noConversion"/>
  </si>
  <si>
    <t>人员姓名</t>
    <phoneticPr fontId="1" type="noConversion"/>
  </si>
  <si>
    <t>type</t>
    <phoneticPr fontId="1" type="noConversion"/>
  </si>
  <si>
    <t>节点类型</t>
    <phoneticPr fontId="1" type="noConversion"/>
  </si>
  <si>
    <t>value(部门或人员主键ID)</t>
    <phoneticPr fontId="1" type="noConversion"/>
  </si>
  <si>
    <t>value_pid</t>
    <phoneticPr fontId="1" type="noConversion"/>
  </si>
  <si>
    <t>显示部门名称</t>
    <phoneticPr fontId="1" type="noConversion"/>
  </si>
  <si>
    <t>title</t>
    <phoneticPr fontId="1" type="noConversion"/>
  </si>
  <si>
    <t>title(同value暂保留)</t>
    <phoneticPr fontId="1" type="noConversion"/>
  </si>
  <si>
    <t>label</t>
    <phoneticPr fontId="1" type="noConversion"/>
  </si>
  <si>
    <t>节点内容(名称)</t>
    <phoneticPr fontId="1" type="noConversion"/>
  </si>
  <si>
    <t>project_id</t>
    <phoneticPr fontId="1" type="noConversion"/>
  </si>
  <si>
    <t>company_id</t>
    <phoneticPr fontId="1" type="noConversion"/>
  </si>
  <si>
    <t>公司ID</t>
    <phoneticPr fontId="1" type="noConversion"/>
  </si>
  <si>
    <t>company_name</t>
    <phoneticPr fontId="1" type="noConversion"/>
  </si>
  <si>
    <t>父节点id</t>
    <phoneticPr fontId="1" type="noConversion"/>
  </si>
  <si>
    <t>父节点id路径</t>
    <phoneticPr fontId="1" type="noConversion"/>
  </si>
  <si>
    <t>父节点name路径</t>
    <phoneticPr fontId="1" type="noConversion"/>
  </si>
  <si>
    <t>isParent</t>
    <phoneticPr fontId="1" type="noConversion"/>
  </si>
  <si>
    <t>资料库文件夹层级表</t>
    <phoneticPr fontId="1" type="noConversion"/>
  </si>
  <si>
    <t>zx_zlk_folder_level</t>
    <phoneticPr fontId="1" type="noConversion"/>
  </si>
  <si>
    <t>is_parent</t>
    <phoneticPr fontId="1" type="noConversion"/>
  </si>
  <si>
    <t>company_name</t>
    <phoneticPr fontId="1" type="noConversion"/>
  </si>
  <si>
    <t>资料库文件标题表</t>
    <phoneticPr fontId="1" type="noConversion"/>
  </si>
  <si>
    <t>zx_zlk_file_title</t>
    <phoneticPr fontId="1" type="noConversion"/>
  </si>
  <si>
    <t>资料库文件夹权限表</t>
    <phoneticPr fontId="1" type="noConversion"/>
  </si>
  <si>
    <t>zx_zlk_folder_permission</t>
    <phoneticPr fontId="1" type="noConversion"/>
  </si>
  <si>
    <t>level_id_path</t>
    <phoneticPr fontId="1" type="noConversion"/>
  </si>
  <si>
    <t>管理权限覆盖浏览权限,包含子节点覆盖不包含子节点</t>
    <phoneticPr fontId="1" type="noConversion"/>
  </si>
  <si>
    <t>①管理权限(1)&gt;浏览权限(0)&gt;仅展示层级权限(-1)</t>
    <phoneticPr fontId="1" type="noConversion"/>
  </si>
  <si>
    <t>④如果"浏览权限+包含子文件夹",会被子文件夹的"管理权限+包含子文件夹"覆盖</t>
    <phoneticPr fontId="1" type="noConversion"/>
  </si>
  <si>
    <t>右侧文件列表权限判断要点</t>
    <phoneticPr fontId="1" type="noConversion"/>
  </si>
  <si>
    <t>1、点击左侧文件夹，根据前端返回的level_id和include_child和新的权限类别 判断，无权限管理或浏览文件，或者返回前端文件列表以及按钮权限</t>
    <phoneticPr fontId="1" type="noConversion"/>
  </si>
  <si>
    <t>左侧树形权限逻辑(点击获取下一级菜单)</t>
    <phoneticPr fontId="1" type="noConversion"/>
  </si>
  <si>
    <t>注意点:</t>
    <phoneticPr fontId="1" type="noConversion"/>
  </si>
  <si>
    <t>②includeChild考虑展示permissionType考虑本级权限permissionTypeParam考虑传递参数</t>
    <phoneticPr fontId="1" type="noConversion"/>
  </si>
  <si>
    <t>③如果对一个文件夹同时拥有"管理权限+不包含子文件夹"和"浏览权限+包含子文件夹",则对当前文件夹拥有"管理权限"对下级所有节点拥有"浏览权限"</t>
    <phoneticPr fontId="1" type="noConversion"/>
  </si>
  <si>
    <t>3、includeChild是0或者-1(空), 根据前端传递参数parentId和后台获取的登录人value和表内字段level_id联查权限表获取管理或者浏览权限数据同时根据前端传递参数parentId和后台获取的登录人value和表内字段level_id_path联查权限表获取无权限仅查看的数据,对所有数据根据权限等级(-1,0,1)进行排序后进行去重返回各个节点的权限信息(includeChild、permissionType、permissionTypeParam)并注意特殊情况</t>
    <phoneticPr fontId="1" type="noConversion"/>
  </si>
  <si>
    <t>如果permissionType=1并且includeChild=0,则需要进一步获取permissionType=0时的includeChild如果includeChild=1则includeChild更新为1,PermissionTypeParam更新为0</t>
    <phoneticPr fontId="1" type="noConversion"/>
  </si>
  <si>
    <t>3.1：特殊情况</t>
    <phoneticPr fontId="1" type="noConversion"/>
  </si>
  <si>
    <t>1、超级管理员admin拥有最高权限、根文件夹(资料库)不能挂接权限(对所有人可见)</t>
    <phoneticPr fontId="1" type="noConversion"/>
  </si>
  <si>
    <t>2、如果includeChild是1,根据前端传递参数parentId和登录人value获取下级所有节点新的permissionType以及继承给下一级的permissionTypeParam值(通过对上级permissionTypeParam和下级节点的permissionType按照优先级进行比较结合当前下级所有节点includeChild的值判断得到结果),最后下级所有节点返回字段includeChild=1</t>
    <phoneticPr fontId="1" type="noConversion"/>
  </si>
  <si>
    <t>⑤前端必传参数parentId, includeChild, permissionTypeParam三个参数</t>
    <phoneticPr fontId="1" type="noConversion"/>
  </si>
  <si>
    <t>includeChild仅仅用来传参，</t>
    <phoneticPr fontId="1" type="noConversion"/>
  </si>
  <si>
    <t>permissionType用来判断对文件操作的权限</t>
    <phoneticPr fontId="1" type="noConversion"/>
  </si>
  <si>
    <t>permissionTypeParam用来传参</t>
    <phoneticPr fontId="1" type="noConversion"/>
  </si>
  <si>
    <t>删 → 当删除一个数据时，将大于该序号的数据的序号都减1。</t>
    <phoneticPr fontId="1" type="noConversion"/>
  </si>
  <si>
    <t>改 → 当修改位置将数据a从x移动到y时，若x小于y，则将(x,y]范围内的数据序号都减1；若x大于y，则将[y,x)范围内的数据序号都加1（注：修改数据库时，要先将a的序号x修改为未被使用的序号z，然后再修改范围内的数据，最后再将z修改为y，顺序不能乱）。</t>
    <phoneticPr fontId="1" type="noConversion"/>
  </si>
  <si>
    <t>查 → 当查找数据时添加 order by index 即可得到自定义排列的数据，查找第n个数据时查找条件为 index=n-1 即可。</t>
    <phoneticPr fontId="1" type="noConversion"/>
  </si>
  <si>
    <t>增 → 当增加一个数据时，定义data的序号为数据总数量值。</t>
    <phoneticPr fontId="1" type="noConversion"/>
  </si>
  <si>
    <t>方案一：</t>
    <phoneticPr fontId="1" type="noConversion"/>
  </si>
  <si>
    <t>方案二：</t>
    <phoneticPr fontId="1" type="noConversion"/>
  </si>
  <si>
    <t>再新增一个排序时间字段，用sort和sortTime结合来处理增删改查(两个字段维护麻烦暂时不用)</t>
    <phoneticPr fontId="1" type="noConversion"/>
  </si>
  <si>
    <t>opinion_field11</t>
  </si>
  <si>
    <t>opinion_field12</t>
  </si>
  <si>
    <t>opinion_field13</t>
  </si>
  <si>
    <t>opinion_field14</t>
  </si>
  <si>
    <t>opinion_field15</t>
  </si>
  <si>
    <t>opinion_field16</t>
  </si>
  <si>
    <t>opinion_field17</t>
  </si>
  <si>
    <t>opinion_field18</t>
  </si>
  <si>
    <t>opinion_field19</t>
  </si>
  <si>
    <t>opinion_field20</t>
  </si>
  <si>
    <t>opinion_field21</t>
  </si>
  <si>
    <t>opinion_field22</t>
  </si>
  <si>
    <t>opinion_field23</t>
  </si>
  <si>
    <t>opinion_field24</t>
  </si>
  <si>
    <t>opinion_field25</t>
  </si>
  <si>
    <t>流程意见</t>
    <phoneticPr fontId="1" type="noConversion"/>
  </si>
  <si>
    <t>resCategoryName</t>
    <phoneticPr fontId="1" type="noConversion"/>
  </si>
  <si>
    <t>char</t>
    <phoneticPr fontId="1" type="noConversion"/>
  </si>
  <si>
    <t>manageIndex</t>
    <phoneticPr fontId="1" type="noConversion"/>
  </si>
  <si>
    <t>assignContract</t>
    <phoneticPr fontId="1" type="noConversion"/>
  </si>
  <si>
    <t>comID</t>
    <phoneticPr fontId="1" type="noConversion"/>
  </si>
  <si>
    <t>secondIDCode</t>
    <phoneticPr fontId="1" type="noConversion"/>
  </si>
  <si>
    <t>cwStatus</t>
    <phoneticPr fontId="1" type="noConversion"/>
  </si>
  <si>
    <t>orgCertificate</t>
    <phoneticPr fontId="1" type="noConversion"/>
  </si>
  <si>
    <t>上报日期：取该工程合同流程中 事业部流程节点 接收合同数据的时间（若与合同不需要发送到事业部节点，此字段可以为空）。</t>
    <phoneticPr fontId="1" type="noConversion"/>
  </si>
  <si>
    <t>审批建议或意见：取该工程合同流程中 事业部流程节点 所签署的意见。</t>
    <phoneticPr fontId="1" type="noConversion"/>
  </si>
  <si>
    <t>审批时间(保留最新评审时间)</t>
    <phoneticPr fontId="1" type="noConversion"/>
  </si>
  <si>
    <r>
      <t xml:space="preserve">0:合同管理附件 </t>
    </r>
    <r>
      <rPr>
        <strike/>
        <sz val="12"/>
        <rFont val="宋体"/>
        <family val="3"/>
        <charset val="134"/>
        <scheme val="minor"/>
      </rPr>
      <t>1:补充协议附件/补充协议清单附件</t>
    </r>
    <r>
      <rPr>
        <sz val="12"/>
        <rFont val="宋体"/>
        <family val="3"/>
        <charset val="134"/>
        <scheme val="minor"/>
      </rPr>
      <t xml:space="preserve"> 2:流程中-评审正文附件/补充协议正文附件 3:流程中-合同评审普通附件/补充协议普通附件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</si>
</sst>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¥&quot;#,##0.00;[Red]&quot;¥&quot;\-#,##0.00"/>
    <numFmt numFmtId="176" formatCode="#,##0;\-#,##0;&quot;-&quot;"/>
    <numFmt numFmtId="177" formatCode="#,##0\ &quot;F&quot;;[Red]\-#,##0\ &quot;F&quot;"/>
  </numFmts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inor"/>
    </font>
    <font>
      <sz val="10.5"/>
      <name val="明朝"/>
      <family val="3"/>
      <charset val="128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2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6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trike/>
      <sz val="12"/>
      <color theme="1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176" fontId="6" fillId="0" borderId="0" applyFill="0" applyBorder="0" applyAlignment="0"/>
    <xf numFmtId="38" fontId="7" fillId="3" borderId="0" applyNumberFormat="0" applyBorder="0" applyAlignment="0" applyProtection="0"/>
    <xf numFmtId="0" fontId="8" fillId="0" borderId="18" applyNumberFormat="0" applyAlignment="0" applyProtection="0">
      <alignment horizontal="left" vertical="center"/>
    </xf>
    <xf numFmtId="0" fontId="8" fillId="0" borderId="38">
      <alignment horizontal="left" vertical="center"/>
    </xf>
    <xf numFmtId="10" fontId="7" fillId="4" borderId="37" applyNumberFormat="0" applyBorder="0" applyAlignment="0" applyProtection="0"/>
    <xf numFmtId="177" fontId="5" fillId="0" borderId="0"/>
    <xf numFmtId="0" fontId="9" fillId="0" borderId="0"/>
    <xf numFmtId="10" fontId="9" fillId="0" borderId="0" applyFont="0" applyFill="0" applyBorder="0" applyAlignment="0" applyProtection="0"/>
    <xf numFmtId="0" fontId="10" fillId="0" borderId="0"/>
    <xf numFmtId="0" fontId="12" fillId="0" borderId="0"/>
    <xf numFmtId="8" fontId="2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</cellStyleXfs>
  <cellXfs count="802">
    <xf numFmtId="0" fontId="0" fillId="0" borderId="0" xfId="0">
      <alignment vertical="center"/>
    </xf>
    <xf numFmtId="0" fontId="4" fillId="0" borderId="0" xfId="0" applyFont="1" applyFill="1" applyBorder="1">
      <alignment vertical="center"/>
    </xf>
    <xf numFmtId="0" fontId="11" fillId="2" borderId="1" xfId="0" applyFont="1" applyFill="1" applyBorder="1" applyAlignment="1">
      <alignment vertical="center"/>
    </xf>
    <xf numFmtId="0" fontId="4" fillId="0" borderId="0" xfId="0" applyFont="1">
      <alignment vertical="center"/>
    </xf>
    <xf numFmtId="0" fontId="11" fillId="0" borderId="0" xfId="0" applyFont="1" applyFill="1" applyBorder="1">
      <alignment vertical="center"/>
    </xf>
    <xf numFmtId="0" fontId="11" fillId="0" borderId="18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33" xfId="0" applyFont="1" applyFill="1" applyBorder="1">
      <alignment vertical="center"/>
    </xf>
    <xf numFmtId="0" fontId="11" fillId="0" borderId="18" xfId="1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5" xfId="0" applyFont="1" applyFill="1" applyBorder="1" applyAlignment="1">
      <alignment vertical="center"/>
    </xf>
    <xf numFmtId="0" fontId="14" fillId="2" borderId="6" xfId="0" applyFont="1" applyFill="1" applyBorder="1" applyAlignment="1">
      <alignment vertical="center"/>
    </xf>
    <xf numFmtId="0" fontId="16" fillId="2" borderId="7" xfId="0" applyFont="1" applyFill="1" applyBorder="1">
      <alignment vertical="center"/>
    </xf>
    <xf numFmtId="0" fontId="14" fillId="2" borderId="4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4" fillId="2" borderId="9" xfId="0" applyFont="1" applyFill="1" applyBorder="1" applyAlignment="1">
      <alignment vertical="center"/>
    </xf>
    <xf numFmtId="0" fontId="14" fillId="2" borderId="10" xfId="0" applyFont="1" applyFill="1" applyBorder="1" applyAlignment="1">
      <alignment vertical="center"/>
    </xf>
    <xf numFmtId="0" fontId="14" fillId="2" borderId="11" xfId="0" applyFont="1" applyFill="1" applyBorder="1" applyAlignment="1">
      <alignment vertical="center"/>
    </xf>
    <xf numFmtId="0" fontId="14" fillId="2" borderId="12" xfId="0" applyFont="1" applyFill="1" applyBorder="1" applyAlignment="1">
      <alignment vertical="center"/>
    </xf>
    <xf numFmtId="0" fontId="16" fillId="2" borderId="11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2" borderId="17" xfId="0" applyFont="1" applyFill="1" applyBorder="1">
      <alignment vertical="center"/>
    </xf>
    <xf numFmtId="0" fontId="14" fillId="2" borderId="18" xfId="0" applyFont="1" applyFill="1" applyBorder="1">
      <alignment vertical="center"/>
    </xf>
    <xf numFmtId="0" fontId="14" fillId="2" borderId="19" xfId="0" applyFont="1" applyFill="1" applyBorder="1">
      <alignment vertical="center"/>
    </xf>
    <xf numFmtId="0" fontId="14" fillId="0" borderId="18" xfId="0" applyFont="1" applyFill="1" applyBorder="1">
      <alignment vertical="center"/>
    </xf>
    <xf numFmtId="0" fontId="14" fillId="0" borderId="19" xfId="0" applyFont="1" applyFill="1" applyBorder="1">
      <alignment vertical="center"/>
    </xf>
    <xf numFmtId="0" fontId="14" fillId="2" borderId="20" xfId="0" applyFont="1" applyFill="1" applyBorder="1">
      <alignment vertical="center"/>
    </xf>
    <xf numFmtId="0" fontId="14" fillId="2" borderId="20" xfId="1" applyFont="1" applyFill="1" applyBorder="1">
      <alignment vertical="center"/>
    </xf>
    <xf numFmtId="0" fontId="14" fillId="2" borderId="18" xfId="1" applyFont="1" applyFill="1" applyBorder="1">
      <alignment vertical="center"/>
    </xf>
    <xf numFmtId="0" fontId="14" fillId="2" borderId="19" xfId="1" applyFont="1" applyFill="1" applyBorder="1">
      <alignment vertical="center"/>
    </xf>
    <xf numFmtId="0" fontId="14" fillId="0" borderId="18" xfId="1" applyFont="1" applyFill="1" applyBorder="1">
      <alignment vertical="center"/>
    </xf>
    <xf numFmtId="0" fontId="14" fillId="0" borderId="19" xfId="1" applyFont="1" applyFill="1" applyBorder="1">
      <alignment vertical="center"/>
    </xf>
    <xf numFmtId="0" fontId="14" fillId="0" borderId="21" xfId="1" applyFont="1" applyFill="1" applyBorder="1">
      <alignment vertical="center"/>
    </xf>
    <xf numFmtId="0" fontId="16" fillId="0" borderId="0" xfId="0" applyFont="1" applyFill="1" applyBorder="1">
      <alignment vertical="center"/>
    </xf>
    <xf numFmtId="0" fontId="16" fillId="0" borderId="34" xfId="0" applyFont="1" applyFill="1" applyBorder="1">
      <alignment vertical="center"/>
    </xf>
    <xf numFmtId="0" fontId="14" fillId="0" borderId="29" xfId="0" applyFont="1" applyFill="1" applyBorder="1">
      <alignment vertical="center"/>
    </xf>
    <xf numFmtId="0" fontId="14" fillId="0" borderId="30" xfId="0" applyFont="1" applyFill="1" applyBorder="1">
      <alignment vertical="center"/>
    </xf>
    <xf numFmtId="0" fontId="14" fillId="0" borderId="31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4" fillId="0" borderId="33" xfId="0" applyFont="1" applyFill="1" applyBorder="1">
      <alignment vertical="center"/>
    </xf>
    <xf numFmtId="0" fontId="14" fillId="0" borderId="35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4" fillId="0" borderId="36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1" fillId="5" borderId="35" xfId="0" applyFont="1" applyFill="1" applyBorder="1">
      <alignment vertical="center"/>
    </xf>
    <xf numFmtId="0" fontId="4" fillId="6" borderId="37" xfId="0" applyFont="1" applyFill="1" applyBorder="1">
      <alignment vertical="center"/>
    </xf>
    <xf numFmtId="0" fontId="16" fillId="0" borderId="37" xfId="0" applyFont="1" applyBorder="1">
      <alignment vertical="center"/>
    </xf>
    <xf numFmtId="0" fontId="4" fillId="0" borderId="37" xfId="0" applyFont="1" applyBorder="1">
      <alignment vertical="center"/>
    </xf>
    <xf numFmtId="0" fontId="14" fillId="2" borderId="2" xfId="0" applyNumberFormat="1" applyFont="1" applyFill="1" applyBorder="1" applyAlignment="1">
      <alignment vertical="center"/>
    </xf>
    <xf numFmtId="0" fontId="14" fillId="2" borderId="1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14" fillId="2" borderId="18" xfId="0" applyNumberFormat="1" applyFont="1" applyFill="1" applyBorder="1">
      <alignment vertical="center"/>
    </xf>
    <xf numFmtId="0" fontId="14" fillId="0" borderId="18" xfId="0" applyNumberFormat="1" applyFont="1" applyFill="1" applyBorder="1">
      <alignment vertical="center"/>
    </xf>
    <xf numFmtId="0" fontId="4" fillId="0" borderId="0" xfId="0" applyNumberFormat="1" applyFont="1">
      <alignment vertical="center"/>
    </xf>
    <xf numFmtId="0" fontId="4" fillId="0" borderId="33" xfId="0" applyNumberFormat="1" applyFont="1" applyFill="1" applyBorder="1">
      <alignment vertical="center"/>
    </xf>
    <xf numFmtId="0" fontId="16" fillId="0" borderId="0" xfId="0" applyNumberFormat="1" applyFont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18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37" xfId="0" applyFont="1" applyFill="1" applyBorder="1">
      <alignment vertical="center"/>
    </xf>
    <xf numFmtId="0" fontId="11" fillId="7" borderId="37" xfId="0" applyFont="1" applyFill="1" applyBorder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4" fillId="0" borderId="12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7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left" vertical="center" wrapText="1"/>
    </xf>
    <xf numFmtId="0" fontId="14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6" fillId="0" borderId="37" xfId="0" applyFont="1" applyFill="1" applyBorder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1" fillId="0" borderId="0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3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6" fillId="0" borderId="0" xfId="0" applyFont="1" applyAlignment="1">
      <alignment horizontal="left" vertical="center"/>
    </xf>
    <xf numFmtId="0" fontId="4" fillId="0" borderId="37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6" fillId="7" borderId="37" xfId="0" applyFont="1" applyFill="1" applyBorder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4" fillId="0" borderId="0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4" fillId="0" borderId="33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6" fillId="0" borderId="0" xfId="0" applyFont="1" applyFill="1">
      <alignment vertical="center"/>
    </xf>
    <xf numFmtId="0" fontId="0" fillId="7" borderId="0" xfId="0" applyFill="1">
      <alignment vertical="center"/>
    </xf>
    <xf numFmtId="0" fontId="14" fillId="7" borderId="0" xfId="0" applyFont="1" applyFill="1" applyBorder="1">
      <alignment vertical="center"/>
    </xf>
    <xf numFmtId="0" fontId="11" fillId="7" borderId="33" xfId="0" applyFont="1" applyFill="1" applyBorder="1">
      <alignment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7" borderId="34" xfId="0" applyFont="1" applyFill="1" applyBorder="1">
      <alignment vertical="center"/>
    </xf>
    <xf numFmtId="0" fontId="4" fillId="8" borderId="33" xfId="0" applyNumberFormat="1" applyFont="1" applyFill="1" applyBorder="1">
      <alignment vertical="center"/>
    </xf>
    <xf numFmtId="0" fontId="14" fillId="8" borderId="0" xfId="0" applyFont="1" applyFill="1" applyBorder="1">
      <alignment vertical="center"/>
    </xf>
    <xf numFmtId="0" fontId="14" fillId="8" borderId="34" xfId="0" applyFont="1" applyFill="1" applyBorder="1">
      <alignment vertical="center"/>
    </xf>
    <xf numFmtId="0" fontId="11" fillId="8" borderId="0" xfId="0" applyFont="1" applyFill="1" applyBorder="1">
      <alignment vertical="center"/>
    </xf>
    <xf numFmtId="0" fontId="11" fillId="8" borderId="34" xfId="0" applyFont="1" applyFill="1" applyBorder="1">
      <alignment vertical="center"/>
    </xf>
    <xf numFmtId="0" fontId="16" fillId="8" borderId="0" xfId="0" applyFont="1" applyFill="1" applyBorder="1">
      <alignment vertical="center"/>
    </xf>
    <xf numFmtId="0" fontId="18" fillId="0" borderId="37" xfId="0" applyFont="1" applyBorder="1">
      <alignment vertical="center"/>
    </xf>
    <xf numFmtId="0" fontId="18" fillId="0" borderId="0" xfId="0" applyFont="1">
      <alignment vertical="center"/>
    </xf>
    <xf numFmtId="0" fontId="18" fillId="0" borderId="33" xfId="0" applyNumberFormat="1" applyFont="1" applyFill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34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4" fillId="0" borderId="39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14" fillId="0" borderId="13" xfId="0" applyFont="1" applyFill="1" applyBorder="1" applyAlignment="1">
      <alignment horizontal="left" vertical="center"/>
    </xf>
    <xf numFmtId="0" fontId="14" fillId="0" borderId="15" xfId="0" applyFont="1" applyFill="1" applyBorder="1" applyAlignment="1">
      <alignment horizontal="left" vertical="center"/>
    </xf>
    <xf numFmtId="0" fontId="14" fillId="0" borderId="14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8" fillId="0" borderId="33" xfId="0" applyFont="1" applyFill="1" applyBorder="1">
      <alignment vertical="center"/>
    </xf>
    <xf numFmtId="0" fontId="4" fillId="9" borderId="37" xfId="0" applyFont="1" applyFill="1" applyBorder="1">
      <alignment vertical="center"/>
    </xf>
    <xf numFmtId="0" fontId="16" fillId="9" borderId="37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39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1" fillId="0" borderId="0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39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11" fillId="0" borderId="33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1" fillId="0" borderId="34" xfId="0" applyFont="1" applyFill="1" applyBorder="1" applyAlignment="1">
      <alignment horizontal="left" vertical="center"/>
    </xf>
    <xf numFmtId="0" fontId="16" fillId="0" borderId="33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4" xfId="0" applyFont="1" applyBorder="1" applyAlignment="1">
      <alignment horizontal="left" vertical="center"/>
    </xf>
    <xf numFmtId="0" fontId="14" fillId="0" borderId="33" xfId="0" applyFont="1" applyFill="1" applyBorder="1" applyAlignment="1">
      <alignment vertical="center"/>
    </xf>
    <xf numFmtId="0" fontId="14" fillId="0" borderId="34" xfId="0" applyFont="1" applyFill="1" applyBorder="1" applyAlignment="1">
      <alignment vertical="center"/>
    </xf>
    <xf numFmtId="0" fontId="11" fillId="0" borderId="0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39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1" fillId="0" borderId="0" xfId="0" applyFont="1" applyFill="1" applyBorder="1">
      <alignment vertical="center"/>
    </xf>
    <xf numFmtId="0" fontId="14" fillId="0" borderId="13" xfId="0" applyFont="1" applyFill="1" applyBorder="1">
      <alignment vertical="center"/>
    </xf>
    <xf numFmtId="0" fontId="4" fillId="0" borderId="0" xfId="0" applyFont="1" applyFill="1">
      <alignment vertical="center"/>
    </xf>
    <xf numFmtId="0" fontId="16" fillId="0" borderId="33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39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1" fillId="0" borderId="0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39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4" fillId="0" borderId="39" xfId="0" applyFont="1" applyFill="1" applyBorder="1">
      <alignment vertical="center"/>
    </xf>
    <xf numFmtId="0" fontId="4" fillId="0" borderId="29" xfId="0" applyFont="1" applyFill="1" applyBorder="1">
      <alignment vertical="center"/>
    </xf>
    <xf numFmtId="0" fontId="4" fillId="0" borderId="30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4" fillId="0" borderId="33" xfId="0" applyFont="1" applyFill="1" applyBorder="1">
      <alignment vertical="center"/>
    </xf>
    <xf numFmtId="0" fontId="14" fillId="0" borderId="0" xfId="0" applyFont="1" applyFill="1" applyBorder="1">
      <alignment vertical="center"/>
    </xf>
    <xf numFmtId="0" fontId="14" fillId="0" borderId="34" xfId="0" applyFont="1" applyFill="1" applyBorder="1">
      <alignment vertical="center"/>
    </xf>
    <xf numFmtId="0" fontId="4" fillId="10" borderId="33" xfId="0" applyNumberFormat="1" applyFont="1" applyFill="1" applyBorder="1">
      <alignment vertical="center"/>
    </xf>
    <xf numFmtId="0" fontId="14" fillId="10" borderId="0" xfId="0" applyFont="1" applyFill="1" applyBorder="1">
      <alignment vertical="center"/>
    </xf>
    <xf numFmtId="0" fontId="14" fillId="10" borderId="34" xfId="0" applyFont="1" applyFill="1" applyBorder="1">
      <alignment vertical="center"/>
    </xf>
    <xf numFmtId="0" fontId="4" fillId="0" borderId="37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16" fillId="0" borderId="0" xfId="0" applyFont="1" applyBorder="1">
      <alignment vertical="center"/>
    </xf>
    <xf numFmtId="0" fontId="14" fillId="0" borderId="37" xfId="0" applyFont="1" applyFill="1" applyBorder="1">
      <alignment vertical="center"/>
    </xf>
    <xf numFmtId="0" fontId="16" fillId="6" borderId="37" xfId="0" applyFont="1" applyFill="1" applyBorder="1">
      <alignment vertical="center"/>
    </xf>
    <xf numFmtId="0" fontId="14" fillId="6" borderId="37" xfId="0" applyFont="1" applyFill="1" applyBorder="1">
      <alignment vertical="center"/>
    </xf>
    <xf numFmtId="0" fontId="16" fillId="0" borderId="37" xfId="0" applyFont="1" applyFill="1" applyBorder="1" applyAlignment="1">
      <alignment horizontal="center" vertical="center"/>
    </xf>
    <xf numFmtId="0" fontId="11" fillId="6" borderId="37" xfId="0" applyFont="1" applyFill="1" applyBorder="1">
      <alignment vertical="center"/>
    </xf>
    <xf numFmtId="0" fontId="4" fillId="0" borderId="33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11" borderId="0" xfId="0" applyFont="1" applyFill="1">
      <alignment vertical="center"/>
    </xf>
    <xf numFmtId="0" fontId="16" fillId="0" borderId="33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4" fillId="0" borderId="14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4" fillId="7" borderId="0" xfId="15" applyFont="1" applyFill="1">
      <alignment vertical="center"/>
    </xf>
    <xf numFmtId="0" fontId="11" fillId="7" borderId="0" xfId="15" applyFont="1" applyFill="1">
      <alignment vertical="center"/>
    </xf>
    <xf numFmtId="0" fontId="11" fillId="7" borderId="34" xfId="15" applyFont="1" applyFill="1" applyBorder="1">
      <alignment vertical="center"/>
    </xf>
    <xf numFmtId="0" fontId="11" fillId="0" borderId="0" xfId="15" applyFont="1" applyFill="1">
      <alignment vertical="center"/>
    </xf>
    <xf numFmtId="0" fontId="4" fillId="0" borderId="0" xfId="15" applyFont="1" applyFill="1">
      <alignment vertical="center"/>
    </xf>
    <xf numFmtId="0" fontId="11" fillId="0" borderId="33" xfId="15" applyFont="1" applyFill="1" applyBorder="1">
      <alignment vertical="center"/>
    </xf>
    <xf numFmtId="0" fontId="11" fillId="0" borderId="33" xfId="15" applyFont="1" applyBorder="1">
      <alignment vertical="center"/>
    </xf>
    <xf numFmtId="0" fontId="11" fillId="0" borderId="0" xfId="15" applyFont="1">
      <alignment vertical="center"/>
    </xf>
    <xf numFmtId="0" fontId="4" fillId="0" borderId="0" xfId="0" applyNumberFormat="1" applyFont="1" applyFill="1">
      <alignment vertical="center"/>
    </xf>
    <xf numFmtId="0" fontId="14" fillId="0" borderId="13" xfId="0" applyFont="1" applyFill="1" applyBorder="1">
      <alignment vertical="center"/>
    </xf>
    <xf numFmtId="0" fontId="4" fillId="12" borderId="33" xfId="0" applyNumberFormat="1" applyFont="1" applyFill="1" applyBorder="1">
      <alignment vertical="center"/>
    </xf>
    <xf numFmtId="0" fontId="14" fillId="12" borderId="0" xfId="0" applyFont="1" applyFill="1" applyBorder="1">
      <alignment vertical="center"/>
    </xf>
    <xf numFmtId="0" fontId="14" fillId="12" borderId="34" xfId="0" applyFont="1" applyFill="1" applyBorder="1">
      <alignment vertical="center"/>
    </xf>
    <xf numFmtId="0" fontId="4" fillId="0" borderId="33" xfId="0" applyFont="1" applyFill="1" applyBorder="1" applyAlignment="1">
      <alignment horizontal="left" vertical="center"/>
    </xf>
    <xf numFmtId="0" fontId="11" fillId="12" borderId="0" xfId="0" applyFont="1" applyFill="1" applyBorder="1">
      <alignment vertical="center"/>
    </xf>
    <xf numFmtId="0" fontId="11" fillId="12" borderId="34" xfId="0" applyFont="1" applyFill="1" applyBorder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4" fillId="7" borderId="33" xfId="0" applyNumberFormat="1" applyFont="1" applyFill="1" applyBorder="1">
      <alignment vertical="center"/>
    </xf>
    <xf numFmtId="0" fontId="11" fillId="7" borderId="0" xfId="0" applyFont="1" applyFill="1" applyBorder="1">
      <alignment vertical="center"/>
    </xf>
    <xf numFmtId="0" fontId="11" fillId="7" borderId="34" xfId="0" applyFont="1" applyFill="1" applyBorder="1">
      <alignment vertical="center"/>
    </xf>
    <xf numFmtId="0" fontId="4" fillId="0" borderId="34" xfId="0" applyFont="1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4" fillId="6" borderId="37" xfId="0" applyFont="1" applyFill="1" applyBorder="1" applyAlignment="1">
      <alignment horizontal="center" vertical="center"/>
    </xf>
    <xf numFmtId="0" fontId="4" fillId="9" borderId="3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4" fillId="7" borderId="37" xfId="0" applyFont="1" applyFill="1" applyBorder="1" applyAlignment="1">
      <alignment horizontal="center" vertical="center"/>
    </xf>
    <xf numFmtId="0" fontId="4" fillId="6" borderId="37" xfId="0" applyFont="1" applyFill="1" applyBorder="1" applyAlignment="1">
      <alignment horizontal="center" vertical="center"/>
    </xf>
    <xf numFmtId="0" fontId="4" fillId="13" borderId="33" xfId="0" applyNumberFormat="1" applyFont="1" applyFill="1" applyBorder="1">
      <alignment vertical="center"/>
    </xf>
    <xf numFmtId="0" fontId="14" fillId="13" borderId="0" xfId="0" applyFont="1" applyFill="1" applyBorder="1">
      <alignment vertical="center"/>
    </xf>
    <xf numFmtId="0" fontId="14" fillId="13" borderId="34" xfId="0" applyFont="1" applyFill="1" applyBorder="1">
      <alignment vertical="center"/>
    </xf>
    <xf numFmtId="0" fontId="11" fillId="13" borderId="0" xfId="0" applyFont="1" applyFill="1" applyBorder="1">
      <alignment vertical="center"/>
    </xf>
    <xf numFmtId="0" fontId="11" fillId="13" borderId="34" xfId="0" applyFont="1" applyFill="1" applyBorder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7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left" vertical="center" wrapText="1"/>
    </xf>
    <xf numFmtId="0" fontId="14" fillId="2" borderId="25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4" fillId="0" borderId="12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4" fillId="0" borderId="33" xfId="0" applyFont="1" applyBorder="1">
      <alignment vertical="center"/>
    </xf>
    <xf numFmtId="0" fontId="11" fillId="0" borderId="0" xfId="0" applyFont="1">
      <alignment vertical="center"/>
    </xf>
    <xf numFmtId="0" fontId="11" fillId="0" borderId="34" xfId="0" applyFont="1" applyBorder="1">
      <alignment vertical="center"/>
    </xf>
    <xf numFmtId="0" fontId="11" fillId="0" borderId="0" xfId="0" applyFont="1" applyFill="1">
      <alignment vertical="center"/>
    </xf>
    <xf numFmtId="0" fontId="11" fillId="0" borderId="0" xfId="0" applyFont="1" applyBorder="1">
      <alignment vertical="center"/>
    </xf>
    <xf numFmtId="0" fontId="11" fillId="0" borderId="33" xfId="0" applyFont="1" applyBorder="1">
      <alignment vertical="center"/>
    </xf>
    <xf numFmtId="21" fontId="11" fillId="0" borderId="33" xfId="0" applyNumberFormat="1" applyFont="1" applyBorder="1">
      <alignment vertical="center"/>
    </xf>
    <xf numFmtId="0" fontId="16" fillId="7" borderId="0" xfId="0" applyFont="1" applyFill="1" applyBorder="1">
      <alignment vertical="center"/>
    </xf>
    <xf numFmtId="0" fontId="4" fillId="9" borderId="33" xfId="0" applyNumberFormat="1" applyFont="1" applyFill="1" applyBorder="1">
      <alignment vertical="center"/>
    </xf>
    <xf numFmtId="0" fontId="11" fillId="9" borderId="0" xfId="0" applyFont="1" applyFill="1" applyBorder="1">
      <alignment vertical="center"/>
    </xf>
    <xf numFmtId="0" fontId="11" fillId="9" borderId="34" xfId="0" applyFont="1" applyFill="1" applyBorder="1">
      <alignment vertical="center"/>
    </xf>
    <xf numFmtId="0" fontId="14" fillId="9" borderId="0" xfId="0" applyFont="1" applyFill="1" applyBorder="1">
      <alignment vertical="center"/>
    </xf>
    <xf numFmtId="0" fontId="14" fillId="9" borderId="34" xfId="0" applyFont="1" applyFill="1" applyBorder="1">
      <alignment vertical="center"/>
    </xf>
    <xf numFmtId="0" fontId="4" fillId="9" borderId="0" xfId="0" applyFon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0" xfId="0" applyNumberFormat="1" applyFon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9" borderId="0" xfId="0" applyNumberFormat="1" applyFont="1" applyFill="1" applyBorder="1">
      <alignment vertical="center"/>
    </xf>
    <xf numFmtId="0" fontId="11" fillId="14" borderId="0" xfId="0" applyFont="1" applyFill="1" applyBorder="1">
      <alignment vertical="center"/>
    </xf>
    <xf numFmtId="0" fontId="14" fillId="14" borderId="0" xfId="0" applyFont="1" applyFill="1" applyBorder="1">
      <alignment vertical="center"/>
    </xf>
    <xf numFmtId="0" fontId="4" fillId="14" borderId="0" xfId="0" applyFont="1" applyFill="1" applyBorder="1">
      <alignment vertical="center"/>
    </xf>
    <xf numFmtId="0" fontId="16" fillId="14" borderId="0" xfId="0" applyFon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6" borderId="40" xfId="0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/>
    </xf>
    <xf numFmtId="0" fontId="4" fillId="7" borderId="0" xfId="0" applyNumberFormat="1" applyFont="1" applyFill="1" applyBorder="1">
      <alignment vertical="center"/>
    </xf>
    <xf numFmtId="0" fontId="4" fillId="9" borderId="40" xfId="0" applyFont="1" applyFill="1" applyBorder="1" applyAlignment="1">
      <alignment vertical="center"/>
    </xf>
    <xf numFmtId="0" fontId="4" fillId="9" borderId="41" xfId="0" applyFont="1" applyFill="1" applyBorder="1" applyAlignment="1">
      <alignment vertical="center"/>
    </xf>
    <xf numFmtId="0" fontId="4" fillId="7" borderId="40" xfId="0" applyFont="1" applyFill="1" applyBorder="1" applyAlignment="1">
      <alignment vertical="center"/>
    </xf>
    <xf numFmtId="0" fontId="4" fillId="7" borderId="41" xfId="0" applyFont="1" applyFill="1" applyBorder="1" applyAlignment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4" fillId="6" borderId="40" xfId="0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left" vertical="center"/>
    </xf>
    <xf numFmtId="0" fontId="4" fillId="7" borderId="0" xfId="0" applyFont="1" applyFill="1" applyBorder="1">
      <alignment vertical="center"/>
    </xf>
    <xf numFmtId="0" fontId="21" fillId="15" borderId="37" xfId="0" applyFont="1" applyFill="1" applyBorder="1">
      <alignment vertical="center"/>
    </xf>
    <xf numFmtId="0" fontId="0" fillId="15" borderId="37" xfId="0" applyFill="1" applyBorder="1">
      <alignment vertical="center"/>
    </xf>
    <xf numFmtId="0" fontId="21" fillId="16" borderId="37" xfId="0" applyFont="1" applyFill="1" applyBorder="1">
      <alignment vertical="center"/>
    </xf>
    <xf numFmtId="0" fontId="0" fillId="16" borderId="37" xfId="0" applyFill="1" applyBorder="1">
      <alignment vertical="center"/>
    </xf>
    <xf numFmtId="0" fontId="21" fillId="17" borderId="37" xfId="0" applyFont="1" applyFill="1" applyBorder="1">
      <alignment vertical="center"/>
    </xf>
    <xf numFmtId="0" fontId="0" fillId="17" borderId="37" xfId="0" applyFill="1" applyBorder="1">
      <alignment vertical="center"/>
    </xf>
    <xf numFmtId="0" fontId="21" fillId="18" borderId="37" xfId="0" applyFont="1" applyFill="1" applyBorder="1">
      <alignment vertical="center"/>
    </xf>
    <xf numFmtId="0" fontId="0" fillId="18" borderId="37" xfId="0" applyFill="1" applyBorder="1">
      <alignment vertical="center"/>
    </xf>
    <xf numFmtId="0" fontId="21" fillId="19" borderId="37" xfId="0" applyFont="1" applyFill="1" applyBorder="1">
      <alignment vertical="center"/>
    </xf>
    <xf numFmtId="0" fontId="0" fillId="19" borderId="37" xfId="0" applyFill="1" applyBorder="1">
      <alignment vertical="center"/>
    </xf>
    <xf numFmtId="0" fontId="21" fillId="20" borderId="37" xfId="0" applyFont="1" applyFill="1" applyBorder="1" applyAlignment="1">
      <alignment vertical="center" wrapText="1"/>
    </xf>
    <xf numFmtId="0" fontId="0" fillId="20" borderId="43" xfId="0" applyFill="1" applyBorder="1" applyAlignment="1">
      <alignment horizontal="left" vertical="top" wrapText="1"/>
    </xf>
    <xf numFmtId="0" fontId="0" fillId="16" borderId="37" xfId="0" applyFill="1" applyBorder="1" applyAlignment="1">
      <alignment horizontal="center" vertical="center"/>
    </xf>
    <xf numFmtId="0" fontId="0" fillId="15" borderId="37" xfId="0" applyFill="1" applyBorder="1" applyAlignment="1">
      <alignment horizontal="center" vertical="center"/>
    </xf>
    <xf numFmtId="0" fontId="0" fillId="19" borderId="37" xfId="0" applyFill="1" applyBorder="1" applyAlignment="1">
      <alignment horizontal="center" vertical="center"/>
    </xf>
    <xf numFmtId="0" fontId="0" fillId="18" borderId="37" xfId="0" applyFill="1" applyBorder="1" applyAlignment="1">
      <alignment horizontal="center" vertical="center"/>
    </xf>
    <xf numFmtId="0" fontId="0" fillId="17" borderId="37" xfId="0" applyFill="1" applyBorder="1" applyAlignment="1">
      <alignment horizontal="center" vertical="center"/>
    </xf>
    <xf numFmtId="0" fontId="21" fillId="21" borderId="37" xfId="0" applyFont="1" applyFill="1" applyBorder="1">
      <alignment vertical="center"/>
    </xf>
    <xf numFmtId="0" fontId="0" fillId="21" borderId="37" xfId="0" applyFill="1" applyBorder="1" applyAlignment="1">
      <alignment horizontal="center" vertical="center"/>
    </xf>
    <xf numFmtId="0" fontId="0" fillId="21" borderId="37" xfId="0" applyFill="1" applyBorder="1">
      <alignment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1" fillId="7" borderId="0" xfId="0" applyFont="1" applyFill="1">
      <alignment vertical="center"/>
    </xf>
    <xf numFmtId="0" fontId="4" fillId="7" borderId="0" xfId="0" applyFont="1" applyFill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7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left" vertical="center" wrapText="1"/>
    </xf>
    <xf numFmtId="0" fontId="14" fillId="2" borderId="25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4" fillId="0" borderId="12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1" fillId="0" borderId="33" xfId="0" applyFont="1" applyBorder="1">
      <alignment vertical="center"/>
    </xf>
    <xf numFmtId="0" fontId="11" fillId="0" borderId="34" xfId="0" applyFont="1" applyBorder="1">
      <alignment vertical="center"/>
    </xf>
    <xf numFmtId="0" fontId="4" fillId="0" borderId="33" xfId="0" applyFont="1" applyBorder="1">
      <alignment vertical="center"/>
    </xf>
    <xf numFmtId="0" fontId="11" fillId="0" borderId="29" xfId="0" applyFont="1" applyFill="1" applyBorder="1">
      <alignment vertical="center"/>
    </xf>
    <xf numFmtId="0" fontId="11" fillId="0" borderId="33" xfId="0" applyFont="1" applyFill="1" applyBorder="1" applyAlignment="1">
      <alignment vertical="center"/>
    </xf>
    <xf numFmtId="0" fontId="4" fillId="0" borderId="33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11" fillId="0" borderId="34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33" xfId="0" applyFont="1" applyBorder="1">
      <alignment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7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left" vertical="center" wrapText="1"/>
    </xf>
    <xf numFmtId="0" fontId="14" fillId="2" borderId="25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4" fillId="0" borderId="12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1" fillId="0" borderId="33" xfId="0" applyFont="1" applyBorder="1">
      <alignment vertical="center"/>
    </xf>
    <xf numFmtId="0" fontId="11" fillId="0" borderId="34" xfId="0" applyFont="1" applyBorder="1">
      <alignment vertical="center"/>
    </xf>
    <xf numFmtId="0" fontId="4" fillId="0" borderId="33" xfId="0" applyFont="1" applyBorder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7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left" vertical="center" wrapText="1"/>
    </xf>
    <xf numFmtId="0" fontId="14" fillId="2" borderId="25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4" fillId="0" borderId="12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1" fillId="0" borderId="33" xfId="0" applyFont="1" applyBorder="1">
      <alignment vertical="center"/>
    </xf>
    <xf numFmtId="0" fontId="11" fillId="0" borderId="34" xfId="0" applyFont="1" applyBorder="1">
      <alignment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4" fillId="9" borderId="0" xfId="0" applyFont="1" applyFill="1" applyAlignment="1">
      <alignment vertical="center"/>
    </xf>
    <xf numFmtId="0" fontId="11" fillId="9" borderId="0" xfId="0" applyFont="1" applyFill="1" applyAlignment="1">
      <alignment vertical="center"/>
    </xf>
    <xf numFmtId="0" fontId="11" fillId="9" borderId="34" xfId="0" applyFont="1" applyFill="1" applyBorder="1" applyAlignment="1">
      <alignment vertical="center"/>
    </xf>
    <xf numFmtId="0" fontId="4" fillId="9" borderId="0" xfId="0" applyFont="1" applyFill="1">
      <alignment vertical="center"/>
    </xf>
    <xf numFmtId="0" fontId="16" fillId="9" borderId="0" xfId="0" applyFont="1" applyFill="1">
      <alignment vertical="center"/>
    </xf>
    <xf numFmtId="0" fontId="4" fillId="9" borderId="33" xfId="0" applyFont="1" applyFill="1" applyBorder="1">
      <alignment vertical="center"/>
    </xf>
    <xf numFmtId="0" fontId="11" fillId="9" borderId="0" xfId="0" applyFont="1" applyFill="1">
      <alignment vertical="center"/>
    </xf>
    <xf numFmtId="0" fontId="4" fillId="9" borderId="33" xfId="0" applyFont="1" applyFill="1" applyBorder="1" applyAlignment="1">
      <alignment vertical="center"/>
    </xf>
    <xf numFmtId="0" fontId="11" fillId="9" borderId="33" xfId="0" applyFont="1" applyFill="1" applyBorder="1" applyAlignment="1">
      <alignment horizontal="center" vertical="center"/>
    </xf>
    <xf numFmtId="0" fontId="11" fillId="9" borderId="34" xfId="0" applyFont="1" applyFill="1" applyBorder="1" applyAlignment="1">
      <alignment horizontal="center" vertical="center"/>
    </xf>
    <xf numFmtId="0" fontId="4" fillId="9" borderId="33" xfId="0" applyFont="1" applyFill="1" applyBorder="1" applyAlignment="1">
      <alignment horizontal="center" vertical="center"/>
    </xf>
    <xf numFmtId="0" fontId="4" fillId="9" borderId="34" xfId="0" applyFont="1" applyFill="1" applyBorder="1" applyAlignment="1">
      <alignment horizontal="center" vertical="center"/>
    </xf>
    <xf numFmtId="0" fontId="4" fillId="0" borderId="44" xfId="0" applyFont="1" applyFill="1" applyBorder="1">
      <alignment vertical="center"/>
    </xf>
    <xf numFmtId="0" fontId="4" fillId="0" borderId="44" xfId="0" applyFont="1" applyBorder="1">
      <alignment vertical="center"/>
    </xf>
    <xf numFmtId="0" fontId="4" fillId="0" borderId="0" xfId="0" applyFont="1" applyBorder="1" applyAlignment="1">
      <alignment vertical="center" wrapText="1"/>
    </xf>
    <xf numFmtId="0" fontId="18" fillId="0" borderId="0" xfId="0" applyFont="1" applyBorder="1">
      <alignment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11" fillId="0" borderId="33" xfId="15" applyFont="1" applyFill="1" applyBorder="1">
      <alignment vertical="center"/>
    </xf>
    <xf numFmtId="0" fontId="24" fillId="22" borderId="33" xfId="0" applyNumberFormat="1" applyFont="1" applyFill="1" applyBorder="1">
      <alignment vertical="center"/>
    </xf>
    <xf numFmtId="0" fontId="14" fillId="22" borderId="0" xfId="0" applyFont="1" applyFill="1" applyBorder="1">
      <alignment vertical="center"/>
    </xf>
    <xf numFmtId="0" fontId="14" fillId="22" borderId="34" xfId="0" applyFont="1" applyFill="1" applyBorder="1">
      <alignment vertical="center"/>
    </xf>
    <xf numFmtId="0" fontId="11" fillId="22" borderId="0" xfId="0" applyFont="1" applyFill="1" applyBorder="1">
      <alignment vertical="center"/>
    </xf>
    <xf numFmtId="0" fontId="11" fillId="22" borderId="34" xfId="0" applyFont="1" applyFill="1" applyBorder="1">
      <alignment vertical="center"/>
    </xf>
    <xf numFmtId="0" fontId="25" fillId="22" borderId="0" xfId="0" applyFont="1" applyFill="1" applyBorder="1">
      <alignment vertical="center"/>
    </xf>
    <xf numFmtId="0" fontId="25" fillId="22" borderId="34" xfId="0" applyFont="1" applyFill="1" applyBorder="1">
      <alignment vertical="center"/>
    </xf>
    <xf numFmtId="0" fontId="16" fillId="9" borderId="0" xfId="0" applyFont="1" applyFill="1" applyBorder="1">
      <alignment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5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left" vertical="center"/>
    </xf>
    <xf numFmtId="0" fontId="14" fillId="0" borderId="15" xfId="0" applyFont="1" applyFill="1" applyBorder="1" applyAlignment="1">
      <alignment horizontal="left" vertical="center"/>
    </xf>
    <xf numFmtId="0" fontId="14" fillId="0" borderId="32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center" vertical="center"/>
    </xf>
    <xf numFmtId="0" fontId="16" fillId="0" borderId="34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4" fillId="0" borderId="33" xfId="0" applyFont="1" applyFill="1" applyBorder="1" applyAlignment="1">
      <alignment horizontal="left" vertical="center"/>
    </xf>
    <xf numFmtId="0" fontId="14" fillId="0" borderId="34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1" fillId="0" borderId="33" xfId="0" applyFont="1" applyFill="1" applyBorder="1" applyAlignment="1">
      <alignment horizontal="center" vertical="center"/>
    </xf>
    <xf numFmtId="0" fontId="11" fillId="0" borderId="34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 shrinkToFit="1"/>
    </xf>
    <xf numFmtId="0" fontId="14" fillId="0" borderId="2" xfId="0" applyFont="1" applyFill="1" applyBorder="1" applyAlignment="1">
      <alignment horizontal="left" vertical="center" shrinkToFit="1"/>
    </xf>
    <xf numFmtId="0" fontId="14" fillId="0" borderId="3" xfId="0" applyFont="1" applyFill="1" applyBorder="1" applyAlignment="1">
      <alignment horizontal="left" vertical="center" shrinkToFit="1"/>
    </xf>
    <xf numFmtId="0" fontId="15" fillId="0" borderId="5" xfId="0" applyFont="1" applyFill="1" applyBorder="1" applyAlignment="1">
      <alignment horizontal="center" vertical="center"/>
    </xf>
    <xf numFmtId="0" fontId="15" fillId="0" borderId="6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5" fillId="0" borderId="1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14" fontId="14" fillId="0" borderId="4" xfId="0" applyNumberFormat="1" applyFont="1" applyFill="1" applyBorder="1" applyAlignment="1">
      <alignment horizontal="left" vertical="center"/>
    </xf>
    <xf numFmtId="14" fontId="14" fillId="0" borderId="2" xfId="0" applyNumberFormat="1" applyFont="1" applyFill="1" applyBorder="1" applyAlignment="1">
      <alignment horizontal="left" vertical="center"/>
    </xf>
    <xf numFmtId="14" fontId="14" fillId="0" borderId="8" xfId="0" applyNumberFormat="1" applyFont="1" applyFill="1" applyBorder="1" applyAlignment="1">
      <alignment horizontal="left" vertical="center"/>
    </xf>
    <xf numFmtId="0" fontId="14" fillId="0" borderId="12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14" fontId="14" fillId="0" borderId="12" xfId="0" applyNumberFormat="1" applyFont="1" applyFill="1" applyBorder="1" applyAlignment="1">
      <alignment horizontal="left" vertical="center"/>
    </xf>
    <xf numFmtId="0" fontId="14" fillId="0" borderId="16" xfId="0" applyFont="1" applyFill="1" applyBorder="1" applyAlignment="1">
      <alignment horizontal="left" vertical="center"/>
    </xf>
    <xf numFmtId="0" fontId="14" fillId="2" borderId="23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6" fillId="0" borderId="39" xfId="0" applyFont="1" applyFill="1" applyBorder="1" applyAlignment="1">
      <alignment horizontal="center" vertical="center"/>
    </xf>
    <xf numFmtId="0" fontId="16" fillId="0" borderId="30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30" xfId="0" applyFont="1" applyFill="1" applyBorder="1" applyAlignment="1">
      <alignment horizontal="left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14" fillId="5" borderId="26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0" fontId="14" fillId="5" borderId="2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left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26" xfId="0" applyFont="1" applyFill="1" applyBorder="1" applyAlignment="1">
      <alignment horizontal="left" vertical="center" wrapText="1"/>
    </xf>
    <xf numFmtId="0" fontId="11" fillId="2" borderId="2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7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left" vertical="center" wrapText="1"/>
    </xf>
    <xf numFmtId="0" fontId="14" fillId="2" borderId="25" xfId="0" applyFont="1" applyFill="1" applyBorder="1" applyAlignment="1">
      <alignment horizontal="left" vertical="center" wrapText="1"/>
    </xf>
    <xf numFmtId="0" fontId="11" fillId="0" borderId="33" xfId="15" applyFont="1" applyFill="1" applyBorder="1">
      <alignment vertical="center"/>
    </xf>
    <xf numFmtId="0" fontId="11" fillId="0" borderId="34" xfId="15" applyFont="1" applyFill="1" applyBorder="1">
      <alignment vertical="center"/>
    </xf>
    <xf numFmtId="0" fontId="4" fillId="0" borderId="33" xfId="15" applyFont="1" applyFill="1" applyBorder="1" applyAlignment="1">
      <alignment horizontal="center" vertical="center"/>
    </xf>
    <xf numFmtId="0" fontId="4" fillId="0" borderId="34" xfId="15" applyFont="1" applyFill="1" applyBorder="1" applyAlignment="1">
      <alignment horizontal="center" vertical="center"/>
    </xf>
    <xf numFmtId="0" fontId="11" fillId="0" borderId="33" xfId="15" applyFont="1" applyFill="1" applyBorder="1" applyAlignment="1">
      <alignment horizontal="right" vertical="center"/>
    </xf>
    <xf numFmtId="0" fontId="11" fillId="0" borderId="34" xfId="15" applyFont="1" applyFill="1" applyBorder="1" applyAlignment="1">
      <alignment horizontal="right" vertical="center"/>
    </xf>
    <xf numFmtId="0" fontId="11" fillId="0" borderId="33" xfId="15" applyFont="1" applyFill="1" applyBorder="1" applyAlignment="1">
      <alignment horizontal="center" vertical="center"/>
    </xf>
    <xf numFmtId="0" fontId="11" fillId="0" borderId="34" xfId="15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4" fillId="6" borderId="40" xfId="0" applyFont="1" applyFill="1" applyBorder="1" applyAlignment="1">
      <alignment horizontal="center" vertical="center"/>
    </xf>
    <xf numFmtId="0" fontId="4" fillId="6" borderId="41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/>
    </xf>
    <xf numFmtId="0" fontId="14" fillId="0" borderId="13" xfId="0" applyFont="1" applyFill="1" applyBorder="1">
      <alignment vertical="center"/>
    </xf>
    <xf numFmtId="0" fontId="14" fillId="0" borderId="14" xfId="0" applyFont="1" applyFill="1" applyBorder="1">
      <alignment vertical="center"/>
    </xf>
    <xf numFmtId="0" fontId="14" fillId="0" borderId="15" xfId="0" applyFont="1" applyFill="1" applyBorder="1">
      <alignment vertical="center"/>
    </xf>
    <xf numFmtId="0" fontId="11" fillId="0" borderId="32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42" xfId="0" applyFont="1" applyBorder="1" applyAlignment="1">
      <alignment horizontal="right" vertical="center"/>
    </xf>
    <xf numFmtId="0" fontId="4" fillId="0" borderId="33" xfId="0" applyFont="1" applyBorder="1" applyAlignment="1">
      <alignment horizontal="right" vertical="center"/>
    </xf>
    <xf numFmtId="0" fontId="4" fillId="0" borderId="34" xfId="0" applyFont="1" applyBorder="1" applyAlignment="1">
      <alignment horizontal="right" vertical="center"/>
    </xf>
    <xf numFmtId="0" fontId="11" fillId="0" borderId="33" xfId="0" applyFont="1" applyBorder="1" applyAlignment="1">
      <alignment horizontal="center" vertical="center"/>
    </xf>
    <xf numFmtId="0" fontId="11" fillId="0" borderId="33" xfId="0" applyFont="1" applyBorder="1" applyAlignment="1">
      <alignment horizontal="right" vertical="center"/>
    </xf>
    <xf numFmtId="0" fontId="11" fillId="0" borderId="34" xfId="0" applyFont="1" applyBorder="1" applyAlignment="1">
      <alignment horizontal="right" vertical="center"/>
    </xf>
    <xf numFmtId="0" fontId="11" fillId="0" borderId="33" xfId="0" applyFont="1" applyBorder="1">
      <alignment vertical="center"/>
    </xf>
    <xf numFmtId="0" fontId="11" fillId="0" borderId="34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11" fillId="0" borderId="33" xfId="0" applyFont="1" applyFill="1" applyBorder="1" applyAlignment="1">
      <alignment horizontal="right" vertical="center"/>
    </xf>
    <xf numFmtId="0" fontId="11" fillId="0" borderId="34" xfId="0" applyFont="1" applyFill="1" applyBorder="1" applyAlignment="1">
      <alignment horizontal="right" vertical="center"/>
    </xf>
    <xf numFmtId="0" fontId="4" fillId="0" borderId="42" xfId="0" applyFont="1" applyFill="1" applyBorder="1" applyAlignment="1">
      <alignment horizontal="center" vertical="center"/>
    </xf>
    <xf numFmtId="0" fontId="11" fillId="0" borderId="42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vertical="center"/>
    </xf>
    <xf numFmtId="0" fontId="11" fillId="0" borderId="34" xfId="0" applyFont="1" applyFill="1" applyBorder="1" applyAlignment="1">
      <alignment vertical="center"/>
    </xf>
    <xf numFmtId="0" fontId="11" fillId="9" borderId="33" xfId="0" applyFont="1" applyFill="1" applyBorder="1" applyAlignment="1">
      <alignment horizontal="center" vertical="center"/>
    </xf>
    <xf numFmtId="0" fontId="11" fillId="9" borderId="34" xfId="0" applyFont="1" applyFill="1" applyBorder="1" applyAlignment="1">
      <alignment horizontal="center" vertical="center"/>
    </xf>
    <xf numFmtId="0" fontId="4" fillId="9" borderId="42" xfId="0" applyFont="1" applyFill="1" applyBorder="1" applyAlignment="1">
      <alignment horizontal="center" vertical="center"/>
    </xf>
    <xf numFmtId="0" fontId="11" fillId="9" borderId="42" xfId="0" applyFont="1" applyFill="1" applyBorder="1" applyAlignment="1">
      <alignment horizontal="center" vertical="center"/>
    </xf>
    <xf numFmtId="0" fontId="11" fillId="9" borderId="33" xfId="0" applyFont="1" applyFill="1" applyBorder="1" applyAlignment="1">
      <alignment horizontal="right" vertical="center"/>
    </xf>
    <xf numFmtId="0" fontId="11" fillId="9" borderId="34" xfId="0" applyFont="1" applyFill="1" applyBorder="1" applyAlignment="1">
      <alignment horizontal="right" vertical="center"/>
    </xf>
    <xf numFmtId="0" fontId="4" fillId="9" borderId="33" xfId="0" applyFont="1" applyFill="1" applyBorder="1" applyAlignment="1">
      <alignment horizontal="center" vertical="center"/>
    </xf>
    <xf numFmtId="0" fontId="4" fillId="9" borderId="34" xfId="0" applyFont="1" applyFill="1" applyBorder="1" applyAlignment="1">
      <alignment horizontal="center" vertical="center"/>
    </xf>
  </cellXfs>
  <cellStyles count="16"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標準_HP-RO-ZD-支出負担行為伺い処理" xfId="2"/>
    <cellStyle name="常规" xfId="0" builtinId="0"/>
    <cellStyle name="常规 2" xfId="1"/>
    <cellStyle name="常规 3" xfId="12"/>
    <cellStyle name="常规 4 2" xfId="14"/>
    <cellStyle name="常规 5 2" xfId="15"/>
    <cellStyle name="货币 2" xfId="13"/>
    <cellStyle name="未定義" xfId="11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BM158"/>
  <sheetViews>
    <sheetView topLeftCell="A64" zoomScale="85" zoomScaleNormal="85" workbookViewId="0">
      <selection activeCell="C94" sqref="C94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3.88671875" style="171" customWidth="1"/>
    <col min="31" max="33" width="2.6640625" style="171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79"/>
      <c r="B3" s="179"/>
      <c r="C3" s="55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3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0"/>
      <c r="AE3" s="170"/>
      <c r="AF3" s="170"/>
      <c r="AG3" s="170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698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699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/>
      <c r="D8" s="36"/>
      <c r="E8" s="36"/>
      <c r="F8" s="36"/>
      <c r="G8" s="36"/>
      <c r="H8" s="36"/>
      <c r="I8" s="36"/>
      <c r="J8" s="36"/>
      <c r="K8" s="37"/>
      <c r="L8" s="1"/>
      <c r="M8" s="36"/>
      <c r="N8" s="36"/>
      <c r="O8" s="36"/>
      <c r="P8" s="36"/>
      <c r="Q8" s="36"/>
      <c r="R8" s="36"/>
      <c r="S8" s="36"/>
      <c r="T8" s="36"/>
      <c r="U8" s="727"/>
      <c r="V8" s="728"/>
      <c r="W8" s="727"/>
      <c r="X8" s="728"/>
      <c r="Y8" s="729"/>
      <c r="Z8" s="730"/>
      <c r="AA8" s="730"/>
      <c r="AB8" s="730"/>
      <c r="AC8" s="731"/>
      <c r="AD8" s="732"/>
      <c r="AE8" s="733"/>
      <c r="AF8" s="732"/>
      <c r="AG8" s="733"/>
      <c r="AH8" s="7"/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/>
      <c r="BL8" s="51"/>
    </row>
    <row r="9" spans="1:64">
      <c r="A9" s="681">
        <v>2</v>
      </c>
      <c r="B9" s="682"/>
      <c r="C9" s="59" t="s">
        <v>902</v>
      </c>
      <c r="D9" s="179"/>
      <c r="E9" s="179"/>
      <c r="F9" s="179"/>
      <c r="G9" s="179"/>
      <c r="H9" s="179"/>
      <c r="I9" s="179"/>
      <c r="J9" s="179"/>
      <c r="K9" s="180"/>
      <c r="L9" s="173"/>
      <c r="M9" s="179"/>
      <c r="N9" s="179"/>
      <c r="O9" s="179"/>
      <c r="P9" s="179"/>
      <c r="Q9" s="179"/>
      <c r="R9" s="179"/>
      <c r="S9" s="179"/>
      <c r="T9" s="179"/>
      <c r="U9" s="683"/>
      <c r="V9" s="682"/>
      <c r="W9" s="684"/>
      <c r="X9" s="685"/>
      <c r="Y9" s="696"/>
      <c r="Z9" s="697"/>
      <c r="AA9" s="697"/>
      <c r="AB9" s="697"/>
      <c r="AC9" s="698"/>
      <c r="AD9" s="689"/>
      <c r="AE9" s="690"/>
      <c r="AF9" s="689"/>
      <c r="AG9" s="690"/>
      <c r="AH9" t="s">
        <v>682</v>
      </c>
      <c r="AI9" s="173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80"/>
      <c r="BB9" s="179"/>
      <c r="BC9" s="179"/>
      <c r="BD9" s="179"/>
      <c r="BE9" s="179"/>
      <c r="BF9" s="179"/>
      <c r="BG9" s="43"/>
      <c r="BH9" s="36"/>
      <c r="BK9" s="51"/>
      <c r="BL9" s="52"/>
    </row>
    <row r="10" spans="1:64">
      <c r="A10" s="681">
        <v>3</v>
      </c>
      <c r="B10" s="682"/>
      <c r="C10" s="59" t="s">
        <v>681</v>
      </c>
      <c r="D10" s="173"/>
      <c r="E10" s="173"/>
      <c r="F10" s="173"/>
      <c r="G10" s="173"/>
      <c r="H10" s="173"/>
      <c r="I10" s="173"/>
      <c r="J10" s="173"/>
      <c r="K10" s="174"/>
      <c r="L10" s="1"/>
      <c r="M10" s="173"/>
      <c r="N10" s="173"/>
      <c r="O10" s="173"/>
      <c r="P10" s="173"/>
      <c r="Q10" s="173"/>
      <c r="R10" s="173"/>
      <c r="S10" s="173"/>
      <c r="T10" s="173"/>
      <c r="U10" s="692"/>
      <c r="V10" s="693"/>
      <c r="W10" s="694"/>
      <c r="X10" s="695"/>
      <c r="Y10" s="696"/>
      <c r="Z10" s="697"/>
      <c r="AA10" s="697"/>
      <c r="AB10" s="697"/>
      <c r="AC10" s="698"/>
      <c r="AD10" s="689"/>
      <c r="AE10" s="690"/>
      <c r="AF10" s="689"/>
      <c r="AG10" s="690"/>
      <c r="AH10" t="s">
        <v>683</v>
      </c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4"/>
      <c r="BB10" s="179"/>
      <c r="BC10" s="179"/>
      <c r="BD10" s="179"/>
      <c r="BE10" s="179"/>
      <c r="BF10" s="179"/>
      <c r="BG10" s="43"/>
      <c r="BH10" s="36"/>
      <c r="BK10" s="52"/>
      <c r="BL10" s="51"/>
    </row>
    <row r="11" spans="1:64">
      <c r="A11" s="681">
        <v>4</v>
      </c>
      <c r="B11" s="682"/>
      <c r="C11" s="59" t="s">
        <v>684</v>
      </c>
      <c r="D11" s="173"/>
      <c r="E11" s="173"/>
      <c r="F11" s="173"/>
      <c r="G11" s="173"/>
      <c r="H11" s="173"/>
      <c r="I11" s="173"/>
      <c r="J11" s="173"/>
      <c r="K11" s="174"/>
      <c r="L11" s="1"/>
      <c r="M11" s="173"/>
      <c r="N11" s="173"/>
      <c r="O11" s="173"/>
      <c r="P11" s="173"/>
      <c r="Q11" s="173"/>
      <c r="R11" s="173"/>
      <c r="S11" s="173"/>
      <c r="T11" s="173"/>
      <c r="U11" s="692"/>
      <c r="V11" s="693"/>
      <c r="W11" s="694"/>
      <c r="X11" s="695"/>
      <c r="Y11" s="696"/>
      <c r="Z11" s="697"/>
      <c r="AA11" s="697"/>
      <c r="AB11" s="697"/>
      <c r="AC11" s="698"/>
      <c r="AD11" s="689"/>
      <c r="AE11" s="690"/>
      <c r="AF11" s="689"/>
      <c r="AG11" s="690"/>
      <c r="AH11" s="172" t="s">
        <v>950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80"/>
      <c r="BB11" s="48"/>
      <c r="BC11" s="48"/>
      <c r="BD11" s="48"/>
      <c r="BE11" s="48"/>
      <c r="BF11" s="48"/>
      <c r="BG11" s="49"/>
      <c r="BK11" s="51"/>
      <c r="BL11" s="51"/>
    </row>
    <row r="12" spans="1:64">
      <c r="A12" s="681">
        <v>5</v>
      </c>
      <c r="B12" s="682"/>
      <c r="C12" s="59"/>
      <c r="D12" s="173"/>
      <c r="E12" s="173"/>
      <c r="F12" s="173"/>
      <c r="G12" s="173"/>
      <c r="H12" s="173"/>
      <c r="I12" s="173"/>
      <c r="J12" s="173"/>
      <c r="K12" s="174"/>
      <c r="L12" s="1"/>
      <c r="M12" s="173"/>
      <c r="N12" s="173"/>
      <c r="O12" s="173"/>
      <c r="P12" s="173"/>
      <c r="Q12" s="173"/>
      <c r="R12" s="173"/>
      <c r="S12" s="173"/>
      <c r="T12" s="173"/>
      <c r="U12" s="692"/>
      <c r="V12" s="693"/>
      <c r="W12" s="694"/>
      <c r="X12" s="695"/>
      <c r="Y12" s="696"/>
      <c r="Z12" s="697"/>
      <c r="AA12" s="697"/>
      <c r="AB12" s="697"/>
      <c r="AC12" s="698"/>
      <c r="AD12" s="689"/>
      <c r="AE12" s="690"/>
      <c r="AF12" s="689"/>
      <c r="AG12" s="690"/>
      <c r="AH12" s="172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80"/>
      <c r="BB12" s="179"/>
      <c r="BC12" s="179"/>
      <c r="BD12" s="179"/>
      <c r="BE12" s="179"/>
      <c r="BF12" s="179"/>
      <c r="BG12" s="43"/>
      <c r="BK12" s="51"/>
      <c r="BL12" s="51"/>
    </row>
    <row r="13" spans="1:64">
      <c r="A13" s="681">
        <v>6</v>
      </c>
      <c r="B13" s="682"/>
      <c r="C13" s="59" t="s">
        <v>685</v>
      </c>
      <c r="D13" s="173"/>
      <c r="E13" s="173"/>
      <c r="F13" s="173"/>
      <c r="G13" s="173"/>
      <c r="H13" s="173"/>
      <c r="I13" s="173"/>
      <c r="J13" s="173"/>
      <c r="K13" s="174"/>
      <c r="L13" s="1"/>
      <c r="M13" s="173"/>
      <c r="N13" s="173"/>
      <c r="O13" s="173"/>
      <c r="P13" s="173"/>
      <c r="Q13" s="173"/>
      <c r="R13" s="173"/>
      <c r="S13" s="173"/>
      <c r="T13" s="173"/>
      <c r="U13" s="692"/>
      <c r="V13" s="693"/>
      <c r="W13" s="694"/>
      <c r="X13" s="695"/>
      <c r="Y13" s="696"/>
      <c r="Z13" s="697"/>
      <c r="AA13" s="697"/>
      <c r="AB13" s="697"/>
      <c r="AC13" s="698"/>
      <c r="AD13" s="689"/>
      <c r="AE13" s="690"/>
      <c r="AF13" s="689"/>
      <c r="AG13" s="690"/>
      <c r="AH13" t="s">
        <v>686</v>
      </c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80"/>
      <c r="BB13" s="179"/>
      <c r="BC13" s="179"/>
      <c r="BD13" s="179"/>
      <c r="BE13" s="179"/>
      <c r="BF13" s="179"/>
      <c r="BG13" s="43"/>
      <c r="BK13" s="51"/>
      <c r="BL13" s="51"/>
    </row>
    <row r="14" spans="1:64">
      <c r="A14" s="681">
        <v>7</v>
      </c>
      <c r="B14" s="682"/>
      <c r="C14" s="59"/>
      <c r="D14" s="173"/>
      <c r="E14" s="173"/>
      <c r="F14" s="173"/>
      <c r="G14" s="173"/>
      <c r="H14" s="173"/>
      <c r="I14" s="173"/>
      <c r="J14" s="173"/>
      <c r="K14" s="174"/>
      <c r="L14" s="1"/>
      <c r="M14" s="173"/>
      <c r="N14" s="173"/>
      <c r="O14" s="173"/>
      <c r="P14" s="173"/>
      <c r="Q14" s="173"/>
      <c r="R14" s="173"/>
      <c r="S14" s="173"/>
      <c r="T14" s="173"/>
      <c r="U14" s="692"/>
      <c r="V14" s="693"/>
      <c r="W14" s="694"/>
      <c r="X14" s="695"/>
      <c r="Y14" s="696"/>
      <c r="Z14" s="697"/>
      <c r="AA14" s="697"/>
      <c r="AB14" s="697"/>
      <c r="AC14" s="698"/>
      <c r="AD14" s="689"/>
      <c r="AE14" s="690"/>
      <c r="AF14" s="689"/>
      <c r="AG14" s="690"/>
      <c r="AH14" s="172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80"/>
      <c r="BB14" s="179"/>
      <c r="BC14" s="179"/>
      <c r="BD14" s="179"/>
      <c r="BE14" s="179"/>
      <c r="BF14" s="179"/>
      <c r="BG14" s="43"/>
      <c r="BK14" s="51"/>
      <c r="BL14" s="51"/>
    </row>
    <row r="15" spans="1:64">
      <c r="A15" s="681">
        <v>8</v>
      </c>
      <c r="B15" s="682"/>
      <c r="C15" s="59" t="s">
        <v>687</v>
      </c>
      <c r="D15" s="173"/>
      <c r="E15" s="173"/>
      <c r="F15" s="173"/>
      <c r="G15" s="173"/>
      <c r="H15" s="173"/>
      <c r="I15" s="173"/>
      <c r="J15" s="173"/>
      <c r="K15" s="174"/>
      <c r="L15" s="1"/>
      <c r="M15" s="173"/>
      <c r="N15" s="173"/>
      <c r="O15" s="173"/>
      <c r="P15" s="173"/>
      <c r="Q15" s="173"/>
      <c r="R15" s="173"/>
      <c r="S15" s="173"/>
      <c r="T15" s="173"/>
      <c r="U15" s="692"/>
      <c r="V15" s="693"/>
      <c r="W15" s="694"/>
      <c r="X15" s="695"/>
      <c r="Y15" s="696"/>
      <c r="Z15" s="697"/>
      <c r="AA15" s="697"/>
      <c r="AB15" s="697"/>
      <c r="AC15" s="698"/>
      <c r="AD15" s="689"/>
      <c r="AE15" s="690"/>
      <c r="AF15" s="689"/>
      <c r="AG15" s="690"/>
      <c r="AH15" s="172" t="s">
        <v>688</v>
      </c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80"/>
      <c r="BB15" s="179"/>
      <c r="BC15" s="179"/>
      <c r="BD15" s="179"/>
      <c r="BE15" s="179"/>
      <c r="BF15" s="179"/>
      <c r="BG15" s="43"/>
      <c r="BK15" s="51"/>
      <c r="BL15" s="51"/>
    </row>
    <row r="16" spans="1:64">
      <c r="A16" s="681">
        <v>9</v>
      </c>
      <c r="B16" s="682"/>
      <c r="C16" s="59"/>
      <c r="D16" s="173"/>
      <c r="E16" s="173"/>
      <c r="F16" s="173"/>
      <c r="G16" s="173"/>
      <c r="H16" s="173"/>
      <c r="I16" s="173"/>
      <c r="J16" s="173"/>
      <c r="K16" s="174"/>
      <c r="L16" s="1"/>
      <c r="M16" s="173"/>
      <c r="N16" s="173"/>
      <c r="O16" s="173"/>
      <c r="P16" s="173"/>
      <c r="Q16" s="173"/>
      <c r="R16" s="173"/>
      <c r="S16" s="173"/>
      <c r="T16" s="173"/>
      <c r="U16" s="692"/>
      <c r="V16" s="693"/>
      <c r="W16" s="694"/>
      <c r="X16" s="695"/>
      <c r="Y16" s="696"/>
      <c r="Z16" s="697"/>
      <c r="AA16" s="697"/>
      <c r="AB16" s="697"/>
      <c r="AC16" s="698"/>
      <c r="AD16" s="689"/>
      <c r="AE16" s="690"/>
      <c r="AF16" s="689"/>
      <c r="AG16" s="690"/>
      <c r="AH16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80"/>
      <c r="BB16" s="179"/>
      <c r="BC16" s="179"/>
      <c r="BD16" s="179"/>
      <c r="BE16" s="179"/>
      <c r="BF16" s="179"/>
      <c r="BG16" s="43"/>
      <c r="BK16" s="51"/>
      <c r="BL16" s="51"/>
    </row>
    <row r="17" spans="1:65">
      <c r="A17" s="681">
        <v>10</v>
      </c>
      <c r="B17" s="682"/>
      <c r="C17" s="59" t="s">
        <v>689</v>
      </c>
      <c r="D17" s="179"/>
      <c r="E17" s="179"/>
      <c r="F17" s="179"/>
      <c r="G17" s="179"/>
      <c r="H17" s="179"/>
      <c r="I17" s="179"/>
      <c r="J17" s="179"/>
      <c r="K17" s="180"/>
      <c r="L17" s="36"/>
      <c r="M17" s="179"/>
      <c r="N17" s="179"/>
      <c r="O17" s="179"/>
      <c r="P17" s="179"/>
      <c r="Q17" s="179"/>
      <c r="R17" s="179"/>
      <c r="S17" s="179"/>
      <c r="T17" s="179"/>
      <c r="U17" s="683"/>
      <c r="V17" s="682"/>
      <c r="W17" s="684"/>
      <c r="X17" s="685"/>
      <c r="Y17" s="686"/>
      <c r="Z17" s="687"/>
      <c r="AA17" s="687"/>
      <c r="AB17" s="687"/>
      <c r="AC17" s="688"/>
      <c r="AD17" s="689"/>
      <c r="AE17" s="690"/>
      <c r="AF17" s="689"/>
      <c r="AG17" s="690"/>
      <c r="AH17" s="172" t="s">
        <v>690</v>
      </c>
      <c r="AI17" s="179"/>
      <c r="AJ17" s="179"/>
      <c r="AK17" s="179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  <c r="BA17" s="180"/>
      <c r="BB17" s="179"/>
      <c r="BC17" s="179"/>
      <c r="BD17" s="179"/>
      <c r="BE17" s="179"/>
      <c r="BF17" s="179"/>
      <c r="BG17" s="43"/>
      <c r="BK17" s="51"/>
      <c r="BL17" s="51"/>
    </row>
    <row r="18" spans="1:65">
      <c r="A18" s="681">
        <v>11</v>
      </c>
      <c r="B18" s="682"/>
      <c r="C18" s="59"/>
      <c r="D18" s="179"/>
      <c r="E18" s="179"/>
      <c r="F18" s="179"/>
      <c r="G18" s="179"/>
      <c r="H18" s="179"/>
      <c r="I18" s="179"/>
      <c r="J18" s="179"/>
      <c r="K18" s="180"/>
      <c r="L18" s="36"/>
      <c r="M18" s="179"/>
      <c r="N18" s="179"/>
      <c r="O18" s="179"/>
      <c r="P18" s="179"/>
      <c r="Q18" s="179"/>
      <c r="R18" s="179"/>
      <c r="S18" s="179"/>
      <c r="T18" s="179"/>
      <c r="U18" s="683"/>
      <c r="V18" s="682"/>
      <c r="W18" s="684"/>
      <c r="X18" s="685"/>
      <c r="Y18" s="686"/>
      <c r="Z18" s="687"/>
      <c r="AA18" s="687"/>
      <c r="AB18" s="687"/>
      <c r="AC18" s="688"/>
      <c r="AD18" s="689"/>
      <c r="AE18" s="690"/>
      <c r="AF18" s="689"/>
      <c r="AG18" s="690"/>
      <c r="AH18" s="178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80"/>
      <c r="BB18" s="179"/>
      <c r="BC18" s="179"/>
      <c r="BD18" s="179"/>
      <c r="BE18" s="179"/>
      <c r="BF18" s="179"/>
      <c r="BG18" s="43"/>
      <c r="BK18" s="51"/>
      <c r="BL18" s="51"/>
    </row>
    <row r="19" spans="1:65">
      <c r="A19" s="681">
        <v>12</v>
      </c>
      <c r="B19" s="682"/>
      <c r="C19" s="59" t="s">
        <v>692</v>
      </c>
      <c r="D19" s="179"/>
      <c r="E19" s="179"/>
      <c r="F19" s="179"/>
      <c r="G19" s="179"/>
      <c r="H19" s="179"/>
      <c r="I19" s="179"/>
      <c r="J19" s="179"/>
      <c r="K19" s="180"/>
      <c r="L19" s="36"/>
      <c r="M19" s="179"/>
      <c r="N19" s="179"/>
      <c r="O19" s="179"/>
      <c r="P19" s="179"/>
      <c r="Q19" s="179"/>
      <c r="R19" s="179"/>
      <c r="S19" s="179"/>
      <c r="T19" s="179"/>
      <c r="U19" s="683"/>
      <c r="V19" s="682"/>
      <c r="W19" s="684"/>
      <c r="X19" s="685"/>
      <c r="Y19" s="686"/>
      <c r="Z19" s="687"/>
      <c r="AA19" s="687"/>
      <c r="AB19" s="687"/>
      <c r="AC19" s="688"/>
      <c r="AD19" s="689"/>
      <c r="AE19" s="690"/>
      <c r="AF19" s="689"/>
      <c r="AG19" s="690"/>
      <c r="AH19" t="s">
        <v>691</v>
      </c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80"/>
      <c r="BB19" s="179"/>
      <c r="BC19" s="179"/>
      <c r="BD19" s="179"/>
      <c r="BE19" s="179"/>
      <c r="BF19" s="179"/>
      <c r="BG19" s="43"/>
      <c r="BK19" s="51"/>
      <c r="BL19" s="51"/>
    </row>
    <row r="20" spans="1:65">
      <c r="A20" s="681">
        <v>13</v>
      </c>
      <c r="B20" s="682"/>
      <c r="C20" s="59"/>
      <c r="D20" s="179"/>
      <c r="E20" s="179"/>
      <c r="F20" s="179"/>
      <c r="G20" s="179"/>
      <c r="H20" s="179"/>
      <c r="I20" s="179"/>
      <c r="J20" s="179"/>
      <c r="K20" s="180"/>
      <c r="L20" s="36"/>
      <c r="M20" s="179"/>
      <c r="N20" s="179"/>
      <c r="O20" s="179"/>
      <c r="P20" s="179"/>
      <c r="Q20" s="179"/>
      <c r="R20" s="179"/>
      <c r="S20" s="179"/>
      <c r="T20" s="179"/>
      <c r="U20" s="683"/>
      <c r="V20" s="682"/>
      <c r="W20" s="684"/>
      <c r="X20" s="685"/>
      <c r="Y20" s="686"/>
      <c r="Z20" s="687"/>
      <c r="AA20" s="687"/>
      <c r="AB20" s="687"/>
      <c r="AC20" s="688"/>
      <c r="AD20" s="689"/>
      <c r="AE20" s="690"/>
      <c r="AF20" s="689"/>
      <c r="AG20" s="690"/>
      <c r="AH20"/>
      <c r="AI20" s="179"/>
      <c r="AJ20" s="179"/>
      <c r="AK20" s="179"/>
      <c r="AL20" s="179"/>
      <c r="AM20" s="179"/>
      <c r="AN20" s="179"/>
      <c r="AO20" s="179"/>
      <c r="AP20" s="179"/>
      <c r="AQ20" s="179"/>
      <c r="AR20" s="179"/>
      <c r="AS20" s="179"/>
      <c r="AT20" s="179"/>
      <c r="AU20" s="179"/>
      <c r="AV20" s="179"/>
      <c r="AW20" s="179"/>
      <c r="AX20" s="179"/>
      <c r="AY20" s="179"/>
      <c r="AZ20" s="179"/>
      <c r="BA20" s="180"/>
      <c r="BB20" s="179"/>
      <c r="BC20" s="179"/>
      <c r="BD20" s="179"/>
      <c r="BE20" s="179"/>
      <c r="BF20" s="179"/>
      <c r="BG20" s="43"/>
      <c r="BK20" s="51"/>
      <c r="BL20" s="51"/>
    </row>
    <row r="21" spans="1:65">
      <c r="A21" s="681">
        <v>14</v>
      </c>
      <c r="B21" s="682"/>
      <c r="C21" s="59" t="s">
        <v>707</v>
      </c>
      <c r="D21" s="179"/>
      <c r="E21" s="179"/>
      <c r="F21" s="179"/>
      <c r="G21" s="179"/>
      <c r="H21" s="179"/>
      <c r="I21" s="179"/>
      <c r="J21" s="179"/>
      <c r="K21" s="180"/>
      <c r="L21" s="36"/>
      <c r="M21" s="179"/>
      <c r="N21" s="179"/>
      <c r="O21" s="179"/>
      <c r="P21" s="179"/>
      <c r="Q21" s="179"/>
      <c r="R21" s="179"/>
      <c r="S21" s="179"/>
      <c r="T21" s="179"/>
      <c r="U21" s="683"/>
      <c r="V21" s="682"/>
      <c r="W21" s="684"/>
      <c r="X21" s="685"/>
      <c r="Y21" s="686"/>
      <c r="Z21" s="687"/>
      <c r="AA21" s="687"/>
      <c r="AB21" s="687"/>
      <c r="AC21" s="688"/>
      <c r="AD21" s="689"/>
      <c r="AE21" s="690"/>
      <c r="AF21" s="689"/>
      <c r="AG21" s="690"/>
      <c r="AH21" t="s">
        <v>693</v>
      </c>
      <c r="AI21" s="179"/>
      <c r="AJ21" s="179"/>
      <c r="AK21" s="179"/>
      <c r="AL21" s="179"/>
      <c r="AM21" s="179"/>
      <c r="AN21" s="179"/>
      <c r="AO21" s="179"/>
      <c r="AP21" s="179"/>
      <c r="AQ21" s="179"/>
      <c r="AR21" s="179"/>
      <c r="AS21" s="179"/>
      <c r="AT21" s="179"/>
      <c r="AU21" s="179"/>
      <c r="AV21" s="179"/>
      <c r="AW21" s="179"/>
      <c r="AX21" s="179"/>
      <c r="AY21" s="179"/>
      <c r="AZ21" s="179"/>
      <c r="BA21" s="180"/>
      <c r="BB21" s="179"/>
      <c r="BC21" s="179"/>
      <c r="BD21" s="179"/>
      <c r="BE21" s="179"/>
      <c r="BF21" s="179"/>
      <c r="BG21" s="43"/>
      <c r="BK21" s="51"/>
      <c r="BL21" s="51"/>
    </row>
    <row r="22" spans="1:65">
      <c r="A22" s="681">
        <v>15</v>
      </c>
      <c r="B22" s="682"/>
      <c r="C22" s="59"/>
      <c r="D22" s="179"/>
      <c r="E22" s="179"/>
      <c r="F22" s="179"/>
      <c r="G22" s="179"/>
      <c r="H22" s="179"/>
      <c r="I22" s="179"/>
      <c r="J22" s="179"/>
      <c r="K22" s="180"/>
      <c r="L22" s="36"/>
      <c r="M22" s="179"/>
      <c r="N22" s="179"/>
      <c r="O22" s="179"/>
      <c r="P22" s="179"/>
      <c r="Q22" s="179"/>
      <c r="R22" s="179"/>
      <c r="S22" s="179"/>
      <c r="T22" s="179"/>
      <c r="U22" s="683"/>
      <c r="V22" s="682"/>
      <c r="W22" s="684"/>
      <c r="X22" s="685"/>
      <c r="Y22" s="686"/>
      <c r="Z22" s="687"/>
      <c r="AA22" s="687"/>
      <c r="AB22" s="687"/>
      <c r="AC22" s="688"/>
      <c r="AD22" s="689"/>
      <c r="AE22" s="690"/>
      <c r="AF22" s="689"/>
      <c r="AG22" s="690"/>
      <c r="AH22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80"/>
      <c r="BB22" s="179"/>
      <c r="BC22" s="179"/>
      <c r="BD22" s="179"/>
      <c r="BE22" s="179"/>
      <c r="BF22" s="179"/>
      <c r="BG22" s="43"/>
      <c r="BK22" s="51"/>
      <c r="BL22" s="51"/>
    </row>
    <row r="23" spans="1:65">
      <c r="A23" s="681">
        <v>16</v>
      </c>
      <c r="B23" s="682"/>
      <c r="C23" s="59" t="s">
        <v>694</v>
      </c>
      <c r="D23" s="179"/>
      <c r="E23" s="179"/>
      <c r="F23" s="179"/>
      <c r="G23" s="179"/>
      <c r="H23" s="179"/>
      <c r="I23" s="179"/>
      <c r="J23" s="179"/>
      <c r="K23" s="180"/>
      <c r="L23" s="36"/>
      <c r="M23" s="179"/>
      <c r="N23" s="179"/>
      <c r="O23" s="179"/>
      <c r="P23" s="179"/>
      <c r="Q23" s="179"/>
      <c r="R23" s="179"/>
      <c r="S23" s="179"/>
      <c r="T23" s="179"/>
      <c r="U23" s="683"/>
      <c r="V23" s="682"/>
      <c r="W23" s="684"/>
      <c r="X23" s="685"/>
      <c r="Y23" s="686"/>
      <c r="Z23" s="687"/>
      <c r="AA23" s="687"/>
      <c r="AB23" s="687"/>
      <c r="AC23" s="688"/>
      <c r="AD23" s="689"/>
      <c r="AE23" s="690"/>
      <c r="AF23" s="689"/>
      <c r="AG23" s="690"/>
      <c r="AH23" t="s">
        <v>695</v>
      </c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179"/>
      <c r="AW23" s="179"/>
      <c r="AX23" s="179"/>
      <c r="AY23" s="179"/>
      <c r="AZ23" s="179"/>
      <c r="BA23" s="180"/>
      <c r="BB23" s="179"/>
      <c r="BC23" s="179"/>
      <c r="BD23" s="179"/>
      <c r="BE23" s="179"/>
      <c r="BF23" s="179"/>
      <c r="BG23" s="43"/>
      <c r="BK23" s="51"/>
      <c r="BL23" s="51"/>
    </row>
    <row r="24" spans="1:65">
      <c r="A24" s="681">
        <v>17</v>
      </c>
      <c r="B24" s="682"/>
      <c r="C24" s="59"/>
      <c r="D24" s="179"/>
      <c r="E24" s="179"/>
      <c r="F24" s="179"/>
      <c r="G24" s="179"/>
      <c r="H24" s="179"/>
      <c r="I24" s="179"/>
      <c r="J24" s="179"/>
      <c r="K24" s="180"/>
      <c r="L24" s="36"/>
      <c r="M24" s="179"/>
      <c r="N24" s="179"/>
      <c r="O24" s="179"/>
      <c r="P24" s="179"/>
      <c r="Q24" s="179"/>
      <c r="R24" s="179"/>
      <c r="S24" s="179"/>
      <c r="T24" s="179"/>
      <c r="U24" s="683"/>
      <c r="V24" s="682"/>
      <c r="W24" s="684"/>
      <c r="X24" s="685"/>
      <c r="Y24" s="686"/>
      <c r="Z24" s="687"/>
      <c r="AA24" s="687"/>
      <c r="AB24" s="687"/>
      <c r="AC24" s="688"/>
      <c r="AD24" s="689"/>
      <c r="AE24" s="690"/>
      <c r="AF24" s="689"/>
      <c r="AG24" s="690"/>
      <c r="AH24" t="s">
        <v>696</v>
      </c>
      <c r="AI24" s="179"/>
      <c r="AJ24" s="179"/>
      <c r="AK24" s="179"/>
      <c r="AL24" s="179"/>
      <c r="AM24" s="179"/>
      <c r="AN24" s="179"/>
      <c r="AO24" s="179"/>
      <c r="AP24" s="179"/>
      <c r="AQ24" s="179"/>
      <c r="AR24" s="179"/>
      <c r="AS24" s="179"/>
      <c r="AT24" s="179"/>
      <c r="AU24" s="179"/>
      <c r="AV24" s="179"/>
      <c r="AW24" s="179"/>
      <c r="AX24" s="179"/>
      <c r="AY24" s="179"/>
      <c r="AZ24" s="179"/>
      <c r="BA24" s="180"/>
      <c r="BB24" s="179"/>
      <c r="BC24" s="179"/>
      <c r="BD24" s="179"/>
      <c r="BE24" s="179"/>
      <c r="BF24" s="179"/>
      <c r="BG24" s="43"/>
      <c r="BK24" s="51"/>
      <c r="BL24" s="51"/>
    </row>
    <row r="25" spans="1:65">
      <c r="A25" s="681">
        <v>18</v>
      </c>
      <c r="B25" s="682"/>
      <c r="C25" s="59"/>
      <c r="D25" s="179"/>
      <c r="E25" s="179"/>
      <c r="F25" s="179"/>
      <c r="G25" s="179"/>
      <c r="H25" s="179"/>
      <c r="I25" s="179"/>
      <c r="J25" s="179"/>
      <c r="K25" s="180"/>
      <c r="L25" s="36"/>
      <c r="M25" s="179"/>
      <c r="N25" s="179"/>
      <c r="O25" s="179"/>
      <c r="P25" s="179"/>
      <c r="Q25" s="179"/>
      <c r="R25" s="179"/>
      <c r="S25" s="179"/>
      <c r="T25" s="179"/>
      <c r="U25" s="683"/>
      <c r="V25" s="682"/>
      <c r="W25" s="684"/>
      <c r="X25" s="685"/>
      <c r="Y25" s="686"/>
      <c r="Z25" s="687"/>
      <c r="AA25" s="687"/>
      <c r="AB25" s="687"/>
      <c r="AC25" s="688"/>
      <c r="AD25" s="689"/>
      <c r="AE25" s="690"/>
      <c r="AF25" s="689"/>
      <c r="AG25" s="690"/>
      <c r="AH25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80"/>
      <c r="BB25" s="179"/>
      <c r="BC25" s="179"/>
      <c r="BD25" s="179"/>
      <c r="BE25" s="179"/>
      <c r="BF25" s="179"/>
      <c r="BG25" s="43"/>
      <c r="BK25" s="51"/>
      <c r="BL25" s="51"/>
    </row>
    <row r="26" spans="1:65">
      <c r="A26" s="681">
        <v>19</v>
      </c>
      <c r="B26" s="682"/>
      <c r="C26" s="59" t="s">
        <v>697</v>
      </c>
      <c r="D26" s="179"/>
      <c r="E26" s="179"/>
      <c r="F26" s="179"/>
      <c r="G26" s="179"/>
      <c r="H26" s="179"/>
      <c r="I26" s="179"/>
      <c r="J26" s="179"/>
      <c r="K26" s="180"/>
      <c r="L26" s="36"/>
      <c r="M26" s="179"/>
      <c r="N26" s="179"/>
      <c r="O26" s="179"/>
      <c r="P26" s="179"/>
      <c r="Q26" s="179"/>
      <c r="R26" s="179"/>
      <c r="S26" s="179"/>
      <c r="T26" s="179"/>
      <c r="U26" s="683"/>
      <c r="V26" s="682"/>
      <c r="W26" s="684"/>
      <c r="X26" s="685"/>
      <c r="Y26" s="686"/>
      <c r="Z26" s="687"/>
      <c r="AA26" s="687"/>
      <c r="AB26" s="687"/>
      <c r="AC26" s="688"/>
      <c r="AD26" s="689"/>
      <c r="AE26" s="690"/>
      <c r="AF26" s="689"/>
      <c r="AG26" s="690"/>
      <c r="AH26" t="s">
        <v>700</v>
      </c>
      <c r="AI26" s="179"/>
      <c r="AJ26" s="179"/>
      <c r="AK26" s="179"/>
      <c r="AL26" s="179"/>
      <c r="AM26" s="179"/>
      <c r="AN26" s="179"/>
      <c r="AO26" s="179"/>
      <c r="AP26" s="179"/>
      <c r="AQ26" s="179"/>
      <c r="AR26" s="179"/>
      <c r="AS26" s="179"/>
      <c r="AT26" s="179"/>
      <c r="AU26" s="179"/>
      <c r="AV26" s="179"/>
      <c r="AW26" s="179"/>
      <c r="AX26" s="179"/>
      <c r="AY26" s="179"/>
      <c r="AZ26" s="179"/>
      <c r="BA26" s="180"/>
      <c r="BB26" s="179"/>
      <c r="BC26" s="179"/>
      <c r="BD26" s="179"/>
      <c r="BE26" s="179"/>
      <c r="BF26" s="179"/>
      <c r="BG26" s="43"/>
      <c r="BK26" s="51"/>
      <c r="BL26" s="51"/>
    </row>
    <row r="27" spans="1:65">
      <c r="A27" s="681">
        <v>20</v>
      </c>
      <c r="B27" s="682"/>
      <c r="C27" s="59" t="s">
        <v>701</v>
      </c>
      <c r="D27" s="179"/>
      <c r="E27" s="179"/>
      <c r="F27" s="179"/>
      <c r="G27" s="179"/>
      <c r="H27" s="179"/>
      <c r="I27" s="179"/>
      <c r="J27" s="179"/>
      <c r="K27" s="180"/>
      <c r="L27" s="36"/>
      <c r="M27" s="179"/>
      <c r="N27" s="179"/>
      <c r="O27" s="179"/>
      <c r="P27" s="179"/>
      <c r="Q27" s="179"/>
      <c r="R27" s="179"/>
      <c r="S27" s="179"/>
      <c r="T27" s="179"/>
      <c r="U27" s="683"/>
      <c r="V27" s="682"/>
      <c r="W27" s="684"/>
      <c r="X27" s="685"/>
      <c r="Y27" s="686"/>
      <c r="Z27" s="687"/>
      <c r="AA27" s="687"/>
      <c r="AB27" s="687"/>
      <c r="AC27" s="688"/>
      <c r="AD27" s="689"/>
      <c r="AE27" s="690"/>
      <c r="AF27" s="689"/>
      <c r="AG27" s="690"/>
      <c r="AH27" s="203" t="s">
        <v>702</v>
      </c>
      <c r="AI27" s="179"/>
      <c r="AJ27" s="179"/>
      <c r="AK27" s="179"/>
      <c r="AL27" s="179"/>
      <c r="AM27" s="179"/>
      <c r="AN27" s="179"/>
      <c r="AO27" s="179"/>
      <c r="AP27" s="179"/>
      <c r="AQ27" s="179"/>
      <c r="AR27" s="179"/>
      <c r="AS27" s="179"/>
      <c r="AT27" s="179"/>
      <c r="AU27" s="179"/>
      <c r="AV27" s="179"/>
      <c r="AW27" s="179"/>
      <c r="AX27" s="179"/>
      <c r="AY27" s="179"/>
      <c r="AZ27" s="179"/>
      <c r="BA27" s="180"/>
      <c r="BB27" s="179"/>
      <c r="BC27" s="179"/>
      <c r="BD27" s="179"/>
      <c r="BE27" s="179"/>
      <c r="BF27" s="179"/>
      <c r="BG27" s="43"/>
      <c r="BK27" s="51"/>
      <c r="BL27" s="51"/>
    </row>
    <row r="28" spans="1:65">
      <c r="A28" s="681">
        <v>21</v>
      </c>
      <c r="B28" s="682"/>
      <c r="C28" s="247" t="s">
        <v>689</v>
      </c>
      <c r="D28" s="248"/>
      <c r="E28" s="248"/>
      <c r="F28" s="248"/>
      <c r="G28" s="248"/>
      <c r="H28" s="248"/>
      <c r="I28" s="248"/>
      <c r="J28" s="248"/>
      <c r="K28" s="249"/>
      <c r="L28" s="1"/>
      <c r="M28" s="179"/>
      <c r="N28" s="179"/>
      <c r="O28" s="179"/>
      <c r="P28" s="179"/>
      <c r="Q28" s="179"/>
      <c r="R28" s="179"/>
      <c r="S28" s="179"/>
      <c r="T28" s="179"/>
      <c r="U28" s="683"/>
      <c r="V28" s="682"/>
      <c r="W28" s="684"/>
      <c r="X28" s="685"/>
      <c r="Y28" s="686"/>
      <c r="Z28" s="687"/>
      <c r="AA28" s="687"/>
      <c r="AB28" s="687"/>
      <c r="AC28" s="688"/>
      <c r="AD28" s="689"/>
      <c r="AE28" s="690"/>
      <c r="AF28" s="689"/>
      <c r="AG28" s="690"/>
      <c r="AH28" t="s">
        <v>745</v>
      </c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80"/>
      <c r="BB28" s="179"/>
      <c r="BC28" s="179"/>
      <c r="BD28" s="179"/>
      <c r="BE28" s="179"/>
      <c r="BF28" s="179"/>
      <c r="BG28" s="43"/>
      <c r="BK28" s="245"/>
      <c r="BL28" s="245"/>
      <c r="BM28" s="246"/>
    </row>
    <row r="29" spans="1:65">
      <c r="A29" s="681">
        <v>22</v>
      </c>
      <c r="B29" s="682"/>
      <c r="C29" s="59" t="s">
        <v>703</v>
      </c>
      <c r="D29" s="179"/>
      <c r="E29" s="179"/>
      <c r="F29" s="179"/>
      <c r="G29" s="179"/>
      <c r="H29" s="179"/>
      <c r="I29" s="179"/>
      <c r="J29" s="179"/>
      <c r="K29" s="180"/>
      <c r="L29" s="36"/>
      <c r="M29" s="179"/>
      <c r="N29" s="179"/>
      <c r="O29" s="179"/>
      <c r="P29" s="179"/>
      <c r="Q29" s="179"/>
      <c r="R29" s="179"/>
      <c r="S29" s="179"/>
      <c r="T29" s="179"/>
      <c r="U29" s="683"/>
      <c r="V29" s="682"/>
      <c r="W29" s="684"/>
      <c r="X29" s="685"/>
      <c r="Y29" s="686"/>
      <c r="Z29" s="687"/>
      <c r="AA29" s="687"/>
      <c r="AB29" s="687"/>
      <c r="AC29" s="688"/>
      <c r="AD29" s="689"/>
      <c r="AE29" s="690"/>
      <c r="AF29" s="689"/>
      <c r="AG29" s="690"/>
      <c r="AH29" t="s">
        <v>704</v>
      </c>
      <c r="AI29" s="179"/>
      <c r="AJ29" s="179"/>
      <c r="AK29" s="179"/>
      <c r="AL29" s="179"/>
      <c r="AM29" s="179"/>
      <c r="AN29" s="179"/>
      <c r="AO29" s="179"/>
      <c r="AP29" s="179"/>
      <c r="AQ29" s="179"/>
      <c r="AR29" s="179"/>
      <c r="AS29" s="179"/>
      <c r="AT29" s="179"/>
      <c r="AU29" s="179"/>
      <c r="AV29" s="179"/>
      <c r="AW29" s="179"/>
      <c r="AX29" s="179"/>
      <c r="AY29" s="179"/>
      <c r="AZ29" s="179"/>
      <c r="BA29" s="180"/>
      <c r="BB29" s="179"/>
      <c r="BC29" s="179"/>
      <c r="BD29" s="179"/>
      <c r="BE29" s="179"/>
      <c r="BF29" s="179"/>
      <c r="BG29" s="43"/>
      <c r="BK29" s="51"/>
      <c r="BL29" s="51"/>
    </row>
    <row r="30" spans="1:65">
      <c r="A30" s="681">
        <v>23</v>
      </c>
      <c r="B30" s="682"/>
      <c r="C30" s="59" t="s">
        <v>706</v>
      </c>
      <c r="D30" s="179"/>
      <c r="E30" s="179"/>
      <c r="F30" s="179"/>
      <c r="G30" s="179"/>
      <c r="H30" s="179"/>
      <c r="I30" s="179"/>
      <c r="J30" s="179"/>
      <c r="K30" s="180"/>
      <c r="L30" s="36"/>
      <c r="M30" s="179"/>
      <c r="N30" s="179"/>
      <c r="O30" s="179"/>
      <c r="P30" s="179"/>
      <c r="Q30" s="179"/>
      <c r="R30" s="179"/>
      <c r="S30" s="179"/>
      <c r="T30" s="179"/>
      <c r="U30" s="683"/>
      <c r="V30" s="682"/>
      <c r="W30" s="684"/>
      <c r="X30" s="685"/>
      <c r="Y30" s="686"/>
      <c r="Z30" s="687"/>
      <c r="AA30" s="687"/>
      <c r="AB30" s="687"/>
      <c r="AC30" s="688"/>
      <c r="AD30" s="689"/>
      <c r="AE30" s="690"/>
      <c r="AF30" s="689"/>
      <c r="AG30" s="690"/>
      <c r="AH30" t="s">
        <v>705</v>
      </c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80"/>
      <c r="BB30" s="179"/>
      <c r="BC30" s="179"/>
      <c r="BD30" s="179"/>
      <c r="BE30" s="179"/>
      <c r="BF30" s="179"/>
      <c r="BG30" s="43"/>
      <c r="BK30" s="51"/>
      <c r="BL30" s="51"/>
    </row>
    <row r="31" spans="1:65">
      <c r="A31" s="681">
        <v>24</v>
      </c>
      <c r="B31" s="682"/>
      <c r="C31" s="59"/>
      <c r="D31" s="179"/>
      <c r="E31" s="179"/>
      <c r="F31" s="179"/>
      <c r="G31" s="179"/>
      <c r="H31" s="179"/>
      <c r="I31" s="179"/>
      <c r="J31" s="179"/>
      <c r="K31" s="180"/>
      <c r="L31" s="36"/>
      <c r="M31" s="179"/>
      <c r="N31" s="179"/>
      <c r="O31" s="179"/>
      <c r="P31" s="179"/>
      <c r="Q31" s="179"/>
      <c r="R31" s="179"/>
      <c r="S31" s="179"/>
      <c r="T31" s="179"/>
      <c r="U31" s="683"/>
      <c r="V31" s="682"/>
      <c r="W31" s="684"/>
      <c r="X31" s="685"/>
      <c r="Y31" s="686"/>
      <c r="Z31" s="687"/>
      <c r="AA31" s="687"/>
      <c r="AB31" s="687"/>
      <c r="AC31" s="688"/>
      <c r="AD31" s="689"/>
      <c r="AE31" s="690"/>
      <c r="AF31" s="689"/>
      <c r="AG31" s="690"/>
      <c r="AH31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80"/>
      <c r="BB31" s="179"/>
      <c r="BC31" s="179"/>
      <c r="BD31" s="179"/>
      <c r="BE31" s="179"/>
      <c r="BF31" s="179"/>
      <c r="BG31" s="43"/>
      <c r="BK31" s="51"/>
      <c r="BL31" s="51"/>
    </row>
    <row r="32" spans="1:65">
      <c r="A32" s="681">
        <v>25</v>
      </c>
      <c r="B32" s="682"/>
      <c r="C32" s="59"/>
      <c r="D32" s="179"/>
      <c r="E32" s="179"/>
      <c r="F32" s="179"/>
      <c r="G32" s="179"/>
      <c r="H32" s="179"/>
      <c r="I32" s="179"/>
      <c r="J32" s="179"/>
      <c r="K32" s="180"/>
      <c r="L32" s="36"/>
      <c r="M32" s="179"/>
      <c r="N32" s="179"/>
      <c r="O32" s="179"/>
      <c r="P32" s="179"/>
      <c r="Q32" s="179"/>
      <c r="R32" s="179"/>
      <c r="S32" s="179"/>
      <c r="T32" s="179"/>
      <c r="U32" s="683"/>
      <c r="V32" s="682"/>
      <c r="W32" s="684"/>
      <c r="X32" s="685"/>
      <c r="Y32" s="686"/>
      <c r="Z32" s="687"/>
      <c r="AA32" s="687"/>
      <c r="AB32" s="687"/>
      <c r="AC32" s="688"/>
      <c r="AD32" s="689"/>
      <c r="AE32" s="690"/>
      <c r="AF32" s="689"/>
      <c r="AG32" s="690"/>
      <c r="AH32" s="178"/>
      <c r="AI32" s="179"/>
      <c r="AJ32" s="179"/>
      <c r="AK32" s="179"/>
      <c r="AL32" s="179"/>
      <c r="AM32" s="179"/>
      <c r="AN32" s="179"/>
      <c r="AO32" s="179"/>
      <c r="AP32" s="179"/>
      <c r="AQ32" s="179"/>
      <c r="AR32" s="179"/>
      <c r="AS32" s="179"/>
      <c r="AT32" s="179"/>
      <c r="AU32" s="179"/>
      <c r="AV32" s="179"/>
      <c r="AW32" s="179"/>
      <c r="AX32" s="179"/>
      <c r="AY32" s="179"/>
      <c r="AZ32" s="179"/>
      <c r="BA32" s="180"/>
      <c r="BB32" s="179"/>
      <c r="BC32" s="179"/>
      <c r="BD32" s="179"/>
      <c r="BE32" s="179"/>
      <c r="BF32" s="179"/>
      <c r="BG32" s="43"/>
      <c r="BK32" s="51"/>
      <c r="BL32" s="51"/>
    </row>
    <row r="33" spans="1:64">
      <c r="A33" s="681">
        <v>26</v>
      </c>
      <c r="B33" s="682"/>
      <c r="C33" s="59" t="s">
        <v>747</v>
      </c>
      <c r="D33" s="179"/>
      <c r="E33" s="179"/>
      <c r="F33" s="179"/>
      <c r="G33" s="179"/>
      <c r="H33" s="179"/>
      <c r="I33" s="179"/>
      <c r="J33" s="179"/>
      <c r="K33" s="180"/>
      <c r="L33" s="1"/>
      <c r="M33" s="179"/>
      <c r="N33" s="179"/>
      <c r="O33" s="179"/>
      <c r="P33" s="179"/>
      <c r="Q33" s="179"/>
      <c r="R33" s="179"/>
      <c r="S33" s="179"/>
      <c r="T33" s="179"/>
      <c r="U33" s="683"/>
      <c r="V33" s="682"/>
      <c r="W33" s="684"/>
      <c r="X33" s="685"/>
      <c r="Y33" s="686"/>
      <c r="Z33" s="687"/>
      <c r="AA33" s="687"/>
      <c r="AB33" s="687"/>
      <c r="AC33" s="688"/>
      <c r="AD33" s="689"/>
      <c r="AE33" s="690"/>
      <c r="AF33" s="689"/>
      <c r="AG33" s="690"/>
      <c r="AH33" s="222" t="s">
        <v>730</v>
      </c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179"/>
      <c r="AT33" s="179"/>
      <c r="AU33" s="179"/>
      <c r="AV33" s="179"/>
      <c r="AW33" s="179"/>
      <c r="AX33" s="179"/>
      <c r="AY33" s="179"/>
      <c r="AZ33" s="179"/>
      <c r="BA33" s="180"/>
      <c r="BB33" s="179"/>
      <c r="BC33" s="179"/>
      <c r="BD33" s="179"/>
      <c r="BE33" s="179"/>
      <c r="BF33" s="179"/>
      <c r="BG33" s="43"/>
      <c r="BK33" s="51"/>
      <c r="BL33" s="51"/>
    </row>
    <row r="34" spans="1:64">
      <c r="A34" s="681">
        <v>27</v>
      </c>
      <c r="B34" s="682"/>
      <c r="C34" s="59" t="s">
        <v>732</v>
      </c>
      <c r="D34" s="179"/>
      <c r="E34" s="179"/>
      <c r="F34" s="179"/>
      <c r="G34" s="179"/>
      <c r="H34" s="179"/>
      <c r="I34" s="179"/>
      <c r="J34" s="179"/>
      <c r="K34" s="180"/>
      <c r="L34" s="36"/>
      <c r="M34" s="179"/>
      <c r="N34" s="179"/>
      <c r="O34" s="179"/>
      <c r="P34" s="179"/>
      <c r="Q34" s="179"/>
      <c r="R34" s="179"/>
      <c r="S34" s="179"/>
      <c r="T34" s="179"/>
      <c r="U34" s="683"/>
      <c r="V34" s="682"/>
      <c r="W34" s="684"/>
      <c r="X34" s="685"/>
      <c r="Y34" s="686"/>
      <c r="Z34" s="687"/>
      <c r="AA34" s="687"/>
      <c r="AB34" s="687"/>
      <c r="AC34" s="688"/>
      <c r="AD34" s="689"/>
      <c r="AE34" s="690"/>
      <c r="AF34" s="689"/>
      <c r="AG34" s="690"/>
      <c r="AH34" s="222" t="s">
        <v>731</v>
      </c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80"/>
      <c r="BB34" s="179"/>
      <c r="BC34" s="179"/>
      <c r="BD34" s="179"/>
      <c r="BE34" s="179"/>
      <c r="BF34" s="179"/>
      <c r="BG34" s="43"/>
      <c r="BK34" s="51"/>
      <c r="BL34" s="51"/>
    </row>
    <row r="35" spans="1:64">
      <c r="A35" s="681">
        <v>28</v>
      </c>
      <c r="B35" s="682"/>
      <c r="C35" s="59" t="s">
        <v>733</v>
      </c>
      <c r="D35" s="179"/>
      <c r="E35" s="179"/>
      <c r="F35" s="179"/>
      <c r="G35" s="179"/>
      <c r="H35" s="179"/>
      <c r="I35" s="179"/>
      <c r="J35" s="179"/>
      <c r="K35" s="180"/>
      <c r="L35" s="36"/>
      <c r="M35" s="179"/>
      <c r="N35" s="179"/>
      <c r="O35" s="179"/>
      <c r="P35" s="179"/>
      <c r="Q35" s="179"/>
      <c r="R35" s="179"/>
      <c r="S35" s="179"/>
      <c r="T35" s="179"/>
      <c r="U35" s="683"/>
      <c r="V35" s="682"/>
      <c r="W35" s="684"/>
      <c r="X35" s="685"/>
      <c r="Y35" s="686"/>
      <c r="Z35" s="687"/>
      <c r="AA35" s="687"/>
      <c r="AB35" s="687"/>
      <c r="AC35" s="688"/>
      <c r="AD35" s="689"/>
      <c r="AE35" s="690"/>
      <c r="AF35" s="689"/>
      <c r="AG35" s="690"/>
      <c r="AH35" s="222" t="s">
        <v>734</v>
      </c>
      <c r="AI35" s="179"/>
      <c r="AJ35" s="179"/>
      <c r="AK35" s="179"/>
      <c r="AL35" s="179"/>
      <c r="AM35" s="179"/>
      <c r="AN35" s="179"/>
      <c r="AO35" s="179"/>
      <c r="AP35" s="179"/>
      <c r="AQ35" s="179"/>
      <c r="AR35" s="179"/>
      <c r="AS35" s="179"/>
      <c r="AT35" s="179"/>
      <c r="AU35" s="179"/>
      <c r="AV35" s="179"/>
      <c r="AW35" s="179"/>
      <c r="AX35" s="179"/>
      <c r="AY35" s="179"/>
      <c r="AZ35" s="179"/>
      <c r="BA35" s="180"/>
      <c r="BB35" s="179"/>
      <c r="BC35" s="179"/>
      <c r="BD35" s="179"/>
      <c r="BE35" s="179"/>
      <c r="BF35" s="179"/>
      <c r="BG35" s="43"/>
      <c r="BK35" s="51"/>
      <c r="BL35" s="51"/>
    </row>
    <row r="36" spans="1:64">
      <c r="A36" s="681">
        <v>29</v>
      </c>
      <c r="B36" s="682"/>
      <c r="C36" s="59"/>
      <c r="D36" s="179"/>
      <c r="E36" s="179"/>
      <c r="F36" s="179"/>
      <c r="G36" s="179"/>
      <c r="H36" s="179"/>
      <c r="I36" s="179"/>
      <c r="J36" s="179"/>
      <c r="K36" s="180"/>
      <c r="L36" s="36"/>
      <c r="M36" s="179"/>
      <c r="N36" s="179"/>
      <c r="O36" s="179"/>
      <c r="P36" s="179"/>
      <c r="Q36" s="179"/>
      <c r="R36" s="179"/>
      <c r="S36" s="179"/>
      <c r="T36" s="179"/>
      <c r="U36" s="683"/>
      <c r="V36" s="682"/>
      <c r="W36" s="684"/>
      <c r="X36" s="685"/>
      <c r="Y36" s="686"/>
      <c r="Z36" s="687"/>
      <c r="AA36" s="687"/>
      <c r="AB36" s="687"/>
      <c r="AC36" s="688"/>
      <c r="AD36" s="689"/>
      <c r="AE36" s="690"/>
      <c r="AF36" s="689"/>
      <c r="AG36" s="690"/>
      <c r="AH36" s="270" t="s">
        <v>748</v>
      </c>
      <c r="AI36" s="248"/>
      <c r="AJ36" s="248"/>
      <c r="AK36" s="248"/>
      <c r="AL36" s="248"/>
      <c r="AM36" s="248"/>
      <c r="AN36" s="248"/>
      <c r="AO36" s="248"/>
      <c r="AP36" s="248"/>
      <c r="AQ36" s="248"/>
      <c r="AR36" s="248"/>
      <c r="AS36" s="248"/>
      <c r="AT36" s="248"/>
      <c r="AU36" s="179"/>
      <c r="AV36" s="179"/>
      <c r="AW36" s="179"/>
      <c r="AX36" s="179"/>
      <c r="AY36" s="179"/>
      <c r="AZ36" s="179"/>
      <c r="BA36" s="180"/>
      <c r="BB36" s="179"/>
      <c r="BC36" s="179"/>
      <c r="BD36" s="179"/>
      <c r="BE36" s="179"/>
      <c r="BF36" s="179"/>
      <c r="BG36" s="43"/>
      <c r="BK36" s="51"/>
      <c r="BL36" s="51"/>
    </row>
    <row r="37" spans="1:64">
      <c r="A37" s="681">
        <v>30</v>
      </c>
      <c r="B37" s="682"/>
      <c r="C37" s="59"/>
      <c r="D37" s="179"/>
      <c r="E37" s="179"/>
      <c r="F37" s="179"/>
      <c r="G37" s="179"/>
      <c r="H37" s="179"/>
      <c r="I37" s="179"/>
      <c r="J37" s="179"/>
      <c r="K37" s="180"/>
      <c r="L37" s="36"/>
      <c r="M37" s="179"/>
      <c r="N37" s="179"/>
      <c r="O37" s="179"/>
      <c r="P37" s="179"/>
      <c r="Q37" s="179"/>
      <c r="R37" s="179"/>
      <c r="S37" s="179"/>
      <c r="T37" s="179"/>
      <c r="U37" s="683"/>
      <c r="V37" s="682"/>
      <c r="W37" s="684"/>
      <c r="X37" s="685"/>
      <c r="Y37" s="686"/>
      <c r="Z37" s="687"/>
      <c r="AA37" s="687"/>
      <c r="AB37" s="687"/>
      <c r="AC37" s="688"/>
      <c r="AD37" s="689"/>
      <c r="AE37" s="690"/>
      <c r="AF37" s="689"/>
      <c r="AG37" s="690"/>
      <c r="AH37" s="178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80"/>
      <c r="BB37" s="179"/>
      <c r="BC37" s="179"/>
      <c r="BD37" s="179"/>
      <c r="BE37" s="179"/>
      <c r="BF37" s="179"/>
      <c r="BG37" s="43"/>
      <c r="BK37" s="51"/>
      <c r="BL37" s="51"/>
    </row>
    <row r="38" spans="1:64">
      <c r="A38" s="681">
        <v>31</v>
      </c>
      <c r="B38" s="682"/>
      <c r="C38" s="59" t="s">
        <v>744</v>
      </c>
      <c r="D38" s="233"/>
      <c r="E38" s="233"/>
      <c r="F38" s="233"/>
      <c r="G38" s="233"/>
      <c r="H38" s="233"/>
      <c r="I38" s="233"/>
      <c r="J38" s="233"/>
      <c r="K38" s="234"/>
      <c r="L38" s="36"/>
      <c r="M38" s="233"/>
      <c r="N38" s="233"/>
      <c r="O38" s="233"/>
      <c r="P38" s="233"/>
      <c r="Q38" s="233"/>
      <c r="R38" s="233"/>
      <c r="S38" s="233"/>
      <c r="T38" s="233"/>
      <c r="U38" s="683"/>
      <c r="V38" s="682"/>
      <c r="W38" s="684"/>
      <c r="X38" s="685"/>
      <c r="Y38" s="686"/>
      <c r="Z38" s="687"/>
      <c r="AA38" s="687"/>
      <c r="AB38" s="687"/>
      <c r="AC38" s="688"/>
      <c r="AD38" s="689"/>
      <c r="AE38" s="690"/>
      <c r="AF38" s="689"/>
      <c r="AG38" s="690"/>
      <c r="AH38" s="235" t="s">
        <v>304</v>
      </c>
      <c r="AI38" s="233"/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4"/>
      <c r="BB38" s="233"/>
      <c r="BC38" s="233"/>
      <c r="BD38" s="233"/>
      <c r="BE38" s="233"/>
      <c r="BF38" s="233"/>
      <c r="BG38" s="43"/>
      <c r="BK38" s="51"/>
      <c r="BL38" s="51"/>
    </row>
    <row r="39" spans="1:64">
      <c r="A39" s="681">
        <v>32</v>
      </c>
      <c r="B39" s="682"/>
      <c r="C39" s="59" t="s">
        <v>736</v>
      </c>
      <c r="D39" s="179"/>
      <c r="E39" s="179"/>
      <c r="F39" s="179"/>
      <c r="G39" s="179"/>
      <c r="H39" s="179"/>
      <c r="I39" s="179"/>
      <c r="J39" s="179"/>
      <c r="K39" s="180"/>
      <c r="L39" s="36"/>
      <c r="M39" s="179"/>
      <c r="N39" s="179"/>
      <c r="O39" s="179"/>
      <c r="P39" s="179"/>
      <c r="Q39" s="179"/>
      <c r="R39" s="179"/>
      <c r="S39" s="179"/>
      <c r="T39" s="179"/>
      <c r="U39" s="683"/>
      <c r="V39" s="682"/>
      <c r="W39" s="684"/>
      <c r="X39" s="685"/>
      <c r="Y39" s="686"/>
      <c r="Z39" s="687"/>
      <c r="AA39" s="687"/>
      <c r="AB39" s="687"/>
      <c r="AC39" s="688"/>
      <c r="AD39" s="689"/>
      <c r="AE39" s="690"/>
      <c r="AF39" s="689"/>
      <c r="AG39" s="690"/>
      <c r="AH39" s="222" t="s">
        <v>735</v>
      </c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80"/>
      <c r="BB39" s="179"/>
      <c r="BC39" s="179"/>
      <c r="BD39" s="179"/>
      <c r="BE39" s="179"/>
      <c r="BF39" s="179"/>
      <c r="BG39" s="43"/>
      <c r="BK39" s="51"/>
      <c r="BL39" s="51"/>
    </row>
    <row r="40" spans="1:64">
      <c r="A40" s="681">
        <v>33</v>
      </c>
      <c r="B40" s="682"/>
      <c r="C40" s="59" t="s">
        <v>738</v>
      </c>
      <c r="D40" s="236"/>
      <c r="E40" s="236"/>
      <c r="F40" s="236"/>
      <c r="G40" s="236"/>
      <c r="H40" s="236"/>
      <c r="I40" s="236"/>
      <c r="J40" s="236"/>
      <c r="K40" s="237"/>
      <c r="L40" s="1"/>
      <c r="M40" s="173"/>
      <c r="N40" s="173"/>
      <c r="O40" s="173"/>
      <c r="P40" s="173"/>
      <c r="Q40" s="173"/>
      <c r="R40" s="173"/>
      <c r="S40" s="173"/>
      <c r="T40" s="173"/>
      <c r="U40" s="692"/>
      <c r="V40" s="693"/>
      <c r="W40" s="694"/>
      <c r="X40" s="695"/>
      <c r="Y40" s="696"/>
      <c r="Z40" s="697"/>
      <c r="AA40" s="697"/>
      <c r="AB40" s="697"/>
      <c r="AC40" s="698"/>
      <c r="AD40" s="689"/>
      <c r="AE40" s="690"/>
      <c r="AF40" s="689"/>
      <c r="AG40" s="690"/>
      <c r="AH40" s="235" t="s">
        <v>742</v>
      </c>
      <c r="AI40" s="228"/>
      <c r="AJ40" s="228"/>
      <c r="AK40" s="228"/>
      <c r="AL40" s="228"/>
      <c r="AM40" s="228"/>
      <c r="AN40" s="228"/>
      <c r="AO40" s="228"/>
      <c r="AP40" s="228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80"/>
      <c r="BB40" s="179"/>
      <c r="BC40" s="179"/>
      <c r="BD40" s="179"/>
      <c r="BE40" s="179"/>
      <c r="BF40" s="179"/>
      <c r="BG40" s="43"/>
      <c r="BK40" s="51"/>
      <c r="BL40" s="51"/>
    </row>
    <row r="41" spans="1:64">
      <c r="A41" s="681">
        <v>34</v>
      </c>
      <c r="B41" s="682"/>
      <c r="C41" s="59"/>
      <c r="D41" s="173"/>
      <c r="E41" s="173"/>
      <c r="F41" s="173"/>
      <c r="G41" s="173"/>
      <c r="H41" s="173"/>
      <c r="I41" s="173"/>
      <c r="J41" s="173"/>
      <c r="K41" s="174"/>
      <c r="L41" s="1"/>
      <c r="M41" s="173"/>
      <c r="N41" s="173"/>
      <c r="O41" s="173"/>
      <c r="P41" s="173"/>
      <c r="Q41" s="173"/>
      <c r="R41" s="173"/>
      <c r="S41" s="173"/>
      <c r="T41" s="173"/>
      <c r="U41" s="692"/>
      <c r="V41" s="693"/>
      <c r="W41" s="694"/>
      <c r="X41" s="695"/>
      <c r="Y41" s="696"/>
      <c r="Z41" s="697"/>
      <c r="AA41" s="697"/>
      <c r="AB41" s="697"/>
      <c r="AC41" s="698"/>
      <c r="AD41" s="689"/>
      <c r="AE41" s="690"/>
      <c r="AF41" s="689"/>
      <c r="AG41" s="690"/>
      <c r="AH41" s="172"/>
      <c r="AI41" s="179"/>
      <c r="AJ41" s="179"/>
      <c r="AK41" s="179"/>
      <c r="AL41" s="179"/>
      <c r="AM41" s="179"/>
      <c r="AN41" s="179"/>
      <c r="AO41" s="179"/>
      <c r="AP41" s="179"/>
      <c r="AQ41" s="179"/>
      <c r="AR41" s="179"/>
      <c r="AS41" s="179"/>
      <c r="AT41" s="179"/>
      <c r="AU41" s="179"/>
      <c r="AV41" s="179"/>
      <c r="AW41" s="179"/>
      <c r="AX41" s="179"/>
      <c r="AY41" s="179"/>
      <c r="AZ41" s="179"/>
      <c r="BA41" s="180"/>
      <c r="BB41" s="179"/>
      <c r="BC41" s="179"/>
      <c r="BD41" s="179"/>
      <c r="BE41" s="179"/>
      <c r="BF41" s="179"/>
      <c r="BG41" s="43"/>
      <c r="BK41" s="51"/>
      <c r="BL41" s="51"/>
    </row>
    <row r="42" spans="1:64">
      <c r="A42" s="681">
        <v>35</v>
      </c>
      <c r="B42" s="682"/>
      <c r="C42" s="59"/>
      <c r="D42" s="179"/>
      <c r="E42" s="179"/>
      <c r="F42" s="179"/>
      <c r="G42" s="179"/>
      <c r="H42" s="179"/>
      <c r="I42" s="179"/>
      <c r="J42" s="179"/>
      <c r="K42" s="180"/>
      <c r="L42" s="36"/>
      <c r="M42" s="179"/>
      <c r="N42" s="179"/>
      <c r="O42" s="179"/>
      <c r="P42" s="179"/>
      <c r="Q42" s="179"/>
      <c r="R42" s="179"/>
      <c r="S42" s="179"/>
      <c r="T42" s="179"/>
      <c r="U42" s="683"/>
      <c r="V42" s="682"/>
      <c r="W42" s="684"/>
      <c r="X42" s="685"/>
      <c r="Y42" s="686"/>
      <c r="Z42" s="687"/>
      <c r="AA42" s="687"/>
      <c r="AB42" s="687"/>
      <c r="AC42" s="688"/>
      <c r="AD42" s="689"/>
      <c r="AE42" s="690"/>
      <c r="AF42" s="689"/>
      <c r="AG42" s="690"/>
      <c r="AH42" s="178"/>
      <c r="AI42" s="179"/>
      <c r="AJ42" s="179"/>
      <c r="AK42" s="179"/>
      <c r="AL42" s="179"/>
      <c r="AM42" s="179"/>
      <c r="AN42" s="179"/>
      <c r="AO42" s="179"/>
      <c r="AP42" s="179"/>
      <c r="AQ42" s="179"/>
      <c r="AR42" s="179"/>
      <c r="AS42" s="179"/>
      <c r="AT42" s="179"/>
      <c r="AU42" s="179"/>
      <c r="AV42" s="179"/>
      <c r="AW42" s="179"/>
      <c r="AX42" s="179"/>
      <c r="AY42" s="179"/>
      <c r="AZ42" s="179"/>
      <c r="BA42" s="180"/>
      <c r="BB42" s="179"/>
      <c r="BC42" s="179"/>
      <c r="BD42" s="179"/>
      <c r="BE42" s="179"/>
      <c r="BF42" s="179"/>
      <c r="BG42" s="43"/>
      <c r="BK42" s="51"/>
      <c r="BL42" s="51"/>
    </row>
    <row r="43" spans="1:64">
      <c r="A43" s="681">
        <v>36</v>
      </c>
      <c r="B43" s="682"/>
      <c r="C43" s="239" t="s">
        <v>750</v>
      </c>
      <c r="D43" s="240"/>
      <c r="E43" s="240"/>
      <c r="F43" s="240"/>
      <c r="G43" s="240"/>
      <c r="H43" s="240"/>
      <c r="I43" s="240"/>
      <c r="J43" s="233"/>
      <c r="K43" s="234"/>
      <c r="L43" s="36"/>
      <c r="M43" s="233"/>
      <c r="N43" s="233"/>
      <c r="O43" s="233"/>
      <c r="P43" s="233"/>
      <c r="Q43" s="233"/>
      <c r="R43" s="233"/>
      <c r="S43" s="233"/>
      <c r="T43" s="233"/>
      <c r="U43" s="683"/>
      <c r="V43" s="682"/>
      <c r="W43" s="684"/>
      <c r="X43" s="685"/>
      <c r="Y43" s="686"/>
      <c r="Z43" s="687"/>
      <c r="AA43" s="687"/>
      <c r="AB43" s="687"/>
      <c r="AC43" s="688"/>
      <c r="AD43" s="689"/>
      <c r="AE43" s="690"/>
      <c r="AF43" s="689"/>
      <c r="AG43" s="690"/>
      <c r="AH43" s="229" t="s">
        <v>749</v>
      </c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3"/>
      <c r="AY43" s="233"/>
      <c r="AZ43" s="233"/>
      <c r="BA43" s="234"/>
      <c r="BB43" s="233"/>
      <c r="BC43" s="233"/>
      <c r="BD43" s="233"/>
      <c r="BE43" s="233"/>
      <c r="BF43" s="233"/>
      <c r="BG43" s="43"/>
      <c r="BK43" s="51"/>
      <c r="BL43" s="51"/>
    </row>
    <row r="44" spans="1:64">
      <c r="A44" s="681">
        <v>37</v>
      </c>
      <c r="B44" s="682"/>
      <c r="C44" s="59"/>
      <c r="D44" s="233"/>
      <c r="E44" s="233"/>
      <c r="F44" s="233"/>
      <c r="G44" s="233"/>
      <c r="H44" s="233"/>
      <c r="I44" s="233"/>
      <c r="J44" s="233"/>
      <c r="K44" s="234"/>
      <c r="L44" s="36"/>
      <c r="M44" s="233"/>
      <c r="N44" s="233"/>
      <c r="O44" s="233"/>
      <c r="P44" s="233"/>
      <c r="Q44" s="233"/>
      <c r="R44" s="233"/>
      <c r="S44" s="233"/>
      <c r="T44" s="233"/>
      <c r="U44" s="683"/>
      <c r="V44" s="682"/>
      <c r="W44" s="684"/>
      <c r="X44" s="685"/>
      <c r="Y44" s="686"/>
      <c r="Z44" s="687"/>
      <c r="AA44" s="687"/>
      <c r="AB44" s="687"/>
      <c r="AC44" s="688"/>
      <c r="AD44" s="689"/>
      <c r="AE44" s="690"/>
      <c r="AF44" s="689"/>
      <c r="AG44" s="690"/>
      <c r="AH44" s="232"/>
      <c r="AI44" s="233"/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4"/>
      <c r="BB44" s="233"/>
      <c r="BC44" s="233"/>
      <c r="BD44" s="233"/>
      <c r="BE44" s="233"/>
      <c r="BF44" s="233"/>
      <c r="BG44" s="43"/>
      <c r="BK44" s="51"/>
      <c r="BL44" s="51"/>
    </row>
    <row r="45" spans="1:64">
      <c r="A45" s="681">
        <v>38</v>
      </c>
      <c r="B45" s="682"/>
      <c r="C45" s="239" t="s">
        <v>754</v>
      </c>
      <c r="D45" s="240"/>
      <c r="E45" s="240"/>
      <c r="F45" s="240"/>
      <c r="G45" s="240"/>
      <c r="H45" s="240"/>
      <c r="I45" s="240"/>
      <c r="J45" s="240"/>
      <c r="K45" s="234"/>
      <c r="L45" s="36"/>
      <c r="M45" s="233"/>
      <c r="N45" s="233"/>
      <c r="O45" s="233"/>
      <c r="P45" s="233"/>
      <c r="Q45" s="233"/>
      <c r="R45" s="233"/>
      <c r="S45" s="233"/>
      <c r="T45" s="233"/>
      <c r="U45" s="683"/>
      <c r="V45" s="682"/>
      <c r="W45" s="684"/>
      <c r="X45" s="685"/>
      <c r="Y45" s="686"/>
      <c r="Z45" s="687"/>
      <c r="AA45" s="687"/>
      <c r="AB45" s="687"/>
      <c r="AC45" s="688"/>
      <c r="AD45" s="689"/>
      <c r="AE45" s="690"/>
      <c r="AF45" s="689"/>
      <c r="AG45" s="690"/>
      <c r="AH45" s="231" t="s">
        <v>728</v>
      </c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  <c r="AX45" s="233"/>
      <c r="AY45" s="233"/>
      <c r="AZ45" s="233"/>
      <c r="BA45" s="234"/>
      <c r="BB45" s="233"/>
      <c r="BC45" s="233"/>
      <c r="BD45" s="233"/>
      <c r="BE45" s="233"/>
      <c r="BF45" s="233"/>
      <c r="BG45" s="43"/>
      <c r="BK45" s="51"/>
      <c r="BL45" s="51"/>
    </row>
    <row r="46" spans="1:64">
      <c r="A46" s="681">
        <v>39</v>
      </c>
      <c r="B46" s="682"/>
      <c r="C46" s="59"/>
      <c r="D46" s="233"/>
      <c r="E46" s="233"/>
      <c r="F46" s="233"/>
      <c r="G46" s="233"/>
      <c r="H46" s="233"/>
      <c r="I46" s="233"/>
      <c r="J46" s="233"/>
      <c r="K46" s="234"/>
      <c r="L46" s="36"/>
      <c r="M46" s="233"/>
      <c r="N46" s="233"/>
      <c r="O46" s="233"/>
      <c r="P46" s="233"/>
      <c r="Q46" s="233"/>
      <c r="R46" s="233"/>
      <c r="S46" s="233"/>
      <c r="T46" s="233"/>
      <c r="U46" s="683"/>
      <c r="V46" s="682"/>
      <c r="W46" s="684"/>
      <c r="X46" s="685"/>
      <c r="Y46" s="686"/>
      <c r="Z46" s="687"/>
      <c r="AA46" s="687"/>
      <c r="AB46" s="687"/>
      <c r="AC46" s="688"/>
      <c r="AD46" s="689"/>
      <c r="AE46" s="690"/>
      <c r="AF46" s="689"/>
      <c r="AG46" s="690"/>
      <c r="AH46" s="232"/>
      <c r="AI46" s="233"/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4"/>
      <c r="BB46" s="233"/>
      <c r="BC46" s="233"/>
      <c r="BD46" s="233"/>
      <c r="BE46" s="233"/>
      <c r="BF46" s="233"/>
      <c r="BG46" s="43"/>
      <c r="BH46" s="228"/>
      <c r="BI46" s="228"/>
      <c r="BJ46" s="228"/>
      <c r="BK46" s="101"/>
      <c r="BL46" s="51"/>
    </row>
    <row r="47" spans="1:64">
      <c r="A47" s="681">
        <v>40</v>
      </c>
      <c r="B47" s="682"/>
      <c r="C47" s="239" t="s">
        <v>757</v>
      </c>
      <c r="D47" s="240"/>
      <c r="E47" s="240"/>
      <c r="F47" s="240"/>
      <c r="G47" s="240"/>
      <c r="H47" s="240"/>
      <c r="I47" s="240"/>
      <c r="J47" s="240"/>
      <c r="K47" s="241"/>
      <c r="L47" s="36"/>
      <c r="M47" s="233"/>
      <c r="N47" s="233"/>
      <c r="O47" s="233"/>
      <c r="P47" s="233"/>
      <c r="Q47" s="233"/>
      <c r="R47" s="233"/>
      <c r="S47" s="233"/>
      <c r="T47" s="233"/>
      <c r="U47" s="683"/>
      <c r="V47" s="682"/>
      <c r="W47" s="684"/>
      <c r="X47" s="685"/>
      <c r="Y47" s="686"/>
      <c r="Z47" s="687"/>
      <c r="AA47" s="687"/>
      <c r="AB47" s="687"/>
      <c r="AC47" s="688"/>
      <c r="AD47" s="689"/>
      <c r="AE47" s="690"/>
      <c r="AF47" s="689"/>
      <c r="AG47" s="690"/>
      <c r="AH47" s="231" t="s">
        <v>743</v>
      </c>
      <c r="AI47" s="230"/>
      <c r="AJ47" s="230"/>
      <c r="AK47" s="230"/>
      <c r="AL47" s="230"/>
      <c r="AM47" s="230"/>
      <c r="AN47" s="230"/>
      <c r="AO47" s="230"/>
      <c r="AP47" s="233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4"/>
      <c r="BB47" s="233"/>
      <c r="BC47" s="233"/>
      <c r="BD47" s="233"/>
      <c r="BE47" s="233"/>
      <c r="BF47" s="233"/>
      <c r="BG47" s="43"/>
      <c r="BH47" s="228"/>
      <c r="BI47" s="228"/>
      <c r="BJ47" s="228"/>
      <c r="BK47" s="51"/>
      <c r="BL47" s="51"/>
    </row>
    <row r="48" spans="1:64">
      <c r="A48" s="681">
        <v>41</v>
      </c>
      <c r="B48" s="682"/>
      <c r="C48" s="59"/>
      <c r="D48" s="233"/>
      <c r="E48" s="233"/>
      <c r="F48" s="233"/>
      <c r="G48" s="233"/>
      <c r="H48" s="233"/>
      <c r="I48" s="233"/>
      <c r="J48" s="233"/>
      <c r="K48" s="234"/>
      <c r="L48" s="36"/>
      <c r="M48" s="233"/>
      <c r="N48" s="233"/>
      <c r="O48" s="233"/>
      <c r="P48" s="233"/>
      <c r="Q48" s="233"/>
      <c r="R48" s="233"/>
      <c r="S48" s="233"/>
      <c r="T48" s="233"/>
      <c r="U48" s="683"/>
      <c r="V48" s="682"/>
      <c r="W48" s="684"/>
      <c r="X48" s="685"/>
      <c r="Y48" s="686"/>
      <c r="Z48" s="687"/>
      <c r="AA48" s="687"/>
      <c r="AB48" s="687"/>
      <c r="AC48" s="688"/>
      <c r="AD48" s="689"/>
      <c r="AE48" s="690"/>
      <c r="AF48" s="689"/>
      <c r="AG48" s="690"/>
      <c r="AH48" s="232"/>
      <c r="AI48" s="233"/>
      <c r="AJ48" s="233"/>
      <c r="AK48" s="233"/>
      <c r="AL48" s="233"/>
      <c r="AM48" s="233"/>
      <c r="AN48" s="233"/>
      <c r="AO48" s="233"/>
      <c r="AP48" s="233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4"/>
      <c r="BB48" s="233"/>
      <c r="BC48" s="233"/>
      <c r="BD48" s="233"/>
      <c r="BE48" s="233"/>
      <c r="BF48" s="233"/>
      <c r="BG48" s="43"/>
      <c r="BH48" s="228"/>
      <c r="BI48" s="228"/>
      <c r="BJ48" s="228"/>
      <c r="BK48" s="101"/>
      <c r="BL48" s="51"/>
    </row>
    <row r="49" spans="1:64">
      <c r="A49" s="681">
        <v>42</v>
      </c>
      <c r="B49" s="682"/>
      <c r="C49" s="239" t="s">
        <v>703</v>
      </c>
      <c r="D49" s="240"/>
      <c r="E49" s="240"/>
      <c r="F49" s="240"/>
      <c r="G49" s="240"/>
      <c r="H49" s="240"/>
      <c r="I49" s="233"/>
      <c r="J49" s="233"/>
      <c r="K49" s="234"/>
      <c r="L49" s="36"/>
      <c r="M49" s="233"/>
      <c r="N49" s="233"/>
      <c r="O49" s="233"/>
      <c r="P49" s="233"/>
      <c r="Q49" s="233"/>
      <c r="R49" s="233"/>
      <c r="S49" s="233"/>
      <c r="T49" s="233"/>
      <c r="U49" s="683"/>
      <c r="V49" s="682"/>
      <c r="W49" s="684"/>
      <c r="X49" s="685"/>
      <c r="Y49" s="686"/>
      <c r="Z49" s="687"/>
      <c r="AA49" s="687"/>
      <c r="AB49" s="687"/>
      <c r="AC49" s="688"/>
      <c r="AD49" s="689"/>
      <c r="AE49" s="690"/>
      <c r="AF49" s="689"/>
      <c r="AG49" s="690"/>
      <c r="AH49" s="231" t="s">
        <v>729</v>
      </c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3"/>
      <c r="AT49" s="233"/>
      <c r="AU49" s="233"/>
      <c r="AV49" s="233"/>
      <c r="AW49" s="233"/>
      <c r="AX49" s="233"/>
      <c r="AY49" s="233"/>
      <c r="AZ49" s="233"/>
      <c r="BA49" s="234"/>
      <c r="BB49" s="233"/>
      <c r="BC49" s="233"/>
      <c r="BD49" s="233"/>
      <c r="BE49" s="233"/>
      <c r="BF49" s="233"/>
      <c r="BG49" s="43"/>
      <c r="BK49" s="51"/>
      <c r="BL49" s="51"/>
    </row>
    <row r="50" spans="1:64">
      <c r="A50" s="681">
        <v>43</v>
      </c>
      <c r="B50" s="682"/>
      <c r="C50" s="239" t="s">
        <v>762</v>
      </c>
      <c r="D50" s="240"/>
      <c r="E50" s="240"/>
      <c r="F50" s="240"/>
      <c r="G50" s="240"/>
      <c r="H50" s="240"/>
      <c r="I50" s="240"/>
      <c r="J50" s="240"/>
      <c r="K50" s="241"/>
      <c r="L50" s="36"/>
      <c r="M50" s="233"/>
      <c r="N50" s="233"/>
      <c r="O50" s="233"/>
      <c r="P50" s="233"/>
      <c r="Q50" s="233"/>
      <c r="R50" s="233"/>
      <c r="S50" s="233"/>
      <c r="T50" s="233"/>
      <c r="U50" s="683"/>
      <c r="V50" s="682"/>
      <c r="W50" s="684"/>
      <c r="X50" s="685"/>
      <c r="Y50" s="686"/>
      <c r="Z50" s="687"/>
      <c r="AA50" s="687"/>
      <c r="AB50" s="687"/>
      <c r="AC50" s="688"/>
      <c r="AD50" s="689"/>
      <c r="AE50" s="690"/>
      <c r="AF50" s="689"/>
      <c r="AG50" s="690"/>
      <c r="AH50" s="231" t="s">
        <v>760</v>
      </c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3"/>
      <c r="AW50" s="233"/>
      <c r="AX50" s="233"/>
      <c r="AY50" s="233"/>
      <c r="AZ50" s="233"/>
      <c r="BA50" s="234"/>
      <c r="BB50" s="233"/>
      <c r="BC50" s="233"/>
      <c r="BD50" s="233"/>
      <c r="BE50" s="233"/>
      <c r="BF50" s="233"/>
      <c r="BG50" s="43"/>
      <c r="BK50" s="51"/>
      <c r="BL50" s="51"/>
    </row>
    <row r="51" spans="1:64">
      <c r="A51" s="681">
        <v>44</v>
      </c>
      <c r="B51" s="682"/>
      <c r="C51" s="59"/>
      <c r="D51" s="179"/>
      <c r="E51" s="179"/>
      <c r="F51" s="179"/>
      <c r="G51" s="179"/>
      <c r="H51" s="179"/>
      <c r="I51" s="179"/>
      <c r="J51" s="179"/>
      <c r="K51" s="180"/>
      <c r="L51" s="36"/>
      <c r="M51" s="179"/>
      <c r="N51" s="179"/>
      <c r="O51" s="179"/>
      <c r="P51" s="179"/>
      <c r="Q51" s="179"/>
      <c r="R51" s="179"/>
      <c r="S51" s="179"/>
      <c r="T51" s="179"/>
      <c r="U51" s="683"/>
      <c r="V51" s="682"/>
      <c r="W51" s="684"/>
      <c r="X51" s="685"/>
      <c r="Y51" s="686"/>
      <c r="Z51" s="687"/>
      <c r="AA51" s="687"/>
      <c r="AB51" s="687"/>
      <c r="AC51" s="688"/>
      <c r="AD51" s="689"/>
      <c r="AE51" s="690"/>
      <c r="AF51" s="689"/>
      <c r="AG51" s="690"/>
      <c r="AH51" s="178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80"/>
      <c r="BB51" s="179"/>
      <c r="BC51" s="179"/>
      <c r="BD51" s="179"/>
      <c r="BE51" s="179"/>
      <c r="BF51" s="179"/>
      <c r="BG51" s="43"/>
      <c r="BK51" s="51"/>
      <c r="BL51" s="51"/>
    </row>
    <row r="52" spans="1:64">
      <c r="A52" s="681">
        <v>45</v>
      </c>
      <c r="B52" s="682"/>
      <c r="C52" s="239" t="s">
        <v>764</v>
      </c>
      <c r="D52" s="242"/>
      <c r="E52" s="242"/>
      <c r="F52" s="242"/>
      <c r="G52" s="242"/>
      <c r="H52" s="242"/>
      <c r="I52" s="242"/>
      <c r="J52" s="242"/>
      <c r="K52" s="243"/>
      <c r="L52" s="1"/>
      <c r="M52" s="236"/>
      <c r="N52" s="236"/>
      <c r="O52" s="236"/>
      <c r="P52" s="236"/>
      <c r="Q52" s="236"/>
      <c r="R52" s="236"/>
      <c r="S52" s="236"/>
      <c r="T52" s="236"/>
      <c r="U52" s="692"/>
      <c r="V52" s="693"/>
      <c r="W52" s="694"/>
      <c r="X52" s="695"/>
      <c r="Y52" s="696"/>
      <c r="Z52" s="697"/>
      <c r="AA52" s="697"/>
      <c r="AB52" s="697"/>
      <c r="AC52" s="698"/>
      <c r="AD52" s="689"/>
      <c r="AE52" s="690"/>
      <c r="AF52" s="689"/>
      <c r="AG52" s="690"/>
      <c r="AH52" s="231" t="s">
        <v>763</v>
      </c>
      <c r="AI52" s="230"/>
      <c r="AJ52" s="230"/>
      <c r="AK52" s="230"/>
      <c r="AL52" s="230"/>
      <c r="AM52" s="230"/>
      <c r="AN52" s="230"/>
      <c r="AO52" s="230"/>
      <c r="AP52" s="233"/>
      <c r="AQ52" s="233"/>
      <c r="AR52" s="179"/>
      <c r="AS52" s="179"/>
      <c r="AT52" s="179"/>
      <c r="AU52" s="179"/>
      <c r="AV52" s="179"/>
      <c r="AW52" s="179"/>
      <c r="AX52" s="179"/>
      <c r="AY52" s="179"/>
      <c r="AZ52" s="179"/>
      <c r="BA52" s="180"/>
      <c r="BB52" s="179"/>
      <c r="BC52" s="179"/>
      <c r="BD52" s="179"/>
      <c r="BE52" s="179"/>
      <c r="BF52" s="179"/>
      <c r="BG52" s="43"/>
      <c r="BK52" s="51"/>
      <c r="BL52" s="51"/>
    </row>
    <row r="53" spans="1:64">
      <c r="A53" s="681">
        <v>46</v>
      </c>
      <c r="B53" s="682"/>
      <c r="C53" s="59" t="s">
        <v>740</v>
      </c>
      <c r="D53" s="179"/>
      <c r="E53" s="179"/>
      <c r="F53" s="179"/>
      <c r="G53" s="179"/>
      <c r="H53" s="179"/>
      <c r="I53" s="179"/>
      <c r="J53" s="179"/>
      <c r="K53" s="180"/>
      <c r="L53" s="36"/>
      <c r="M53" s="179"/>
      <c r="N53" s="179"/>
      <c r="O53" s="179"/>
      <c r="P53" s="179"/>
      <c r="Q53" s="179"/>
      <c r="R53" s="179"/>
      <c r="S53" s="179"/>
      <c r="T53" s="179"/>
      <c r="U53" s="683"/>
      <c r="V53" s="682"/>
      <c r="W53" s="684"/>
      <c r="X53" s="685"/>
      <c r="Y53" s="686"/>
      <c r="Z53" s="687"/>
      <c r="AA53" s="687"/>
      <c r="AB53" s="687"/>
      <c r="AC53" s="688"/>
      <c r="AD53" s="689"/>
      <c r="AE53" s="690"/>
      <c r="AF53" s="689"/>
      <c r="AG53" s="690"/>
      <c r="AH53" s="235" t="s">
        <v>741</v>
      </c>
      <c r="AI53" s="179"/>
      <c r="AJ53" s="179"/>
      <c r="AK53" s="179"/>
      <c r="AL53" s="179"/>
      <c r="AM53" s="179"/>
      <c r="AN53" s="179"/>
      <c r="AO53" s="179"/>
      <c r="AP53" s="179"/>
      <c r="AQ53" s="179"/>
      <c r="AR53" s="179"/>
      <c r="AS53" s="179"/>
      <c r="AT53" s="179"/>
      <c r="AU53" s="179"/>
      <c r="AV53" s="179"/>
      <c r="AW53" s="179"/>
      <c r="AX53" s="179"/>
      <c r="AY53" s="179"/>
      <c r="AZ53" s="179"/>
      <c r="BA53" s="180"/>
      <c r="BB53" s="179"/>
      <c r="BC53" s="179"/>
      <c r="BD53" s="179"/>
      <c r="BE53" s="179"/>
      <c r="BF53" s="179"/>
      <c r="BG53" s="43"/>
      <c r="BK53" s="51"/>
      <c r="BL53" s="51"/>
    </row>
    <row r="54" spans="1:64">
      <c r="A54" s="681">
        <v>47</v>
      </c>
      <c r="B54" s="682"/>
      <c r="C54" s="59"/>
      <c r="D54" s="179"/>
      <c r="E54" s="179"/>
      <c r="F54" s="179"/>
      <c r="G54" s="179"/>
      <c r="H54" s="179"/>
      <c r="I54" s="179"/>
      <c r="J54" s="179"/>
      <c r="K54" s="180"/>
      <c r="L54" s="36"/>
      <c r="M54" s="179"/>
      <c r="N54" s="179"/>
      <c r="O54" s="179"/>
      <c r="P54" s="179"/>
      <c r="Q54" s="179"/>
      <c r="R54" s="179"/>
      <c r="S54" s="179"/>
      <c r="T54" s="179"/>
      <c r="U54" s="683"/>
      <c r="V54" s="682"/>
      <c r="W54" s="684"/>
      <c r="X54" s="685"/>
      <c r="Y54" s="686"/>
      <c r="Z54" s="687"/>
      <c r="AA54" s="687"/>
      <c r="AB54" s="687"/>
      <c r="AC54" s="688"/>
      <c r="AD54" s="689"/>
      <c r="AE54" s="690"/>
      <c r="AF54" s="689"/>
      <c r="AG54" s="690"/>
      <c r="AH54" s="178"/>
      <c r="AI54" s="179"/>
      <c r="AJ54" s="179"/>
      <c r="AK54" s="179"/>
      <c r="AL54" s="179"/>
      <c r="AM54" s="179"/>
      <c r="AN54" s="179"/>
      <c r="AO54" s="179"/>
      <c r="AP54" s="179"/>
      <c r="AQ54" s="179"/>
      <c r="AR54" s="179"/>
      <c r="AS54" s="179"/>
      <c r="AT54" s="179"/>
      <c r="AU54" s="179"/>
      <c r="AV54" s="179"/>
      <c r="AW54" s="179"/>
      <c r="AX54" s="179"/>
      <c r="AY54" s="179"/>
      <c r="AZ54" s="179"/>
      <c r="BA54" s="180"/>
      <c r="BB54" s="179"/>
      <c r="BC54" s="179"/>
      <c r="BD54" s="179"/>
      <c r="BE54" s="179"/>
      <c r="BF54" s="179"/>
      <c r="BG54" s="43"/>
      <c r="BK54" s="51"/>
      <c r="BL54" s="51"/>
    </row>
    <row r="55" spans="1:64">
      <c r="A55" s="681">
        <v>48</v>
      </c>
      <c r="B55" s="682"/>
      <c r="C55" s="59"/>
      <c r="D55" s="179"/>
      <c r="E55" s="179"/>
      <c r="F55" s="179"/>
      <c r="G55" s="179"/>
      <c r="H55" s="179"/>
      <c r="I55" s="179"/>
      <c r="J55" s="179"/>
      <c r="K55" s="180"/>
      <c r="L55" s="36"/>
      <c r="M55" s="179"/>
      <c r="N55" s="179"/>
      <c r="O55" s="179"/>
      <c r="P55" s="179"/>
      <c r="Q55" s="179"/>
      <c r="R55" s="179"/>
      <c r="S55" s="179"/>
      <c r="T55" s="179"/>
      <c r="U55" s="683"/>
      <c r="V55" s="682"/>
      <c r="W55" s="684"/>
      <c r="X55" s="685"/>
      <c r="Y55" s="686"/>
      <c r="Z55" s="687"/>
      <c r="AA55" s="687"/>
      <c r="AB55" s="687"/>
      <c r="AC55" s="688"/>
      <c r="AD55" s="689"/>
      <c r="AE55" s="690"/>
      <c r="AF55" s="689"/>
      <c r="AG55" s="690"/>
      <c r="AH55" s="178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79"/>
      <c r="AW55" s="179"/>
      <c r="AX55" s="179"/>
      <c r="AY55" s="179"/>
      <c r="AZ55" s="179"/>
      <c r="BA55" s="180"/>
      <c r="BB55" s="179"/>
      <c r="BC55" s="179"/>
      <c r="BD55" s="179"/>
      <c r="BE55" s="179"/>
      <c r="BF55" s="179"/>
      <c r="BG55" s="43"/>
      <c r="BK55" s="51"/>
      <c r="BL55" s="51"/>
    </row>
    <row r="56" spans="1:64">
      <c r="A56" s="681">
        <v>49</v>
      </c>
      <c r="B56" s="682"/>
      <c r="C56" s="239" t="s">
        <v>737</v>
      </c>
      <c r="D56" s="240"/>
      <c r="E56" s="240"/>
      <c r="F56" s="240"/>
      <c r="G56" s="240"/>
      <c r="H56" s="240"/>
      <c r="I56" s="240"/>
      <c r="J56" s="240"/>
      <c r="K56" s="241"/>
      <c r="L56" s="233"/>
      <c r="M56" s="233"/>
      <c r="N56" s="233"/>
      <c r="O56" s="233"/>
      <c r="P56" s="233"/>
      <c r="Q56" s="233"/>
      <c r="R56" s="233"/>
      <c r="S56" s="233"/>
      <c r="T56" s="233"/>
      <c r="U56" s="683"/>
      <c r="V56" s="682"/>
      <c r="W56" s="683"/>
      <c r="X56" s="682"/>
      <c r="Y56" s="689"/>
      <c r="Z56" s="691"/>
      <c r="AA56" s="691"/>
      <c r="AB56" s="691"/>
      <c r="AC56" s="690"/>
      <c r="AD56" s="689"/>
      <c r="AE56" s="690"/>
      <c r="AF56" s="689"/>
      <c r="AG56" s="690"/>
      <c r="AH56" s="231" t="s">
        <v>765</v>
      </c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8"/>
      <c r="BK56" s="51"/>
      <c r="BL56" s="51"/>
    </row>
    <row r="57" spans="1:64">
      <c r="A57" s="681">
        <v>50</v>
      </c>
      <c r="B57" s="682"/>
      <c r="C57" s="239" t="s">
        <v>767</v>
      </c>
      <c r="D57" s="242"/>
      <c r="E57" s="242"/>
      <c r="F57" s="242"/>
      <c r="G57" s="242"/>
      <c r="H57" s="242"/>
      <c r="I57" s="242"/>
      <c r="J57" s="242"/>
      <c r="K57" s="243"/>
      <c r="L57" s="1"/>
      <c r="M57" s="236"/>
      <c r="N57" s="236"/>
      <c r="O57" s="236"/>
      <c r="P57" s="236"/>
      <c r="Q57" s="236"/>
      <c r="R57" s="236"/>
      <c r="S57" s="236"/>
      <c r="T57" s="236"/>
      <c r="U57" s="692"/>
      <c r="V57" s="693"/>
      <c r="W57" s="694"/>
      <c r="X57" s="695"/>
      <c r="Y57" s="696"/>
      <c r="Z57" s="697"/>
      <c r="AA57" s="697"/>
      <c r="AB57" s="697"/>
      <c r="AC57" s="698"/>
      <c r="AD57" s="689"/>
      <c r="AE57" s="690"/>
      <c r="AF57" s="689"/>
      <c r="AG57" s="690"/>
      <c r="AH57" s="231" t="s">
        <v>766</v>
      </c>
      <c r="AI57" s="230"/>
      <c r="AJ57" s="230"/>
      <c r="AK57" s="230"/>
      <c r="AL57" s="230"/>
      <c r="AM57" s="230"/>
      <c r="AN57" s="230"/>
      <c r="AO57" s="230"/>
      <c r="AP57" s="230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8"/>
      <c r="BB57" s="48"/>
      <c r="BC57" s="48"/>
      <c r="BD57" s="48"/>
      <c r="BE57" s="48"/>
      <c r="BF57" s="48"/>
      <c r="BG57" s="49"/>
      <c r="BK57" s="51"/>
      <c r="BL57" s="51"/>
    </row>
    <row r="58" spans="1:64">
      <c r="A58" s="681">
        <v>51</v>
      </c>
      <c r="B58" s="682"/>
      <c r="C58" s="59"/>
      <c r="D58" s="179"/>
      <c r="E58" s="179"/>
      <c r="F58" s="179"/>
      <c r="G58" s="179"/>
      <c r="H58" s="179"/>
      <c r="I58" s="179"/>
      <c r="J58" s="179"/>
      <c r="K58" s="180"/>
      <c r="L58" s="36"/>
      <c r="M58" s="179"/>
      <c r="N58" s="179"/>
      <c r="O58" s="179"/>
      <c r="P58" s="179"/>
      <c r="Q58" s="179"/>
      <c r="R58" s="179"/>
      <c r="S58" s="179"/>
      <c r="T58" s="179"/>
      <c r="U58" s="683"/>
      <c r="V58" s="682"/>
      <c r="W58" s="684"/>
      <c r="X58" s="685"/>
      <c r="Y58" s="686"/>
      <c r="Z58" s="687"/>
      <c r="AA58" s="687"/>
      <c r="AB58" s="687"/>
      <c r="AC58" s="688"/>
      <c r="AD58" s="689"/>
      <c r="AE58" s="690"/>
      <c r="AF58" s="689"/>
      <c r="AG58" s="690"/>
      <c r="AH58" s="178"/>
      <c r="AI58" s="179"/>
      <c r="AJ58" s="179"/>
      <c r="AK58" s="179"/>
      <c r="AL58" s="179"/>
      <c r="AM58" s="179"/>
      <c r="AN58" s="179"/>
      <c r="AO58" s="179"/>
      <c r="AP58" s="179"/>
      <c r="AQ58" s="179"/>
      <c r="AR58" s="179"/>
      <c r="AS58" s="179"/>
      <c r="AT58" s="179"/>
      <c r="AU58" s="179"/>
      <c r="AV58" s="179"/>
      <c r="AW58" s="179"/>
      <c r="AX58" s="179"/>
      <c r="AY58" s="179"/>
      <c r="AZ58" s="179"/>
      <c r="BA58" s="180"/>
      <c r="BB58" s="179"/>
      <c r="BC58" s="179"/>
      <c r="BD58" s="179"/>
      <c r="BE58" s="179"/>
      <c r="BF58" s="179"/>
      <c r="BG58" s="43"/>
      <c r="BK58" s="51"/>
      <c r="BL58" s="51"/>
    </row>
    <row r="59" spans="1:64">
      <c r="A59" s="681">
        <v>52</v>
      </c>
      <c r="B59" s="682"/>
      <c r="C59" s="59"/>
      <c r="D59" s="179"/>
      <c r="E59" s="179"/>
      <c r="F59" s="179"/>
      <c r="G59" s="179"/>
      <c r="H59" s="179"/>
      <c r="I59" s="179"/>
      <c r="J59" s="179"/>
      <c r="K59" s="180"/>
      <c r="L59" s="36"/>
      <c r="M59" s="179"/>
      <c r="N59" s="179"/>
      <c r="O59" s="179"/>
      <c r="P59" s="179"/>
      <c r="Q59" s="179"/>
      <c r="R59" s="179"/>
      <c r="S59" s="179"/>
      <c r="T59" s="179"/>
      <c r="U59" s="683"/>
      <c r="V59" s="682"/>
      <c r="W59" s="684"/>
      <c r="X59" s="685"/>
      <c r="Y59" s="686"/>
      <c r="Z59" s="687"/>
      <c r="AA59" s="687"/>
      <c r="AB59" s="687"/>
      <c r="AC59" s="688"/>
      <c r="AD59" s="689"/>
      <c r="AE59" s="690"/>
      <c r="AF59" s="689"/>
      <c r="AG59" s="690"/>
      <c r="AH59" s="178"/>
      <c r="AI59" s="179"/>
      <c r="AJ59" s="179"/>
      <c r="AK59" s="179"/>
      <c r="AL59" s="179"/>
      <c r="AM59" s="179"/>
      <c r="AN59" s="179"/>
      <c r="AO59" s="179"/>
      <c r="AP59" s="179"/>
      <c r="AQ59" s="179"/>
      <c r="AR59" s="179"/>
      <c r="AS59" s="179"/>
      <c r="AT59" s="179"/>
      <c r="AU59" s="179"/>
      <c r="AV59" s="179"/>
      <c r="AW59" s="179"/>
      <c r="AX59" s="179"/>
      <c r="AY59" s="179"/>
      <c r="AZ59" s="179"/>
      <c r="BA59" s="180"/>
      <c r="BB59" s="179"/>
      <c r="BC59" s="179"/>
      <c r="BD59" s="179"/>
      <c r="BE59" s="179"/>
      <c r="BF59" s="179"/>
      <c r="BG59" s="43"/>
      <c r="BK59" s="51"/>
      <c r="BL59" s="51"/>
    </row>
    <row r="60" spans="1:64">
      <c r="A60" s="681">
        <v>53</v>
      </c>
      <c r="B60" s="682"/>
      <c r="C60" s="239" t="s">
        <v>739</v>
      </c>
      <c r="D60" s="240"/>
      <c r="E60" s="240"/>
      <c r="F60" s="240"/>
      <c r="G60" s="240"/>
      <c r="H60" s="240"/>
      <c r="I60" s="240"/>
      <c r="J60" s="240"/>
      <c r="K60" s="241"/>
      <c r="L60" s="36"/>
      <c r="M60" s="233"/>
      <c r="N60" s="233"/>
      <c r="O60" s="233"/>
      <c r="P60" s="233"/>
      <c r="Q60" s="233"/>
      <c r="R60" s="233"/>
      <c r="S60" s="233"/>
      <c r="T60" s="233"/>
      <c r="U60" s="683"/>
      <c r="V60" s="682"/>
      <c r="W60" s="684"/>
      <c r="X60" s="685"/>
      <c r="Y60" s="686"/>
      <c r="Z60" s="687"/>
      <c r="AA60" s="687"/>
      <c r="AB60" s="687"/>
      <c r="AC60" s="688"/>
      <c r="AD60" s="689"/>
      <c r="AE60" s="690"/>
      <c r="AF60" s="689"/>
      <c r="AG60" s="690"/>
      <c r="AH60" s="231" t="s">
        <v>768</v>
      </c>
      <c r="AI60" s="230"/>
      <c r="AJ60" s="230"/>
      <c r="AK60" s="230"/>
      <c r="AL60" s="230"/>
      <c r="AM60" s="230"/>
      <c r="AN60" s="233"/>
      <c r="AO60" s="233"/>
      <c r="AP60" s="233"/>
      <c r="AQ60" s="233"/>
      <c r="AR60" s="233"/>
      <c r="AS60" s="233"/>
      <c r="AT60" s="233"/>
      <c r="AU60" s="233"/>
      <c r="AV60" s="233"/>
      <c r="AW60" s="233"/>
      <c r="AX60" s="233"/>
      <c r="AY60" s="233"/>
      <c r="AZ60" s="233"/>
      <c r="BA60" s="234"/>
      <c r="BK60" s="51"/>
      <c r="BL60" s="51"/>
    </row>
    <row r="61" spans="1:64">
      <c r="A61" s="681">
        <v>54</v>
      </c>
      <c r="B61" s="682"/>
      <c r="C61" s="59"/>
      <c r="D61" s="179"/>
      <c r="E61" s="179"/>
      <c r="F61" s="179"/>
      <c r="G61" s="179"/>
      <c r="H61" s="179"/>
      <c r="I61" s="179"/>
      <c r="J61" s="179"/>
      <c r="K61" s="180"/>
      <c r="L61" s="36"/>
      <c r="M61" s="179"/>
      <c r="N61" s="179"/>
      <c r="O61" s="179"/>
      <c r="P61" s="179"/>
      <c r="Q61" s="179"/>
      <c r="R61" s="179"/>
      <c r="S61" s="179"/>
      <c r="T61" s="179"/>
      <c r="U61" s="683"/>
      <c r="V61" s="682"/>
      <c r="W61" s="684"/>
      <c r="X61" s="685"/>
      <c r="Y61" s="686"/>
      <c r="Z61" s="687"/>
      <c r="AA61" s="687"/>
      <c r="AB61" s="687"/>
      <c r="AC61" s="688"/>
      <c r="AD61" s="689"/>
      <c r="AE61" s="690"/>
      <c r="AF61" s="689"/>
      <c r="AG61" s="690"/>
      <c r="AH61" s="178"/>
      <c r="AI61" s="179"/>
      <c r="AJ61" s="179"/>
      <c r="AK61" s="179"/>
      <c r="AL61" s="179"/>
      <c r="AM61" s="179"/>
      <c r="AN61" s="179"/>
      <c r="AO61" s="179"/>
      <c r="AP61" s="179"/>
      <c r="AQ61" s="179"/>
      <c r="AR61" s="179"/>
      <c r="AS61" s="179"/>
      <c r="AT61" s="179"/>
      <c r="AU61" s="179"/>
      <c r="AV61" s="179"/>
      <c r="AW61" s="179"/>
      <c r="AX61" s="179"/>
      <c r="AY61" s="179"/>
      <c r="AZ61" s="179"/>
      <c r="BA61" s="180"/>
      <c r="BB61" s="179"/>
      <c r="BC61" s="179"/>
      <c r="BD61" s="179"/>
      <c r="BE61" s="179"/>
      <c r="BF61" s="179"/>
      <c r="BG61" s="43"/>
      <c r="BK61" s="51"/>
      <c r="BL61" s="51"/>
    </row>
    <row r="62" spans="1:64">
      <c r="A62" s="681">
        <v>55</v>
      </c>
      <c r="B62" s="682"/>
      <c r="C62" s="59"/>
      <c r="D62" s="179"/>
      <c r="E62" s="179"/>
      <c r="F62" s="179"/>
      <c r="G62" s="179"/>
      <c r="H62" s="179"/>
      <c r="I62" s="179"/>
      <c r="J62" s="179"/>
      <c r="K62" s="180"/>
      <c r="L62" s="36"/>
      <c r="M62" s="179"/>
      <c r="N62" s="179"/>
      <c r="O62" s="179"/>
      <c r="P62" s="179"/>
      <c r="Q62" s="179"/>
      <c r="R62" s="179"/>
      <c r="S62" s="179"/>
      <c r="T62" s="179"/>
      <c r="U62" s="683"/>
      <c r="V62" s="682"/>
      <c r="W62" s="684"/>
      <c r="X62" s="685"/>
      <c r="Y62" s="686"/>
      <c r="Z62" s="687"/>
      <c r="AA62" s="687"/>
      <c r="AB62" s="687"/>
      <c r="AC62" s="688"/>
      <c r="AD62" s="689"/>
      <c r="AE62" s="690"/>
      <c r="AF62" s="689"/>
      <c r="AG62" s="690"/>
      <c r="AH62" s="178"/>
      <c r="AI62" s="179"/>
      <c r="AJ62" s="179"/>
      <c r="AK62" s="179"/>
      <c r="AL62" s="179"/>
      <c r="AM62" s="179"/>
      <c r="AN62" s="179"/>
      <c r="AO62" s="179"/>
      <c r="AP62" s="179"/>
      <c r="AQ62" s="179"/>
      <c r="AR62" s="179"/>
      <c r="AS62" s="179"/>
      <c r="AT62" s="179"/>
      <c r="AU62" s="179"/>
      <c r="AV62" s="179"/>
      <c r="AW62" s="179"/>
      <c r="AX62" s="179"/>
      <c r="AY62" s="179"/>
      <c r="AZ62" s="179"/>
      <c r="BA62" s="180"/>
      <c r="BB62" s="179"/>
      <c r="BC62" s="179"/>
      <c r="BD62" s="179"/>
      <c r="BE62" s="179"/>
      <c r="BF62" s="179"/>
      <c r="BG62" s="43"/>
      <c r="BK62" s="51"/>
      <c r="BL62" s="51"/>
    </row>
    <row r="63" spans="1:64">
      <c r="A63" s="681">
        <v>56</v>
      </c>
      <c r="B63" s="682"/>
      <c r="C63" s="239" t="s">
        <v>785</v>
      </c>
      <c r="D63" s="240"/>
      <c r="E63" s="240"/>
      <c r="F63" s="240"/>
      <c r="G63" s="240"/>
      <c r="H63" s="240"/>
      <c r="I63" s="240"/>
      <c r="J63" s="240"/>
      <c r="K63" s="241"/>
      <c r="L63" s="244"/>
      <c r="M63" s="240"/>
      <c r="N63" s="179"/>
      <c r="O63" s="179"/>
      <c r="P63" s="179"/>
      <c r="Q63" s="179"/>
      <c r="R63" s="179"/>
      <c r="S63" s="179"/>
      <c r="T63" s="179"/>
      <c r="U63" s="683"/>
      <c r="V63" s="682"/>
      <c r="W63" s="684"/>
      <c r="X63" s="685"/>
      <c r="Y63" s="686"/>
      <c r="Z63" s="687"/>
      <c r="AA63" s="687"/>
      <c r="AB63" s="687"/>
      <c r="AC63" s="688"/>
      <c r="AD63" s="689"/>
      <c r="AE63" s="690"/>
      <c r="AF63" s="689"/>
      <c r="AG63" s="690"/>
      <c r="AH63" s="231" t="s">
        <v>746</v>
      </c>
      <c r="AI63" s="230"/>
      <c r="AJ63" s="230"/>
      <c r="AK63" s="230"/>
      <c r="AL63" s="230"/>
      <c r="AM63" s="179"/>
      <c r="AN63" s="179"/>
      <c r="AO63" s="179"/>
      <c r="AP63" s="179"/>
      <c r="AQ63" s="179"/>
      <c r="AR63" s="179"/>
      <c r="AS63" s="179"/>
      <c r="AT63" s="179"/>
      <c r="AU63" s="179"/>
      <c r="AV63" s="179"/>
      <c r="AW63" s="179"/>
      <c r="AX63" s="179"/>
      <c r="AY63" s="179"/>
      <c r="AZ63" s="179"/>
      <c r="BA63" s="180"/>
      <c r="BB63" s="179"/>
      <c r="BC63" s="179"/>
      <c r="BD63" s="179"/>
      <c r="BE63" s="179"/>
      <c r="BF63" s="179"/>
      <c r="BG63" s="43"/>
      <c r="BK63" s="51"/>
      <c r="BL63" s="51"/>
    </row>
    <row r="64" spans="1:64">
      <c r="A64" s="681">
        <v>57</v>
      </c>
      <c r="B64" s="682"/>
      <c r="C64" s="59"/>
      <c r="D64" s="179"/>
      <c r="E64" s="179"/>
      <c r="F64" s="179"/>
      <c r="G64" s="179"/>
      <c r="H64" s="179"/>
      <c r="I64" s="179"/>
      <c r="J64" s="179"/>
      <c r="K64" s="180"/>
      <c r="L64" s="36"/>
      <c r="M64" s="179"/>
      <c r="N64" s="179"/>
      <c r="O64" s="179"/>
      <c r="P64" s="179"/>
      <c r="Q64" s="179"/>
      <c r="R64" s="179"/>
      <c r="S64" s="179"/>
      <c r="T64" s="179"/>
      <c r="U64" s="683"/>
      <c r="V64" s="682"/>
      <c r="W64" s="684"/>
      <c r="X64" s="685"/>
      <c r="Y64" s="686"/>
      <c r="Z64" s="687"/>
      <c r="AA64" s="687"/>
      <c r="AB64" s="687"/>
      <c r="AC64" s="688"/>
      <c r="AD64" s="689"/>
      <c r="AE64" s="690"/>
      <c r="AF64" s="689"/>
      <c r="AG64" s="690"/>
      <c r="AH64" s="178"/>
      <c r="AI64" s="179"/>
      <c r="AJ64" s="179"/>
      <c r="AK64" s="179"/>
      <c r="AL64" s="179"/>
      <c r="AM64" s="179"/>
      <c r="AN64" s="179"/>
      <c r="AO64" s="179"/>
      <c r="AP64" s="179"/>
      <c r="AQ64" s="179"/>
      <c r="AR64" s="179"/>
      <c r="AS64" s="179"/>
      <c r="AT64" s="179"/>
      <c r="AU64" s="179"/>
      <c r="AV64" s="179"/>
      <c r="AW64" s="179"/>
      <c r="AX64" s="179"/>
      <c r="AY64" s="179"/>
      <c r="AZ64" s="179"/>
      <c r="BA64" s="180"/>
      <c r="BB64" s="179"/>
      <c r="BC64" s="179"/>
      <c r="BD64" s="179"/>
      <c r="BE64" s="179"/>
      <c r="BF64" s="179"/>
      <c r="BG64" s="43"/>
      <c r="BK64" s="51"/>
      <c r="BL64" s="51"/>
    </row>
    <row r="65" spans="1:64">
      <c r="A65" s="681">
        <v>58</v>
      </c>
      <c r="B65" s="682"/>
      <c r="C65" s="239" t="s">
        <v>787</v>
      </c>
      <c r="D65" s="240"/>
      <c r="E65" s="240"/>
      <c r="F65" s="240"/>
      <c r="G65" s="240"/>
      <c r="H65" s="240"/>
      <c r="I65" s="240"/>
      <c r="J65" s="240"/>
      <c r="K65" s="241"/>
      <c r="L65" s="36"/>
      <c r="M65" s="233"/>
      <c r="N65" s="233"/>
      <c r="O65" s="233"/>
      <c r="P65" s="233"/>
      <c r="Q65" s="233"/>
      <c r="R65" s="233"/>
      <c r="S65" s="233"/>
      <c r="T65" s="233"/>
      <c r="U65" s="683"/>
      <c r="V65" s="682"/>
      <c r="W65" s="684"/>
      <c r="X65" s="685"/>
      <c r="Y65" s="686"/>
      <c r="Z65" s="687"/>
      <c r="AA65" s="687"/>
      <c r="AB65" s="687"/>
      <c r="AC65" s="688"/>
      <c r="AD65" s="689"/>
      <c r="AE65" s="690"/>
      <c r="AF65" s="689"/>
      <c r="AG65" s="690"/>
      <c r="AH65" s="231" t="s">
        <v>786</v>
      </c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3"/>
      <c r="AU65" s="233"/>
      <c r="AV65" s="233"/>
      <c r="AW65" s="233"/>
      <c r="AX65" s="233"/>
      <c r="AY65" s="233"/>
      <c r="AZ65" s="233"/>
      <c r="BA65" s="234"/>
      <c r="BB65" s="233"/>
      <c r="BC65" s="233"/>
      <c r="BD65" s="233"/>
      <c r="BE65" s="233"/>
      <c r="BF65" s="233"/>
      <c r="BG65" s="43"/>
      <c r="BK65" s="51"/>
      <c r="BL65" s="51"/>
    </row>
    <row r="66" spans="1:64">
      <c r="A66" s="681">
        <v>59</v>
      </c>
      <c r="B66" s="682"/>
      <c r="C66" s="59"/>
      <c r="D66" s="179"/>
      <c r="E66" s="179"/>
      <c r="F66" s="179"/>
      <c r="G66" s="179"/>
      <c r="H66" s="179"/>
      <c r="I66" s="179"/>
      <c r="J66" s="179"/>
      <c r="K66" s="180"/>
      <c r="L66" s="36"/>
      <c r="M66" s="179"/>
      <c r="N66" s="179"/>
      <c r="O66" s="179"/>
      <c r="P66" s="179"/>
      <c r="Q66" s="179"/>
      <c r="R66" s="179"/>
      <c r="S66" s="179"/>
      <c r="T66" s="179"/>
      <c r="U66" s="683"/>
      <c r="V66" s="682"/>
      <c r="W66" s="684"/>
      <c r="X66" s="685"/>
      <c r="Y66" s="686"/>
      <c r="Z66" s="687"/>
      <c r="AA66" s="687"/>
      <c r="AB66" s="687"/>
      <c r="AC66" s="688"/>
      <c r="AD66" s="689"/>
      <c r="AE66" s="690"/>
      <c r="AF66" s="689"/>
      <c r="AG66" s="690"/>
      <c r="AH66" s="178"/>
      <c r="AI66" s="179"/>
      <c r="AJ66" s="179"/>
      <c r="AK66" s="179"/>
      <c r="AL66" s="179"/>
      <c r="AM66" s="179"/>
      <c r="AN66" s="179"/>
      <c r="AO66" s="179"/>
      <c r="AP66" s="179"/>
      <c r="AQ66" s="179"/>
      <c r="AR66" s="179"/>
      <c r="AS66" s="179"/>
      <c r="AT66" s="179"/>
      <c r="AU66" s="179"/>
      <c r="AV66" s="179"/>
      <c r="AW66" s="179"/>
      <c r="AX66" s="179"/>
      <c r="AY66" s="179"/>
      <c r="AZ66" s="179"/>
      <c r="BA66" s="180"/>
      <c r="BB66" s="179"/>
      <c r="BC66" s="179"/>
      <c r="BD66" s="179"/>
      <c r="BE66" s="179"/>
      <c r="BF66" s="179"/>
      <c r="BG66" s="43"/>
      <c r="BK66" s="51"/>
      <c r="BL66" s="51"/>
    </row>
    <row r="67" spans="1:64">
      <c r="A67" s="681">
        <v>60</v>
      </c>
      <c r="B67" s="682"/>
      <c r="C67" s="239" t="s">
        <v>803</v>
      </c>
      <c r="D67" s="240"/>
      <c r="E67" s="240"/>
      <c r="F67" s="240"/>
      <c r="G67" s="240"/>
      <c r="H67" s="240"/>
      <c r="I67" s="240"/>
      <c r="J67" s="240"/>
      <c r="K67" s="241"/>
      <c r="L67" s="244"/>
      <c r="M67" s="233"/>
      <c r="N67" s="233"/>
      <c r="O67" s="233"/>
      <c r="P67" s="233"/>
      <c r="Q67" s="233"/>
      <c r="R67" s="233"/>
      <c r="S67" s="233"/>
      <c r="T67" s="233"/>
      <c r="U67" s="683"/>
      <c r="V67" s="682"/>
      <c r="W67" s="684"/>
      <c r="X67" s="685"/>
      <c r="Y67" s="686"/>
      <c r="Z67" s="687"/>
      <c r="AA67" s="687"/>
      <c r="AB67" s="687"/>
      <c r="AC67" s="688"/>
      <c r="AD67" s="689"/>
      <c r="AE67" s="690"/>
      <c r="AF67" s="689"/>
      <c r="AG67" s="690"/>
      <c r="AH67" s="231" t="s">
        <v>801</v>
      </c>
      <c r="AI67" s="230"/>
      <c r="AJ67" s="230"/>
      <c r="AK67" s="230"/>
      <c r="AL67" s="230"/>
      <c r="AM67" s="230"/>
      <c r="AN67" s="230"/>
      <c r="AO67" s="230"/>
      <c r="AP67" s="233"/>
      <c r="AQ67" s="233"/>
      <c r="AR67" s="233"/>
      <c r="AS67" s="233"/>
      <c r="AT67" s="233"/>
      <c r="AU67" s="233"/>
      <c r="AV67" s="233"/>
      <c r="AW67" s="233"/>
      <c r="AX67" s="233"/>
      <c r="AY67" s="233"/>
      <c r="AZ67" s="233"/>
      <c r="BA67" s="234"/>
      <c r="BB67" s="233"/>
      <c r="BC67" s="233"/>
      <c r="BD67" s="233"/>
      <c r="BE67" s="233"/>
      <c r="BF67" s="233"/>
      <c r="BG67" s="43"/>
      <c r="BK67" s="51"/>
      <c r="BL67" s="51"/>
    </row>
    <row r="68" spans="1:64">
      <c r="A68" s="681">
        <v>61</v>
      </c>
      <c r="B68" s="682"/>
      <c r="C68" s="59"/>
      <c r="D68" s="179"/>
      <c r="E68" s="179"/>
      <c r="F68" s="179"/>
      <c r="G68" s="179"/>
      <c r="H68" s="179"/>
      <c r="I68" s="179"/>
      <c r="J68" s="179"/>
      <c r="K68" s="180"/>
      <c r="L68" s="36"/>
      <c r="M68" s="179"/>
      <c r="N68" s="179"/>
      <c r="O68" s="179"/>
      <c r="P68" s="179"/>
      <c r="Q68" s="179"/>
      <c r="R68" s="179"/>
      <c r="S68" s="179"/>
      <c r="T68" s="179"/>
      <c r="U68" s="683"/>
      <c r="V68" s="682"/>
      <c r="W68" s="684"/>
      <c r="X68" s="685"/>
      <c r="Y68" s="686"/>
      <c r="Z68" s="687"/>
      <c r="AA68" s="687"/>
      <c r="AB68" s="687"/>
      <c r="AC68" s="688"/>
      <c r="AD68" s="689"/>
      <c r="AE68" s="690"/>
      <c r="AF68" s="689"/>
      <c r="AG68" s="690"/>
      <c r="AH68" s="178"/>
      <c r="AI68" s="179"/>
      <c r="AJ68" s="179"/>
      <c r="AK68" s="179"/>
      <c r="AL68" s="179"/>
      <c r="AM68" s="179"/>
      <c r="AN68" s="179"/>
      <c r="AO68" s="179"/>
      <c r="AP68" s="179"/>
      <c r="AQ68" s="179"/>
      <c r="AR68" s="179"/>
      <c r="AS68" s="179"/>
      <c r="AT68" s="179"/>
      <c r="AU68" s="179"/>
      <c r="AV68" s="179"/>
      <c r="AW68" s="179"/>
      <c r="AX68" s="179"/>
      <c r="AY68" s="179"/>
      <c r="AZ68" s="179"/>
      <c r="BA68" s="180"/>
      <c r="BB68" s="179"/>
      <c r="BC68" s="179"/>
      <c r="BD68" s="179"/>
      <c r="BE68" s="179"/>
      <c r="BF68" s="179"/>
      <c r="BG68" s="43"/>
      <c r="BK68" s="51"/>
      <c r="BL68" s="51"/>
    </row>
    <row r="69" spans="1:64">
      <c r="A69" s="681">
        <v>62</v>
      </c>
      <c r="B69" s="682"/>
      <c r="C69" s="59"/>
      <c r="D69" s="179"/>
      <c r="E69" s="179"/>
      <c r="F69" s="179"/>
      <c r="G69" s="179"/>
      <c r="H69" s="179"/>
      <c r="I69" s="179"/>
      <c r="J69" s="179"/>
      <c r="K69" s="180"/>
      <c r="L69" s="36"/>
      <c r="M69" s="179"/>
      <c r="N69" s="179"/>
      <c r="O69" s="179"/>
      <c r="P69" s="179"/>
      <c r="Q69" s="179"/>
      <c r="R69" s="179"/>
      <c r="S69" s="179"/>
      <c r="T69" s="179"/>
      <c r="U69" s="683"/>
      <c r="V69" s="682"/>
      <c r="W69" s="684"/>
      <c r="X69" s="685"/>
      <c r="Y69" s="686"/>
      <c r="Z69" s="687"/>
      <c r="AA69" s="687"/>
      <c r="AB69" s="687"/>
      <c r="AC69" s="688"/>
      <c r="AD69" s="689"/>
      <c r="AE69" s="690"/>
      <c r="AF69" s="689"/>
      <c r="AG69" s="690"/>
      <c r="AH69" s="178"/>
      <c r="AI69" s="179"/>
      <c r="AJ69" s="179"/>
      <c r="AK69" s="179"/>
      <c r="AL69" s="179"/>
      <c r="AM69" s="179"/>
      <c r="AN69" s="179"/>
      <c r="AO69" s="179"/>
      <c r="AP69" s="179"/>
      <c r="AQ69" s="179"/>
      <c r="AR69" s="179"/>
      <c r="AS69" s="179"/>
      <c r="AT69" s="179"/>
      <c r="AU69" s="179"/>
      <c r="AV69" s="179"/>
      <c r="AW69" s="179"/>
      <c r="AX69" s="179"/>
      <c r="AY69" s="179"/>
      <c r="AZ69" s="179"/>
      <c r="BA69" s="180"/>
      <c r="BB69" s="179"/>
      <c r="BC69" s="179"/>
      <c r="BD69" s="179"/>
      <c r="BE69" s="179"/>
      <c r="BF69" s="179"/>
      <c r="BG69" s="43"/>
      <c r="BK69" s="51"/>
      <c r="BL69" s="51"/>
    </row>
    <row r="70" spans="1:64">
      <c r="A70" s="681">
        <v>63</v>
      </c>
      <c r="B70" s="682"/>
      <c r="C70" s="336" t="s">
        <v>819</v>
      </c>
      <c r="D70" s="337"/>
      <c r="E70" s="337"/>
      <c r="F70" s="337"/>
      <c r="G70" s="337"/>
      <c r="H70" s="337"/>
      <c r="I70" s="337"/>
      <c r="J70" s="337"/>
      <c r="K70" s="338"/>
      <c r="L70" s="36"/>
      <c r="M70" s="179"/>
      <c r="N70" s="179"/>
      <c r="O70" s="179"/>
      <c r="P70" s="179"/>
      <c r="Q70" s="179"/>
      <c r="R70" s="179"/>
      <c r="S70" s="179"/>
      <c r="T70" s="179"/>
      <c r="U70" s="683"/>
      <c r="V70" s="682"/>
      <c r="W70" s="684"/>
      <c r="X70" s="685"/>
      <c r="Y70" s="686"/>
      <c r="Z70" s="687"/>
      <c r="AA70" s="687"/>
      <c r="AB70" s="687"/>
      <c r="AC70" s="688"/>
      <c r="AD70" s="689"/>
      <c r="AE70" s="690"/>
      <c r="AF70" s="689"/>
      <c r="AG70" s="690"/>
      <c r="AH70" s="231" t="s">
        <v>813</v>
      </c>
      <c r="AI70" s="230"/>
      <c r="AJ70" s="230"/>
      <c r="AK70" s="230"/>
      <c r="AL70" s="230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80"/>
      <c r="BB70" s="179"/>
      <c r="BC70" s="179"/>
      <c r="BD70" s="179"/>
      <c r="BE70" s="179"/>
      <c r="BF70" s="179"/>
      <c r="BG70" s="43"/>
      <c r="BK70" s="51"/>
      <c r="BL70" s="51"/>
    </row>
    <row r="71" spans="1:64">
      <c r="A71" s="681">
        <v>64</v>
      </c>
      <c r="B71" s="682"/>
      <c r="C71" s="59"/>
      <c r="D71" s="179"/>
      <c r="E71" s="179"/>
      <c r="F71" s="179"/>
      <c r="G71" s="179"/>
      <c r="H71" s="179"/>
      <c r="I71" s="179"/>
      <c r="J71" s="179"/>
      <c r="K71" s="180"/>
      <c r="L71" s="36"/>
      <c r="M71" s="179"/>
      <c r="N71" s="179"/>
      <c r="O71" s="179"/>
      <c r="P71" s="179"/>
      <c r="Q71" s="179"/>
      <c r="R71" s="179"/>
      <c r="S71" s="179"/>
      <c r="T71" s="179"/>
      <c r="U71" s="683"/>
      <c r="V71" s="682"/>
      <c r="W71" s="684"/>
      <c r="X71" s="685"/>
      <c r="Y71" s="686"/>
      <c r="Z71" s="687"/>
      <c r="AA71" s="687"/>
      <c r="AB71" s="687"/>
      <c r="AC71" s="688"/>
      <c r="AD71" s="689"/>
      <c r="AE71" s="690"/>
      <c r="AF71" s="689"/>
      <c r="AG71" s="690"/>
      <c r="AH71" s="178"/>
      <c r="AI71" s="179"/>
      <c r="AJ71" s="179"/>
      <c r="AK71" s="179"/>
      <c r="AL71" s="179"/>
      <c r="AM71" s="179"/>
      <c r="AN71" s="179"/>
      <c r="AO71" s="179"/>
      <c r="AP71" s="179"/>
      <c r="AQ71" s="179"/>
      <c r="AR71" s="179"/>
      <c r="AS71" s="179"/>
      <c r="AT71" s="179"/>
      <c r="AU71" s="179"/>
      <c r="AV71" s="179"/>
      <c r="AW71" s="179"/>
      <c r="AX71" s="179"/>
      <c r="AY71" s="179"/>
      <c r="AZ71" s="179"/>
      <c r="BA71" s="180"/>
      <c r="BB71" s="179"/>
      <c r="BC71" s="179"/>
      <c r="BD71" s="179"/>
      <c r="BE71" s="179"/>
      <c r="BF71" s="179"/>
      <c r="BG71" s="43"/>
      <c r="BK71" s="51"/>
      <c r="BL71" s="51"/>
    </row>
    <row r="72" spans="1:64">
      <c r="A72" s="681">
        <v>65</v>
      </c>
      <c r="B72" s="682"/>
      <c r="C72" s="59" t="s">
        <v>804</v>
      </c>
      <c r="D72" s="179"/>
      <c r="E72" s="179"/>
      <c r="F72" s="179"/>
      <c r="G72" s="179"/>
      <c r="H72" s="179"/>
      <c r="I72" s="179"/>
      <c r="J72" s="179"/>
      <c r="K72" s="180"/>
      <c r="L72" s="36"/>
      <c r="M72" s="179"/>
      <c r="N72" s="179"/>
      <c r="O72" s="179"/>
      <c r="P72" s="179"/>
      <c r="Q72" s="179"/>
      <c r="R72" s="179"/>
      <c r="S72" s="179"/>
      <c r="T72" s="179"/>
      <c r="U72" s="683"/>
      <c r="V72" s="682"/>
      <c r="W72" s="684"/>
      <c r="X72" s="685"/>
      <c r="Y72" s="686"/>
      <c r="Z72" s="687"/>
      <c r="AA72" s="687"/>
      <c r="AB72" s="687"/>
      <c r="AC72" s="688"/>
      <c r="AD72" s="689"/>
      <c r="AE72" s="690"/>
      <c r="AF72" s="689"/>
      <c r="AG72" s="690"/>
      <c r="AH72" s="322" t="s">
        <v>816</v>
      </c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80"/>
      <c r="BB72" s="179"/>
      <c r="BC72" s="179"/>
      <c r="BD72" s="179"/>
      <c r="BE72" s="179"/>
      <c r="BF72" s="179"/>
      <c r="BG72" s="43"/>
      <c r="BK72" s="51"/>
      <c r="BL72" s="51"/>
    </row>
    <row r="73" spans="1:64">
      <c r="A73" s="681">
        <v>66</v>
      </c>
      <c r="B73" s="682"/>
      <c r="C73" s="59" t="s">
        <v>814</v>
      </c>
      <c r="D73" s="179"/>
      <c r="E73" s="179"/>
      <c r="F73" s="179"/>
      <c r="G73" s="179"/>
      <c r="H73" s="179"/>
      <c r="I73" s="179"/>
      <c r="J73" s="179"/>
      <c r="K73" s="180"/>
      <c r="L73" s="36"/>
      <c r="M73" s="179"/>
      <c r="N73" s="179"/>
      <c r="O73" s="179"/>
      <c r="P73" s="179"/>
      <c r="Q73" s="179"/>
      <c r="R73" s="179"/>
      <c r="S73" s="179"/>
      <c r="T73" s="179"/>
      <c r="U73" s="683"/>
      <c r="V73" s="682"/>
      <c r="W73" s="684"/>
      <c r="X73" s="685"/>
      <c r="Y73" s="686"/>
      <c r="Z73" s="687"/>
      <c r="AA73" s="687"/>
      <c r="AB73" s="687"/>
      <c r="AC73" s="688"/>
      <c r="AD73" s="689"/>
      <c r="AE73" s="690"/>
      <c r="AF73" s="689"/>
      <c r="AG73" s="690"/>
      <c r="AH73" s="319" t="s">
        <v>815</v>
      </c>
      <c r="AI73" s="179"/>
      <c r="AJ73" s="179"/>
      <c r="AK73" s="179"/>
      <c r="AL73" s="179"/>
      <c r="AM73" s="179"/>
      <c r="AN73" s="179"/>
      <c r="AO73" s="179"/>
      <c r="AP73" s="179"/>
      <c r="AQ73" s="179"/>
      <c r="AR73" s="179"/>
      <c r="AS73" s="179"/>
      <c r="AT73" s="179"/>
      <c r="AU73" s="179"/>
      <c r="AV73" s="179"/>
      <c r="AW73" s="179"/>
      <c r="AX73" s="179"/>
      <c r="AY73" s="179"/>
      <c r="AZ73" s="179"/>
      <c r="BA73" s="180"/>
      <c r="BB73" s="179"/>
      <c r="BC73" s="179"/>
      <c r="BD73" s="179"/>
      <c r="BE73" s="179"/>
      <c r="BF73" s="179"/>
      <c r="BG73" s="43"/>
      <c r="BK73" s="51"/>
      <c r="BL73" s="51"/>
    </row>
    <row r="74" spans="1:64">
      <c r="A74" s="681">
        <v>67</v>
      </c>
      <c r="B74" s="682"/>
      <c r="C74" s="59" t="s">
        <v>807</v>
      </c>
      <c r="D74" s="179"/>
      <c r="E74" s="179"/>
      <c r="F74" s="179"/>
      <c r="G74" s="179"/>
      <c r="H74" s="179"/>
      <c r="I74" s="179"/>
      <c r="J74" s="179"/>
      <c r="K74" s="180"/>
      <c r="L74" s="36"/>
      <c r="M74" s="179"/>
      <c r="N74" s="179"/>
      <c r="O74" s="179"/>
      <c r="P74" s="179"/>
      <c r="Q74" s="179"/>
      <c r="R74" s="179"/>
      <c r="S74" s="179"/>
      <c r="T74" s="179"/>
      <c r="U74" s="683"/>
      <c r="V74" s="682"/>
      <c r="W74" s="684"/>
      <c r="X74" s="685"/>
      <c r="Y74" s="686"/>
      <c r="Z74" s="687"/>
      <c r="AA74" s="687"/>
      <c r="AB74" s="687"/>
      <c r="AC74" s="688"/>
      <c r="AD74" s="689"/>
      <c r="AE74" s="690"/>
      <c r="AF74" s="689"/>
      <c r="AG74" s="690"/>
      <c r="AH74" s="322" t="s">
        <v>812</v>
      </c>
      <c r="AI74" s="179"/>
      <c r="AJ74" s="179"/>
      <c r="AK74" s="179"/>
      <c r="AL74" s="179"/>
      <c r="AM74" s="179"/>
      <c r="AN74" s="179"/>
      <c r="AO74" s="179"/>
      <c r="AP74" s="179"/>
      <c r="AQ74" s="179"/>
      <c r="AR74" s="179"/>
      <c r="AS74" s="179"/>
      <c r="AT74" s="179"/>
      <c r="AU74" s="179"/>
      <c r="AV74" s="179"/>
      <c r="AW74" s="179"/>
      <c r="AX74" s="179"/>
      <c r="AY74" s="179"/>
      <c r="AZ74" s="179"/>
      <c r="BA74" s="180"/>
      <c r="BB74" s="179"/>
      <c r="BC74" s="179"/>
      <c r="BD74" s="179"/>
      <c r="BE74" s="179"/>
      <c r="BF74" s="179"/>
      <c r="BG74" s="43"/>
      <c r="BK74" s="51"/>
      <c r="BL74" s="51"/>
    </row>
    <row r="75" spans="1:64">
      <c r="A75" s="681">
        <v>68</v>
      </c>
      <c r="B75" s="682"/>
      <c r="C75" s="59"/>
      <c r="D75" s="179"/>
      <c r="E75" s="179"/>
      <c r="F75" s="179"/>
      <c r="G75" s="179"/>
      <c r="H75" s="179"/>
      <c r="I75" s="179"/>
      <c r="J75" s="179"/>
      <c r="K75" s="180"/>
      <c r="L75" s="36"/>
      <c r="M75" s="179"/>
      <c r="N75" s="179"/>
      <c r="O75" s="179"/>
      <c r="P75" s="179"/>
      <c r="Q75" s="179"/>
      <c r="R75" s="179"/>
      <c r="S75" s="179"/>
      <c r="T75" s="179"/>
      <c r="U75" s="683"/>
      <c r="V75" s="682"/>
      <c r="W75" s="684"/>
      <c r="X75" s="685"/>
      <c r="Y75" s="686"/>
      <c r="Z75" s="687"/>
      <c r="AA75" s="687"/>
      <c r="AB75" s="687"/>
      <c r="AC75" s="688"/>
      <c r="AD75" s="689"/>
      <c r="AE75" s="690"/>
      <c r="AF75" s="689"/>
      <c r="AG75" s="690"/>
      <c r="AH75" s="178"/>
      <c r="AI75" s="179"/>
      <c r="AJ75" s="179"/>
      <c r="AK75" s="179"/>
      <c r="AL75" s="179"/>
      <c r="AM75" s="179"/>
      <c r="AN75" s="179"/>
      <c r="AO75" s="179"/>
      <c r="AP75" s="179"/>
      <c r="AQ75" s="179"/>
      <c r="AR75" s="179"/>
      <c r="AS75" s="179"/>
      <c r="AT75" s="179"/>
      <c r="AU75" s="179"/>
      <c r="AV75" s="179"/>
      <c r="AW75" s="179"/>
      <c r="AX75" s="179"/>
      <c r="AY75" s="179"/>
      <c r="AZ75" s="179"/>
      <c r="BA75" s="180"/>
      <c r="BB75" s="179"/>
      <c r="BC75" s="179"/>
      <c r="BD75" s="179"/>
      <c r="BE75" s="179"/>
      <c r="BF75" s="179"/>
      <c r="BG75" s="43"/>
      <c r="BK75" s="51"/>
      <c r="BL75" s="51"/>
    </row>
    <row r="76" spans="1:64">
      <c r="A76" s="681">
        <v>69</v>
      </c>
      <c r="B76" s="682"/>
      <c r="C76" s="59" t="s">
        <v>805</v>
      </c>
      <c r="D76" s="179"/>
      <c r="E76" s="179"/>
      <c r="F76" s="179"/>
      <c r="G76" s="179"/>
      <c r="H76" s="179"/>
      <c r="I76" s="179"/>
      <c r="J76" s="179"/>
      <c r="K76" s="180"/>
      <c r="L76" s="36"/>
      <c r="M76" s="179"/>
      <c r="N76" s="179"/>
      <c r="O76" s="179"/>
      <c r="P76" s="179"/>
      <c r="Q76" s="179"/>
      <c r="R76" s="179"/>
      <c r="S76" s="179"/>
      <c r="T76" s="179"/>
      <c r="U76" s="683"/>
      <c r="V76" s="682"/>
      <c r="W76" s="684"/>
      <c r="X76" s="685"/>
      <c r="Y76" s="686"/>
      <c r="Z76" s="687"/>
      <c r="AA76" s="687"/>
      <c r="AB76" s="687"/>
      <c r="AC76" s="688"/>
      <c r="AD76" s="689"/>
      <c r="AE76" s="690"/>
      <c r="AF76" s="689"/>
      <c r="AG76" s="690"/>
      <c r="AH76" s="319" t="s">
        <v>806</v>
      </c>
      <c r="AI76" s="179"/>
      <c r="AJ76" s="179"/>
      <c r="AK76" s="179"/>
      <c r="AL76" s="179"/>
      <c r="AM76" s="179"/>
      <c r="AN76" s="179"/>
      <c r="AO76" s="179"/>
      <c r="AP76" s="179"/>
      <c r="AQ76" s="179"/>
      <c r="AR76" s="179"/>
      <c r="AS76" s="179"/>
      <c r="AT76" s="179"/>
      <c r="AU76" s="179"/>
      <c r="AV76" s="179"/>
      <c r="AW76" s="179"/>
      <c r="AX76" s="179"/>
      <c r="AY76" s="179"/>
      <c r="AZ76" s="179"/>
      <c r="BA76" s="180"/>
      <c r="BB76" s="179"/>
      <c r="BC76" s="179"/>
      <c r="BD76" s="179"/>
      <c r="BE76" s="179"/>
      <c r="BF76" s="179"/>
      <c r="BG76" s="43"/>
      <c r="BK76" s="51"/>
      <c r="BL76" s="51"/>
    </row>
    <row r="77" spans="1:64">
      <c r="A77" s="681">
        <v>70</v>
      </c>
      <c r="B77" s="682"/>
      <c r="C77" s="59"/>
      <c r="D77" s="179"/>
      <c r="E77" s="179"/>
      <c r="F77" s="179"/>
      <c r="G77" s="179"/>
      <c r="H77" s="179"/>
      <c r="I77" s="179"/>
      <c r="J77" s="179"/>
      <c r="K77" s="180"/>
      <c r="L77" s="36"/>
      <c r="M77" s="179"/>
      <c r="N77" s="179"/>
      <c r="O77" s="179"/>
      <c r="P77" s="179"/>
      <c r="Q77" s="179"/>
      <c r="R77" s="179"/>
      <c r="S77" s="179"/>
      <c r="T77" s="179"/>
      <c r="U77" s="683"/>
      <c r="V77" s="682"/>
      <c r="W77" s="684"/>
      <c r="X77" s="685"/>
      <c r="Y77" s="686"/>
      <c r="Z77" s="687"/>
      <c r="AA77" s="687"/>
      <c r="AB77" s="687"/>
      <c r="AC77" s="688"/>
      <c r="AD77" s="689"/>
      <c r="AE77" s="690"/>
      <c r="AF77" s="689"/>
      <c r="AG77" s="690"/>
      <c r="AH77" s="178"/>
      <c r="AI77" s="179"/>
      <c r="AJ77" s="179"/>
      <c r="AK77" s="179"/>
      <c r="AL77" s="179"/>
      <c r="AM77" s="179"/>
      <c r="AN77" s="179"/>
      <c r="AO77" s="179"/>
      <c r="AP77" s="179"/>
      <c r="AQ77" s="179"/>
      <c r="AR77" s="179"/>
      <c r="AS77" s="179"/>
      <c r="AT77" s="179"/>
      <c r="AU77" s="179"/>
      <c r="AV77" s="179"/>
      <c r="AW77" s="179"/>
      <c r="AX77" s="179"/>
      <c r="AY77" s="179"/>
      <c r="AZ77" s="179"/>
      <c r="BA77" s="180"/>
      <c r="BB77" s="179"/>
      <c r="BC77" s="179"/>
      <c r="BD77" s="179"/>
      <c r="BE77" s="179"/>
      <c r="BF77" s="179"/>
      <c r="BG77" s="43"/>
      <c r="BK77" s="51"/>
      <c r="BL77" s="51"/>
    </row>
    <row r="78" spans="1:64">
      <c r="A78" s="681">
        <v>71</v>
      </c>
      <c r="B78" s="682"/>
      <c r="C78" s="59" t="s">
        <v>808</v>
      </c>
      <c r="D78" s="179"/>
      <c r="E78" s="179"/>
      <c r="F78" s="179"/>
      <c r="G78" s="179"/>
      <c r="H78" s="179"/>
      <c r="I78" s="179"/>
      <c r="J78" s="179"/>
      <c r="K78" s="180"/>
      <c r="L78" s="36"/>
      <c r="M78" s="179"/>
      <c r="N78" s="179"/>
      <c r="O78" s="179"/>
      <c r="P78" s="179"/>
      <c r="Q78" s="179"/>
      <c r="R78" s="179"/>
      <c r="S78" s="179"/>
      <c r="T78" s="179"/>
      <c r="U78" s="683"/>
      <c r="V78" s="682"/>
      <c r="W78" s="684"/>
      <c r="X78" s="685"/>
      <c r="Y78" s="686"/>
      <c r="Z78" s="687"/>
      <c r="AA78" s="687"/>
      <c r="AB78" s="687"/>
      <c r="AC78" s="688"/>
      <c r="AD78" s="689"/>
      <c r="AE78" s="690"/>
      <c r="AF78" s="689"/>
      <c r="AG78" s="690"/>
      <c r="AH78" s="321" t="s">
        <v>809</v>
      </c>
      <c r="AI78" s="179"/>
      <c r="AJ78" s="179"/>
      <c r="AK78" s="179"/>
      <c r="AL78" s="179"/>
      <c r="AM78" s="179"/>
      <c r="AN78" s="179"/>
      <c r="AO78" s="179"/>
      <c r="AP78" s="179"/>
      <c r="AQ78" s="179"/>
      <c r="AR78" s="179"/>
      <c r="AS78" s="179"/>
      <c r="AT78" s="179"/>
      <c r="AU78" s="179"/>
      <c r="AV78" s="179"/>
      <c r="AW78" s="179"/>
      <c r="AX78" s="179"/>
      <c r="AY78" s="179"/>
      <c r="AZ78" s="179"/>
      <c r="BA78" s="180"/>
      <c r="BB78" s="179"/>
      <c r="BC78" s="179"/>
      <c r="BD78" s="179"/>
      <c r="BE78" s="179"/>
      <c r="BF78" s="179"/>
      <c r="BG78" s="43"/>
      <c r="BK78" s="51"/>
      <c r="BL78" s="51"/>
    </row>
    <row r="79" spans="1:64">
      <c r="A79" s="681">
        <v>72</v>
      </c>
      <c r="B79" s="682"/>
      <c r="C79" s="59"/>
      <c r="D79" s="179"/>
      <c r="E79" s="179"/>
      <c r="F79" s="179"/>
      <c r="G79" s="179"/>
      <c r="H79" s="179"/>
      <c r="I79" s="179"/>
      <c r="J79" s="179"/>
      <c r="K79" s="180"/>
      <c r="L79" s="36"/>
      <c r="M79" s="179"/>
      <c r="N79" s="179"/>
      <c r="O79" s="179"/>
      <c r="P79" s="179"/>
      <c r="Q79" s="179"/>
      <c r="R79" s="179"/>
      <c r="S79" s="179"/>
      <c r="T79" s="179"/>
      <c r="U79" s="683"/>
      <c r="V79" s="682"/>
      <c r="W79" s="684"/>
      <c r="X79" s="685"/>
      <c r="Y79" s="686"/>
      <c r="Z79" s="687"/>
      <c r="AA79" s="687"/>
      <c r="AB79" s="687"/>
      <c r="AC79" s="688"/>
      <c r="AD79" s="689"/>
      <c r="AE79" s="690"/>
      <c r="AF79" s="689"/>
      <c r="AG79" s="690"/>
      <c r="AH79" s="178"/>
      <c r="AI79" s="179"/>
      <c r="AJ79" s="179"/>
      <c r="AK79" s="179"/>
      <c r="AL79" s="179"/>
      <c r="AM79" s="179"/>
      <c r="AN79" s="179"/>
      <c r="AO79" s="179"/>
      <c r="AP79" s="179"/>
      <c r="AQ79" s="179"/>
      <c r="AR79" s="179"/>
      <c r="AS79" s="179"/>
      <c r="AT79" s="179"/>
      <c r="AU79" s="179"/>
      <c r="AV79" s="179"/>
      <c r="AW79" s="179"/>
      <c r="AX79" s="179"/>
      <c r="AY79" s="179"/>
      <c r="AZ79" s="179"/>
      <c r="BA79" s="180"/>
      <c r="BB79" s="179"/>
      <c r="BC79" s="179"/>
      <c r="BD79" s="179"/>
      <c r="BE79" s="179"/>
      <c r="BF79" s="179"/>
      <c r="BG79" s="43"/>
      <c r="BK79" s="51"/>
      <c r="BL79" s="51"/>
    </row>
    <row r="80" spans="1:64">
      <c r="A80" s="681">
        <v>73</v>
      </c>
      <c r="B80" s="682"/>
      <c r="C80" s="59" t="s">
        <v>810</v>
      </c>
      <c r="D80" s="179"/>
      <c r="E80" s="179"/>
      <c r="F80" s="179"/>
      <c r="G80" s="179"/>
      <c r="H80" s="179"/>
      <c r="I80" s="179"/>
      <c r="J80" s="179"/>
      <c r="K80" s="180"/>
      <c r="L80" s="36"/>
      <c r="M80" s="179"/>
      <c r="N80" s="179"/>
      <c r="O80" s="179"/>
      <c r="P80" s="179"/>
      <c r="Q80" s="179"/>
      <c r="R80" s="179"/>
      <c r="S80" s="179"/>
      <c r="T80" s="179"/>
      <c r="U80" s="683"/>
      <c r="V80" s="682"/>
      <c r="W80" s="684"/>
      <c r="X80" s="685"/>
      <c r="Y80" s="686"/>
      <c r="Z80" s="687"/>
      <c r="AA80" s="687"/>
      <c r="AB80" s="687"/>
      <c r="AC80" s="688"/>
      <c r="AD80" s="689"/>
      <c r="AE80" s="690"/>
      <c r="AF80" s="689"/>
      <c r="AG80" s="690"/>
      <c r="AH80" s="321" t="s">
        <v>811</v>
      </c>
      <c r="AI80" s="179"/>
      <c r="AJ80" s="179"/>
      <c r="AK80" s="179"/>
      <c r="AL80" s="179"/>
      <c r="AM80" s="179"/>
      <c r="AN80" s="179"/>
      <c r="AO80" s="179"/>
      <c r="AP80" s="179"/>
      <c r="AQ80" s="179"/>
      <c r="AR80" s="179"/>
      <c r="AS80" s="179"/>
      <c r="AT80" s="179"/>
      <c r="AU80" s="179"/>
      <c r="AV80" s="179"/>
      <c r="AW80" s="179"/>
      <c r="AX80" s="179"/>
      <c r="AY80" s="179"/>
      <c r="AZ80" s="179"/>
      <c r="BA80" s="180"/>
      <c r="BB80" s="179"/>
      <c r="BC80" s="179"/>
      <c r="BD80" s="179"/>
      <c r="BE80" s="179"/>
      <c r="BF80" s="179"/>
      <c r="BG80" s="43"/>
      <c r="BK80" s="51"/>
      <c r="BL80" s="51"/>
    </row>
    <row r="81" spans="1:64">
      <c r="A81" s="681">
        <v>74</v>
      </c>
      <c r="B81" s="682"/>
      <c r="C81" s="59"/>
      <c r="D81" s="179"/>
      <c r="E81" s="179"/>
      <c r="F81" s="179"/>
      <c r="G81" s="179"/>
      <c r="H81" s="179"/>
      <c r="I81" s="179"/>
      <c r="J81" s="179"/>
      <c r="K81" s="180"/>
      <c r="L81" s="36"/>
      <c r="M81" s="179"/>
      <c r="N81" s="179"/>
      <c r="O81" s="179"/>
      <c r="P81" s="179"/>
      <c r="Q81" s="179"/>
      <c r="R81" s="179"/>
      <c r="S81" s="179"/>
      <c r="T81" s="179"/>
      <c r="U81" s="683"/>
      <c r="V81" s="682"/>
      <c r="W81" s="684"/>
      <c r="X81" s="685"/>
      <c r="Y81" s="686"/>
      <c r="Z81" s="687"/>
      <c r="AA81" s="687"/>
      <c r="AB81" s="687"/>
      <c r="AC81" s="688"/>
      <c r="AD81" s="689"/>
      <c r="AE81" s="690"/>
      <c r="AF81" s="689"/>
      <c r="AG81" s="690"/>
      <c r="AH81" s="178"/>
      <c r="AI81" s="179"/>
      <c r="AJ81" s="179"/>
      <c r="AK81" s="179"/>
      <c r="AL81" s="179"/>
      <c r="AM81" s="179"/>
      <c r="AN81" s="179"/>
      <c r="AO81" s="179"/>
      <c r="AP81" s="179"/>
      <c r="AQ81" s="179"/>
      <c r="AR81" s="179"/>
      <c r="AS81" s="179"/>
      <c r="AT81" s="179"/>
      <c r="AU81" s="179"/>
      <c r="AV81" s="179"/>
      <c r="AW81" s="179"/>
      <c r="AX81" s="179"/>
      <c r="AY81" s="179"/>
      <c r="AZ81" s="179"/>
      <c r="BA81" s="180"/>
      <c r="BB81" s="179"/>
      <c r="BC81" s="179"/>
      <c r="BD81" s="179"/>
      <c r="BE81" s="179"/>
      <c r="BF81" s="179"/>
      <c r="BG81" s="43"/>
      <c r="BK81" s="51"/>
      <c r="BL81" s="51"/>
    </row>
    <row r="82" spans="1:64">
      <c r="A82" s="681">
        <v>75</v>
      </c>
      <c r="B82" s="682"/>
      <c r="C82" s="59"/>
      <c r="D82" s="179"/>
      <c r="E82" s="179"/>
      <c r="F82" s="179"/>
      <c r="G82" s="179"/>
      <c r="H82" s="179"/>
      <c r="I82" s="179"/>
      <c r="J82" s="179"/>
      <c r="K82" s="180"/>
      <c r="L82" s="36"/>
      <c r="M82" s="179"/>
      <c r="N82" s="179"/>
      <c r="O82" s="179"/>
      <c r="P82" s="179"/>
      <c r="Q82" s="179"/>
      <c r="R82" s="179"/>
      <c r="S82" s="179"/>
      <c r="T82" s="179"/>
      <c r="U82" s="683"/>
      <c r="V82" s="682"/>
      <c r="W82" s="684"/>
      <c r="X82" s="685"/>
      <c r="Y82" s="686"/>
      <c r="Z82" s="687"/>
      <c r="AA82" s="687"/>
      <c r="AB82" s="687"/>
      <c r="AC82" s="688"/>
      <c r="AD82" s="689"/>
      <c r="AE82" s="690"/>
      <c r="AF82" s="689"/>
      <c r="AG82" s="690"/>
      <c r="AH82" s="178"/>
      <c r="AI82" s="179"/>
      <c r="AJ82" s="179"/>
      <c r="AK82" s="179"/>
      <c r="AL82" s="179"/>
      <c r="AM82" s="179"/>
      <c r="AN82" s="179"/>
      <c r="AO82" s="179"/>
      <c r="AP82" s="179"/>
      <c r="AQ82" s="179"/>
      <c r="AR82" s="179"/>
      <c r="AS82" s="179"/>
      <c r="AT82" s="179"/>
      <c r="AU82" s="179"/>
      <c r="AV82" s="179"/>
      <c r="AW82" s="179"/>
      <c r="AX82" s="179"/>
      <c r="AY82" s="179"/>
      <c r="AZ82" s="179"/>
      <c r="BA82" s="180"/>
      <c r="BB82" s="179"/>
      <c r="BC82" s="179"/>
      <c r="BD82" s="179"/>
      <c r="BE82" s="179"/>
      <c r="BF82" s="179"/>
      <c r="BG82" s="43"/>
      <c r="BK82" s="51"/>
      <c r="BL82" s="51"/>
    </row>
    <row r="83" spans="1:64">
      <c r="A83" s="681">
        <v>76</v>
      </c>
      <c r="B83" s="682"/>
      <c r="C83" s="59" t="s">
        <v>817</v>
      </c>
      <c r="D83" s="179"/>
      <c r="E83" s="179"/>
      <c r="F83" s="179"/>
      <c r="G83" s="179"/>
      <c r="H83" s="179"/>
      <c r="I83" s="179"/>
      <c r="J83" s="179"/>
      <c r="K83" s="180"/>
      <c r="L83" s="36"/>
      <c r="M83" s="179"/>
      <c r="N83" s="179"/>
      <c r="O83" s="179"/>
      <c r="P83" s="179"/>
      <c r="Q83" s="179"/>
      <c r="R83" s="179"/>
      <c r="S83" s="179"/>
      <c r="T83" s="179"/>
      <c r="U83" s="683"/>
      <c r="V83" s="682"/>
      <c r="W83" s="684"/>
      <c r="X83" s="685"/>
      <c r="Y83" s="686"/>
      <c r="Z83" s="687"/>
      <c r="AA83" s="687"/>
      <c r="AB83" s="687"/>
      <c r="AC83" s="688"/>
      <c r="AD83" s="689"/>
      <c r="AE83" s="690"/>
      <c r="AF83" s="689"/>
      <c r="AG83" s="690"/>
      <c r="AH83" s="322" t="s">
        <v>818</v>
      </c>
      <c r="AI83" s="179"/>
      <c r="AJ83" s="179"/>
      <c r="AK83" s="179"/>
      <c r="AL83" s="179"/>
      <c r="AM83" s="179"/>
      <c r="AN83" s="179"/>
      <c r="AO83" s="179"/>
      <c r="AP83" s="179"/>
      <c r="AQ83" s="179"/>
      <c r="AR83" s="179"/>
      <c r="AS83" s="179"/>
      <c r="AT83" s="179"/>
      <c r="AU83" s="179"/>
      <c r="AV83" s="179"/>
      <c r="AW83" s="179"/>
      <c r="AX83" s="179"/>
      <c r="AY83" s="179"/>
      <c r="AZ83" s="179"/>
      <c r="BA83" s="180"/>
      <c r="BB83" s="179"/>
      <c r="BC83" s="179"/>
      <c r="BD83" s="179"/>
      <c r="BE83" s="179"/>
      <c r="BF83" s="179"/>
      <c r="BG83" s="43"/>
      <c r="BK83" s="51"/>
      <c r="BL83" s="51"/>
    </row>
    <row r="84" spans="1:64">
      <c r="A84" s="681">
        <v>77</v>
      </c>
      <c r="B84" s="682"/>
      <c r="C84" s="59"/>
      <c r="D84" s="179"/>
      <c r="E84" s="179"/>
      <c r="F84" s="179"/>
      <c r="G84" s="179"/>
      <c r="H84" s="179"/>
      <c r="I84" s="179"/>
      <c r="J84" s="179"/>
      <c r="K84" s="180"/>
      <c r="L84" s="36"/>
      <c r="M84" s="179"/>
      <c r="N84" s="179"/>
      <c r="O84" s="179"/>
      <c r="P84" s="179"/>
      <c r="Q84" s="179"/>
      <c r="R84" s="179"/>
      <c r="S84" s="179"/>
      <c r="T84" s="179"/>
      <c r="U84" s="683"/>
      <c r="V84" s="682"/>
      <c r="W84" s="684"/>
      <c r="X84" s="685"/>
      <c r="Y84" s="686"/>
      <c r="Z84" s="687"/>
      <c r="AA84" s="687"/>
      <c r="AB84" s="687"/>
      <c r="AC84" s="688"/>
      <c r="AD84" s="689"/>
      <c r="AE84" s="690"/>
      <c r="AF84" s="689"/>
      <c r="AG84" s="690"/>
      <c r="AH84" s="178"/>
      <c r="AI84" s="179"/>
      <c r="AJ84" s="179"/>
      <c r="AK84" s="179"/>
      <c r="AL84" s="179"/>
      <c r="AM84" s="179"/>
      <c r="AN84" s="179"/>
      <c r="AO84" s="179"/>
      <c r="AP84" s="179"/>
      <c r="AQ84" s="179"/>
      <c r="AR84" s="179"/>
      <c r="AS84" s="179"/>
      <c r="AT84" s="179"/>
      <c r="AU84" s="179"/>
      <c r="AV84" s="179"/>
      <c r="AW84" s="179"/>
      <c r="AX84" s="179"/>
      <c r="AY84" s="179"/>
      <c r="AZ84" s="179"/>
      <c r="BA84" s="180"/>
      <c r="BB84" s="179"/>
      <c r="BC84" s="179"/>
      <c r="BD84" s="179"/>
      <c r="BE84" s="179"/>
      <c r="BF84" s="179"/>
      <c r="BG84" s="43"/>
      <c r="BK84" s="51"/>
      <c r="BL84" s="51"/>
    </row>
    <row r="85" spans="1:64">
      <c r="A85" s="681">
        <v>78</v>
      </c>
      <c r="B85" s="682"/>
      <c r="C85" s="59"/>
      <c r="D85" s="179"/>
      <c r="E85" s="179"/>
      <c r="F85" s="179"/>
      <c r="G85" s="179"/>
      <c r="H85" s="179"/>
      <c r="I85" s="179"/>
      <c r="J85" s="179"/>
      <c r="K85" s="180"/>
      <c r="L85" s="36"/>
      <c r="M85" s="179"/>
      <c r="N85" s="179"/>
      <c r="O85" s="179"/>
      <c r="P85" s="179"/>
      <c r="Q85" s="179"/>
      <c r="R85" s="179"/>
      <c r="S85" s="179"/>
      <c r="T85" s="179"/>
      <c r="U85" s="683"/>
      <c r="V85" s="682"/>
      <c r="W85" s="684"/>
      <c r="X85" s="685"/>
      <c r="Y85" s="686"/>
      <c r="Z85" s="687"/>
      <c r="AA85" s="687"/>
      <c r="AB85" s="687"/>
      <c r="AC85" s="688"/>
      <c r="AD85" s="689"/>
      <c r="AE85" s="690"/>
      <c r="AF85" s="689"/>
      <c r="AG85" s="690"/>
      <c r="AH85" s="178"/>
      <c r="AI85" s="179"/>
      <c r="AJ85" s="179"/>
      <c r="AK85" s="179"/>
      <c r="AL85" s="179"/>
      <c r="AM85" s="179"/>
      <c r="AN85" s="179"/>
      <c r="AO85" s="179"/>
      <c r="AP85" s="179"/>
      <c r="AQ85" s="179"/>
      <c r="AR85" s="179"/>
      <c r="AS85" s="179"/>
      <c r="AT85" s="179"/>
      <c r="AU85" s="179"/>
      <c r="AV85" s="179"/>
      <c r="AW85" s="179"/>
      <c r="AX85" s="179"/>
      <c r="AY85" s="179"/>
      <c r="AZ85" s="179"/>
      <c r="BA85" s="180"/>
      <c r="BB85" s="179"/>
      <c r="BC85" s="179"/>
      <c r="BD85" s="179"/>
      <c r="BE85" s="179"/>
      <c r="BF85" s="179"/>
      <c r="BG85" s="43"/>
      <c r="BK85" s="51"/>
      <c r="BL85" s="51"/>
    </row>
    <row r="86" spans="1:64">
      <c r="A86" s="681">
        <v>79</v>
      </c>
      <c r="B86" s="682"/>
      <c r="C86" s="59" t="s">
        <v>1384</v>
      </c>
      <c r="D86" s="1"/>
      <c r="E86" s="1"/>
      <c r="F86" s="1"/>
      <c r="G86" s="1"/>
      <c r="H86" s="1"/>
      <c r="I86" s="1"/>
      <c r="J86" s="1"/>
      <c r="K86" s="400"/>
      <c r="L86" s="1"/>
      <c r="M86" s="1"/>
      <c r="N86" s="1"/>
      <c r="O86" s="1"/>
      <c r="P86" s="1"/>
      <c r="Q86" s="1"/>
      <c r="R86" s="1"/>
      <c r="S86" s="1"/>
      <c r="T86" s="1"/>
      <c r="U86" s="683"/>
      <c r="V86" s="682"/>
      <c r="W86" s="684"/>
      <c r="X86" s="685"/>
      <c r="Y86" s="686"/>
      <c r="Z86" s="687"/>
      <c r="AA86" s="687"/>
      <c r="AB86" s="687"/>
      <c r="AC86" s="688"/>
      <c r="AD86" s="689"/>
      <c r="AE86" s="690"/>
      <c r="AF86" s="689"/>
      <c r="AG86" s="690"/>
      <c r="AH86" s="330" t="s">
        <v>1385</v>
      </c>
      <c r="AI86" s="179"/>
      <c r="AJ86" s="179"/>
      <c r="AK86" s="179"/>
      <c r="AL86" s="179"/>
      <c r="AM86" s="179"/>
      <c r="AN86" s="179"/>
      <c r="AO86" s="179"/>
      <c r="AP86" s="179"/>
      <c r="AQ86" s="179"/>
      <c r="AR86" s="179"/>
      <c r="AS86" s="179"/>
      <c r="AT86" s="179"/>
      <c r="AU86" s="179"/>
      <c r="AV86" s="179"/>
      <c r="AW86" s="179"/>
      <c r="AX86" s="179"/>
      <c r="AY86" s="179"/>
      <c r="AZ86" s="179"/>
      <c r="BA86" s="180"/>
      <c r="BB86" s="179"/>
      <c r="BC86" s="179"/>
      <c r="BD86" s="179"/>
      <c r="BE86" s="179"/>
      <c r="BF86" s="179"/>
      <c r="BG86" s="43"/>
      <c r="BK86" s="120"/>
      <c r="BL86" s="52"/>
    </row>
    <row r="87" spans="1:64">
      <c r="A87" s="681">
        <v>80</v>
      </c>
      <c r="B87" s="682"/>
      <c r="C87" s="59"/>
      <c r="D87" s="1"/>
      <c r="E87" s="1"/>
      <c r="F87" s="1"/>
      <c r="G87" s="1"/>
      <c r="H87" s="1"/>
      <c r="I87" s="1"/>
      <c r="J87" s="1"/>
      <c r="K87" s="400"/>
      <c r="L87" s="1"/>
      <c r="M87" s="1"/>
      <c r="N87" s="1"/>
      <c r="O87" s="1"/>
      <c r="P87" s="1"/>
      <c r="Q87" s="1"/>
      <c r="R87" s="1"/>
      <c r="S87" s="1"/>
      <c r="T87" s="1"/>
      <c r="U87" s="683"/>
      <c r="V87" s="682"/>
      <c r="W87" s="684"/>
      <c r="X87" s="685"/>
      <c r="Y87" s="686"/>
      <c r="Z87" s="687"/>
      <c r="AA87" s="687"/>
      <c r="AB87" s="687"/>
      <c r="AC87" s="688"/>
      <c r="AD87" s="689"/>
      <c r="AE87" s="690"/>
      <c r="AF87" s="689"/>
      <c r="AG87" s="690"/>
      <c r="AH87" s="178"/>
      <c r="AI87" s="179"/>
      <c r="AJ87" s="179"/>
      <c r="AK87" s="179"/>
      <c r="AL87" s="179"/>
      <c r="AM87" s="179"/>
      <c r="AN87" s="179"/>
      <c r="AO87" s="179"/>
      <c r="AP87" s="179"/>
      <c r="AQ87" s="179"/>
      <c r="AR87" s="179"/>
      <c r="AS87" s="179"/>
      <c r="AT87" s="179"/>
      <c r="AU87" s="179"/>
      <c r="AV87" s="179"/>
      <c r="AW87" s="179"/>
      <c r="AX87" s="179"/>
      <c r="AY87" s="179"/>
      <c r="AZ87" s="179"/>
      <c r="BA87" s="180"/>
      <c r="BB87" s="179"/>
      <c r="BC87" s="179"/>
      <c r="BD87" s="179"/>
      <c r="BE87" s="179"/>
      <c r="BF87" s="179"/>
      <c r="BG87" s="43"/>
      <c r="BK87" s="120"/>
      <c r="BL87" s="52"/>
    </row>
    <row r="88" spans="1:64">
      <c r="A88" s="681">
        <v>81</v>
      </c>
      <c r="B88" s="682"/>
      <c r="C88" s="59" t="s">
        <v>1386</v>
      </c>
      <c r="D88" s="1"/>
      <c r="E88" s="1"/>
      <c r="F88" s="1"/>
      <c r="G88" s="1"/>
      <c r="H88" s="1"/>
      <c r="I88" s="1"/>
      <c r="J88" s="1"/>
      <c r="K88" s="400"/>
      <c r="L88" s="1"/>
      <c r="M88" s="1"/>
      <c r="N88" s="1"/>
      <c r="O88" s="1"/>
      <c r="P88" s="1"/>
      <c r="Q88" s="1"/>
      <c r="R88" s="1"/>
      <c r="S88" s="1"/>
      <c r="T88" s="1"/>
      <c r="U88" s="683"/>
      <c r="V88" s="682"/>
      <c r="W88" s="684"/>
      <c r="X88" s="685"/>
      <c r="Y88" s="686"/>
      <c r="Z88" s="687"/>
      <c r="AA88" s="687"/>
      <c r="AB88" s="687"/>
      <c r="AC88" s="688"/>
      <c r="AD88" s="689"/>
      <c r="AE88" s="690"/>
      <c r="AF88" s="689"/>
      <c r="AG88" s="690"/>
      <c r="AH88" s="330" t="s">
        <v>1387</v>
      </c>
      <c r="AI88" s="179"/>
      <c r="AJ88" s="179"/>
      <c r="AK88" s="179"/>
      <c r="AL88" s="179"/>
      <c r="AM88" s="179"/>
      <c r="AN88" s="179"/>
      <c r="AO88" s="179"/>
      <c r="AP88" s="179"/>
      <c r="AQ88" s="179"/>
      <c r="AR88" s="179"/>
      <c r="AS88" s="179"/>
      <c r="AT88" s="179"/>
      <c r="AU88" s="179"/>
      <c r="AV88" s="179"/>
      <c r="AW88" s="179"/>
      <c r="AX88" s="179"/>
      <c r="AY88" s="179"/>
      <c r="AZ88" s="179"/>
      <c r="BA88" s="180"/>
      <c r="BB88" s="179"/>
      <c r="BC88" s="179"/>
      <c r="BD88" s="179"/>
      <c r="BE88" s="179"/>
      <c r="BF88" s="179"/>
      <c r="BG88" s="43"/>
      <c r="BK88" s="120"/>
      <c r="BL88" s="52"/>
    </row>
    <row r="89" spans="1:64">
      <c r="A89" s="681">
        <v>82</v>
      </c>
      <c r="B89" s="682"/>
      <c r="C89" s="59"/>
      <c r="D89" s="1"/>
      <c r="E89" s="1"/>
      <c r="F89" s="1"/>
      <c r="G89" s="1"/>
      <c r="H89" s="1"/>
      <c r="I89" s="1"/>
      <c r="J89" s="1"/>
      <c r="K89" s="400"/>
      <c r="L89" s="1"/>
      <c r="M89" s="1"/>
      <c r="N89" s="1"/>
      <c r="O89" s="1"/>
      <c r="P89" s="1"/>
      <c r="Q89" s="1"/>
      <c r="R89" s="1"/>
      <c r="S89" s="1"/>
      <c r="T89" s="1"/>
      <c r="U89" s="683"/>
      <c r="V89" s="682"/>
      <c r="W89" s="684"/>
      <c r="X89" s="685"/>
      <c r="Y89" s="686"/>
      <c r="Z89" s="687"/>
      <c r="AA89" s="687"/>
      <c r="AB89" s="687"/>
      <c r="AC89" s="688"/>
      <c r="AD89" s="689"/>
      <c r="AE89" s="690"/>
      <c r="AF89" s="689"/>
      <c r="AG89" s="690"/>
      <c r="AH89" s="178"/>
      <c r="AI89" s="179"/>
      <c r="AJ89" s="179"/>
      <c r="AK89" s="179"/>
      <c r="AL89" s="179"/>
      <c r="AM89" s="179"/>
      <c r="AN89" s="179"/>
      <c r="AO89" s="179"/>
      <c r="AP89" s="179"/>
      <c r="AQ89" s="179"/>
      <c r="AR89" s="179"/>
      <c r="AS89" s="179"/>
      <c r="AT89" s="179"/>
      <c r="AU89" s="179"/>
      <c r="AV89" s="179"/>
      <c r="AW89" s="179"/>
      <c r="AX89" s="179"/>
      <c r="AY89" s="179"/>
      <c r="AZ89" s="179"/>
      <c r="BA89" s="180"/>
      <c r="BB89" s="179"/>
      <c r="BC89" s="179"/>
      <c r="BD89" s="179"/>
      <c r="BE89" s="179"/>
      <c r="BF89" s="179"/>
      <c r="BG89" s="43"/>
      <c r="BK89" s="120"/>
      <c r="BL89" s="52"/>
    </row>
    <row r="90" spans="1:64">
      <c r="A90" s="681">
        <v>83</v>
      </c>
      <c r="B90" s="682"/>
      <c r="C90" s="59" t="s">
        <v>1388</v>
      </c>
      <c r="D90" s="1"/>
      <c r="E90" s="1"/>
      <c r="F90" s="1"/>
      <c r="G90" s="1"/>
      <c r="H90" s="1"/>
      <c r="I90" s="1"/>
      <c r="J90" s="1"/>
      <c r="K90" s="400"/>
      <c r="L90" s="1"/>
      <c r="M90" s="1"/>
      <c r="N90" s="1"/>
      <c r="O90" s="1"/>
      <c r="P90" s="1"/>
      <c r="Q90" s="1"/>
      <c r="R90" s="1"/>
      <c r="S90" s="1"/>
      <c r="T90" s="1"/>
      <c r="U90" s="683"/>
      <c r="V90" s="682"/>
      <c r="W90" s="684"/>
      <c r="X90" s="685"/>
      <c r="Y90" s="686"/>
      <c r="Z90" s="687"/>
      <c r="AA90" s="687"/>
      <c r="AB90" s="687"/>
      <c r="AC90" s="688"/>
      <c r="AD90" s="689"/>
      <c r="AE90" s="690"/>
      <c r="AF90" s="689"/>
      <c r="AG90" s="690"/>
      <c r="AH90" s="330" t="s">
        <v>1389</v>
      </c>
      <c r="AI90" s="179"/>
      <c r="AJ90" s="179"/>
      <c r="AK90" s="179"/>
      <c r="AL90" s="179"/>
      <c r="AM90" s="179"/>
      <c r="AN90" s="179"/>
      <c r="AO90" s="179"/>
      <c r="AP90" s="179"/>
      <c r="AQ90" s="179"/>
      <c r="AR90" s="179"/>
      <c r="AS90" s="179"/>
      <c r="AT90" s="179"/>
      <c r="AU90" s="179"/>
      <c r="AV90" s="179"/>
      <c r="AW90" s="179"/>
      <c r="AX90" s="179"/>
      <c r="AY90" s="179"/>
      <c r="AZ90" s="179"/>
      <c r="BA90" s="180"/>
      <c r="BB90" s="179"/>
      <c r="BC90" s="179"/>
      <c r="BD90" s="179"/>
      <c r="BE90" s="179"/>
      <c r="BF90" s="179"/>
      <c r="BG90" s="43"/>
      <c r="BK90" s="120"/>
      <c r="BL90" s="52"/>
    </row>
    <row r="91" spans="1:64">
      <c r="A91" s="681">
        <v>84</v>
      </c>
      <c r="B91" s="682"/>
      <c r="C91" s="59"/>
      <c r="D91" s="1"/>
      <c r="E91" s="1"/>
      <c r="F91" s="1"/>
      <c r="G91" s="1"/>
      <c r="H91" s="1"/>
      <c r="I91" s="1"/>
      <c r="J91" s="1"/>
      <c r="K91" s="400"/>
      <c r="L91" s="1"/>
      <c r="M91" s="1"/>
      <c r="N91" s="1"/>
      <c r="O91" s="1"/>
      <c r="P91" s="1"/>
      <c r="Q91" s="1"/>
      <c r="R91" s="1"/>
      <c r="S91" s="1"/>
      <c r="T91" s="1"/>
      <c r="U91" s="683"/>
      <c r="V91" s="682"/>
      <c r="W91" s="684"/>
      <c r="X91" s="685"/>
      <c r="Y91" s="686"/>
      <c r="Z91" s="687"/>
      <c r="AA91" s="687"/>
      <c r="AB91" s="687"/>
      <c r="AC91" s="688"/>
      <c r="AD91" s="689"/>
      <c r="AE91" s="690"/>
      <c r="AF91" s="689"/>
      <c r="AG91" s="690"/>
      <c r="AH91" s="178"/>
      <c r="AI91" s="179"/>
      <c r="AJ91" s="179"/>
      <c r="AK91" s="179"/>
      <c r="AL91" s="179"/>
      <c r="AM91" s="179"/>
      <c r="AN91" s="179"/>
      <c r="AO91" s="179"/>
      <c r="AP91" s="179"/>
      <c r="AQ91" s="179"/>
      <c r="AR91" s="179"/>
      <c r="AS91" s="179"/>
      <c r="AT91" s="179"/>
      <c r="AU91" s="179"/>
      <c r="AV91" s="179"/>
      <c r="AW91" s="179"/>
      <c r="AX91" s="179"/>
      <c r="AY91" s="179"/>
      <c r="AZ91" s="179"/>
      <c r="BA91" s="180"/>
      <c r="BB91" s="179"/>
      <c r="BC91" s="179"/>
      <c r="BD91" s="179"/>
      <c r="BE91" s="179"/>
      <c r="BF91" s="179"/>
      <c r="BG91" s="43"/>
      <c r="BK91" s="120"/>
      <c r="BL91" s="52"/>
    </row>
    <row r="92" spans="1:64" ht="16.2" thickBot="1">
      <c r="A92" s="681">
        <v>85</v>
      </c>
      <c r="B92" s="682"/>
      <c r="C92" s="59" t="s">
        <v>1382</v>
      </c>
      <c r="D92" s="1"/>
      <c r="E92" s="1"/>
      <c r="F92" s="1"/>
      <c r="G92" s="1"/>
      <c r="H92" s="1"/>
      <c r="I92" s="1"/>
      <c r="J92" s="1"/>
      <c r="K92" s="400"/>
      <c r="L92" s="1"/>
      <c r="M92" s="1"/>
      <c r="N92" s="1"/>
      <c r="O92" s="1"/>
      <c r="P92" s="1"/>
      <c r="Q92" s="1"/>
      <c r="R92" s="1"/>
      <c r="S92" s="1"/>
      <c r="T92" s="1"/>
      <c r="U92" s="683"/>
      <c r="V92" s="682"/>
      <c r="W92" s="684"/>
      <c r="X92" s="685"/>
      <c r="Y92" s="686"/>
      <c r="Z92" s="687"/>
      <c r="AA92" s="687"/>
      <c r="AB92" s="687"/>
      <c r="AC92" s="688"/>
      <c r="AD92" s="689"/>
      <c r="AE92" s="690"/>
      <c r="AF92" s="689"/>
      <c r="AG92" s="690"/>
      <c r="AH92" s="330" t="s">
        <v>1390</v>
      </c>
      <c r="AI92" s="179"/>
      <c r="AJ92" s="179"/>
      <c r="AK92" s="179"/>
      <c r="AL92" s="179"/>
      <c r="AM92" s="179"/>
      <c r="AN92" s="179"/>
      <c r="AO92" s="179"/>
      <c r="AP92" s="179"/>
      <c r="AQ92" s="179"/>
      <c r="AR92" s="179"/>
      <c r="AS92" s="179"/>
      <c r="AT92" s="179"/>
      <c r="AU92" s="179"/>
      <c r="AV92" s="179"/>
      <c r="AW92" s="179"/>
      <c r="AX92" s="179"/>
      <c r="AY92" s="179"/>
      <c r="AZ92" s="179"/>
      <c r="BA92" s="180"/>
      <c r="BB92" s="176"/>
      <c r="BC92" s="176"/>
      <c r="BD92" s="176"/>
      <c r="BE92" s="176"/>
      <c r="BF92" s="176"/>
      <c r="BG92" s="47"/>
      <c r="BK92" s="120"/>
      <c r="BL92" s="52"/>
    </row>
    <row r="93" spans="1:64">
      <c r="A93" s="681">
        <v>86</v>
      </c>
      <c r="B93" s="682"/>
      <c r="C93" s="59"/>
      <c r="D93" s="179"/>
      <c r="E93" s="179"/>
      <c r="F93" s="179"/>
      <c r="G93" s="179"/>
      <c r="H93" s="179"/>
      <c r="I93" s="179"/>
      <c r="J93" s="179"/>
      <c r="K93" s="180"/>
      <c r="L93" s="36"/>
      <c r="M93" s="179"/>
      <c r="N93" s="179"/>
      <c r="O93" s="179"/>
      <c r="P93" s="179"/>
      <c r="Q93" s="179"/>
      <c r="R93" s="179"/>
      <c r="S93" s="179"/>
      <c r="T93" s="179"/>
      <c r="U93" s="683"/>
      <c r="V93" s="682"/>
      <c r="W93" s="684"/>
      <c r="X93" s="685"/>
      <c r="Y93" s="686"/>
      <c r="Z93" s="687"/>
      <c r="AA93" s="687"/>
      <c r="AB93" s="687"/>
      <c r="AC93" s="688"/>
      <c r="AD93" s="689"/>
      <c r="AE93" s="690"/>
      <c r="AF93" s="689"/>
      <c r="AG93" s="690"/>
      <c r="AH93" s="178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80"/>
      <c r="BK93" s="120"/>
      <c r="BL93" s="51"/>
    </row>
    <row r="94" spans="1:64">
      <c r="A94" s="681">
        <v>87</v>
      </c>
      <c r="B94" s="682"/>
      <c r="C94" s="59" t="s">
        <v>1553</v>
      </c>
      <c r="D94" s="179"/>
      <c r="E94" s="179"/>
      <c r="F94" s="179"/>
      <c r="G94" s="179"/>
      <c r="H94" s="179"/>
      <c r="I94" s="179"/>
      <c r="J94" s="179"/>
      <c r="K94" s="180"/>
      <c r="L94" s="36"/>
      <c r="M94" s="179"/>
      <c r="N94" s="179"/>
      <c r="O94" s="179"/>
      <c r="P94" s="179"/>
      <c r="Q94" s="179"/>
      <c r="R94" s="179"/>
      <c r="S94" s="179"/>
      <c r="T94" s="179"/>
      <c r="U94" s="683"/>
      <c r="V94" s="682"/>
      <c r="W94" s="684"/>
      <c r="X94" s="685"/>
      <c r="Y94" s="686"/>
      <c r="Z94" s="687"/>
      <c r="AA94" s="687"/>
      <c r="AB94" s="687"/>
      <c r="AC94" s="688"/>
      <c r="AD94" s="689"/>
      <c r="AE94" s="690"/>
      <c r="AF94" s="689"/>
      <c r="AG94" s="690"/>
      <c r="AH94" s="178"/>
      <c r="AI94" s="179"/>
      <c r="AJ94" s="179"/>
      <c r="AK94" s="179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179"/>
      <c r="AX94" s="179"/>
      <c r="AY94" s="179"/>
      <c r="AZ94" s="179"/>
      <c r="BA94" s="180"/>
      <c r="BK94" s="120"/>
      <c r="BL94" s="51"/>
    </row>
    <row r="95" spans="1:64">
      <c r="A95" s="681">
        <v>88</v>
      </c>
      <c r="B95" s="682"/>
      <c r="C95" s="59"/>
      <c r="D95" s="179"/>
      <c r="E95" s="179"/>
      <c r="F95" s="179"/>
      <c r="G95" s="179"/>
      <c r="H95" s="179"/>
      <c r="I95" s="179"/>
      <c r="J95" s="179"/>
      <c r="K95" s="180"/>
      <c r="L95" s="179"/>
      <c r="M95" s="179"/>
      <c r="N95" s="179"/>
      <c r="O95" s="179"/>
      <c r="P95" s="179"/>
      <c r="Q95" s="179"/>
      <c r="R95" s="179"/>
      <c r="S95" s="179"/>
      <c r="T95" s="179"/>
      <c r="U95" s="683"/>
      <c r="V95" s="682"/>
      <c r="W95" s="683"/>
      <c r="X95" s="682"/>
      <c r="Y95" s="689"/>
      <c r="Z95" s="691"/>
      <c r="AA95" s="691"/>
      <c r="AB95" s="691"/>
      <c r="AC95" s="690"/>
      <c r="AD95" s="689"/>
      <c r="AE95" s="690"/>
      <c r="AF95" s="689"/>
      <c r="AG95" s="690"/>
      <c r="AH95" s="178"/>
      <c r="AI95" s="179"/>
      <c r="AJ95" s="179"/>
      <c r="AK95" s="179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179"/>
      <c r="AX95" s="179"/>
      <c r="AY95" s="179"/>
      <c r="AZ95" s="179"/>
      <c r="BA95" s="180"/>
      <c r="BK95" s="120"/>
      <c r="BL95" s="52"/>
    </row>
    <row r="96" spans="1:64">
      <c r="A96" s="681">
        <v>89</v>
      </c>
      <c r="B96" s="682"/>
      <c r="C96" s="59"/>
      <c r="D96" s="179"/>
      <c r="E96" s="179"/>
      <c r="F96" s="179"/>
      <c r="G96" s="179"/>
      <c r="H96" s="179"/>
      <c r="I96" s="179"/>
      <c r="J96" s="179"/>
      <c r="K96" s="180"/>
      <c r="L96" s="179"/>
      <c r="M96" s="179"/>
      <c r="N96" s="179"/>
      <c r="O96" s="179"/>
      <c r="P96" s="179"/>
      <c r="Q96" s="179"/>
      <c r="R96" s="179"/>
      <c r="S96" s="179"/>
      <c r="T96" s="179"/>
      <c r="U96" s="683"/>
      <c r="V96" s="682"/>
      <c r="W96" s="683"/>
      <c r="X96" s="682"/>
      <c r="Y96" s="689"/>
      <c r="Z96" s="691"/>
      <c r="AA96" s="691"/>
      <c r="AB96" s="691"/>
      <c r="AC96" s="690"/>
      <c r="AD96" s="689"/>
      <c r="AE96" s="690"/>
      <c r="AF96" s="689"/>
      <c r="AG96" s="690"/>
      <c r="AH96" s="178"/>
      <c r="AI96" s="179"/>
      <c r="AJ96" s="179"/>
      <c r="AK96" s="179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179"/>
      <c r="AX96" s="179"/>
      <c r="AY96" s="179"/>
      <c r="AZ96" s="179"/>
      <c r="BA96" s="180"/>
      <c r="BK96" s="120"/>
      <c r="BL96" s="52"/>
    </row>
    <row r="97" spans="1:64">
      <c r="A97" s="681">
        <v>90</v>
      </c>
      <c r="B97" s="682"/>
      <c r="C97" s="59"/>
      <c r="D97" s="179"/>
      <c r="E97" s="179"/>
      <c r="F97" s="179"/>
      <c r="G97" s="179"/>
      <c r="H97" s="179"/>
      <c r="I97" s="179"/>
      <c r="J97" s="179"/>
      <c r="K97" s="180"/>
      <c r="L97" s="36"/>
      <c r="M97" s="179"/>
      <c r="N97" s="179"/>
      <c r="O97" s="179"/>
      <c r="P97" s="179"/>
      <c r="Q97" s="179"/>
      <c r="R97" s="179"/>
      <c r="S97" s="179"/>
      <c r="T97" s="179"/>
      <c r="U97" s="683"/>
      <c r="V97" s="682"/>
      <c r="W97" s="684"/>
      <c r="X97" s="685"/>
      <c r="Y97" s="686"/>
      <c r="Z97" s="687"/>
      <c r="AA97" s="687"/>
      <c r="AB97" s="687"/>
      <c r="AC97" s="688"/>
      <c r="AD97" s="689"/>
      <c r="AE97" s="690"/>
      <c r="AF97" s="689"/>
      <c r="AG97" s="690"/>
      <c r="AH97" s="178"/>
      <c r="AI97" s="179"/>
      <c r="AJ97" s="179"/>
      <c r="AK97" s="179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179"/>
      <c r="AX97" s="179"/>
      <c r="AY97" s="179"/>
      <c r="AZ97" s="179"/>
      <c r="BA97" s="180"/>
      <c r="BB97" s="179"/>
      <c r="BC97" s="179"/>
      <c r="BD97" s="179"/>
      <c r="BE97" s="179"/>
      <c r="BF97" s="179"/>
      <c r="BG97" s="43"/>
      <c r="BK97" s="120"/>
      <c r="BL97" s="52"/>
    </row>
    <row r="98" spans="1:64">
      <c r="A98" s="681">
        <v>91</v>
      </c>
      <c r="B98" s="682"/>
      <c r="C98" s="59"/>
      <c r="D98" s="179"/>
      <c r="E98" s="179"/>
      <c r="F98" s="179"/>
      <c r="G98" s="179"/>
      <c r="H98" s="179"/>
      <c r="I98" s="179"/>
      <c r="J98" s="179"/>
      <c r="K98" s="180"/>
      <c r="L98" s="36"/>
      <c r="M98" s="179"/>
      <c r="N98" s="179"/>
      <c r="O98" s="179"/>
      <c r="P98" s="179"/>
      <c r="Q98" s="179"/>
      <c r="R98" s="179"/>
      <c r="S98" s="179"/>
      <c r="T98" s="179"/>
      <c r="U98" s="683"/>
      <c r="V98" s="682"/>
      <c r="W98" s="684"/>
      <c r="X98" s="685"/>
      <c r="Y98" s="686"/>
      <c r="Z98" s="687"/>
      <c r="AA98" s="687"/>
      <c r="AB98" s="687"/>
      <c r="AC98" s="688"/>
      <c r="AD98" s="689"/>
      <c r="AE98" s="690"/>
      <c r="AF98" s="689"/>
      <c r="AG98" s="690"/>
      <c r="AH98" s="178"/>
      <c r="AI98" s="179"/>
      <c r="AJ98" s="179"/>
      <c r="AK98" s="179"/>
      <c r="AL98" s="179"/>
      <c r="AM98" s="179"/>
      <c r="AN98" s="179"/>
      <c r="AO98" s="179"/>
      <c r="AP98" s="179"/>
      <c r="AQ98" s="179"/>
      <c r="AR98" s="179"/>
      <c r="AS98" s="179"/>
      <c r="AT98" s="179"/>
      <c r="AU98" s="179"/>
      <c r="AV98" s="179"/>
      <c r="AW98" s="179"/>
      <c r="AX98" s="179"/>
      <c r="AY98" s="179"/>
      <c r="AZ98" s="179"/>
      <c r="BA98" s="180"/>
      <c r="BB98" s="179"/>
      <c r="BC98" s="179"/>
      <c r="BD98" s="179"/>
      <c r="BE98" s="179"/>
      <c r="BF98" s="179"/>
      <c r="BG98" s="43"/>
      <c r="BK98" s="120"/>
      <c r="BL98" s="52"/>
    </row>
    <row r="99" spans="1:64">
      <c r="A99" s="681">
        <v>92</v>
      </c>
      <c r="B99" s="682"/>
      <c r="C99" s="59"/>
      <c r="D99" s="179"/>
      <c r="E99" s="179"/>
      <c r="F99" s="179"/>
      <c r="G99" s="179"/>
      <c r="H99" s="179"/>
      <c r="I99" s="179"/>
      <c r="J99" s="179"/>
      <c r="K99" s="180"/>
      <c r="L99" s="36"/>
      <c r="M99" s="179"/>
      <c r="N99" s="179"/>
      <c r="O99" s="179"/>
      <c r="P99" s="179"/>
      <c r="Q99" s="179"/>
      <c r="R99" s="179"/>
      <c r="S99" s="179"/>
      <c r="T99" s="179"/>
      <c r="U99" s="683"/>
      <c r="V99" s="682"/>
      <c r="W99" s="684"/>
      <c r="X99" s="685"/>
      <c r="Y99" s="686"/>
      <c r="Z99" s="687"/>
      <c r="AA99" s="687"/>
      <c r="AB99" s="687"/>
      <c r="AC99" s="688"/>
      <c r="AD99" s="689"/>
      <c r="AE99" s="690"/>
      <c r="AF99" s="689"/>
      <c r="AG99" s="690"/>
      <c r="AH99" s="178"/>
      <c r="AI99" s="179"/>
      <c r="AJ99" s="179"/>
      <c r="AK99" s="179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79"/>
      <c r="AW99" s="179"/>
      <c r="AX99" s="179"/>
      <c r="AY99" s="179"/>
      <c r="AZ99" s="179"/>
      <c r="BA99" s="180"/>
      <c r="BB99" s="179"/>
      <c r="BC99" s="179"/>
      <c r="BD99" s="179"/>
      <c r="BE99" s="179"/>
      <c r="BF99" s="179"/>
      <c r="BG99" s="43"/>
      <c r="BK99" s="120"/>
      <c r="BL99" s="52"/>
    </row>
    <row r="100" spans="1:64">
      <c r="A100" s="681">
        <v>93</v>
      </c>
      <c r="B100" s="682"/>
      <c r="C100" s="59"/>
      <c r="D100" s="179"/>
      <c r="E100" s="179"/>
      <c r="F100" s="179"/>
      <c r="G100" s="179"/>
      <c r="H100" s="179"/>
      <c r="I100" s="179"/>
      <c r="J100" s="179"/>
      <c r="K100" s="180"/>
      <c r="L100" s="36"/>
      <c r="M100" s="179"/>
      <c r="N100" s="179"/>
      <c r="O100" s="179"/>
      <c r="P100" s="179"/>
      <c r="Q100" s="179"/>
      <c r="R100" s="179"/>
      <c r="S100" s="179"/>
      <c r="T100" s="179"/>
      <c r="U100" s="683"/>
      <c r="V100" s="682"/>
      <c r="W100" s="684"/>
      <c r="X100" s="685"/>
      <c r="Y100" s="686"/>
      <c r="Z100" s="687"/>
      <c r="AA100" s="687"/>
      <c r="AB100" s="687"/>
      <c r="AC100" s="688"/>
      <c r="AD100" s="689"/>
      <c r="AE100" s="690"/>
      <c r="AF100" s="689"/>
      <c r="AG100" s="690"/>
      <c r="AH100" s="178"/>
      <c r="AI100" s="179"/>
      <c r="AJ100" s="179"/>
      <c r="AK100" s="179"/>
      <c r="AL100" s="179"/>
      <c r="AM100" s="179"/>
      <c r="AN100" s="179"/>
      <c r="AO100" s="179"/>
      <c r="AP100" s="179"/>
      <c r="AQ100" s="179"/>
      <c r="AR100" s="179"/>
      <c r="AS100" s="179"/>
      <c r="AT100" s="179"/>
      <c r="AU100" s="179"/>
      <c r="AV100" s="179"/>
      <c r="AW100" s="179"/>
      <c r="AX100" s="179"/>
      <c r="AY100" s="179"/>
      <c r="AZ100" s="179"/>
      <c r="BA100" s="180"/>
      <c r="BB100" s="179"/>
      <c r="BC100" s="179"/>
      <c r="BD100" s="179"/>
      <c r="BE100" s="179"/>
      <c r="BF100" s="179"/>
      <c r="BG100" s="43"/>
      <c r="BK100" s="120"/>
      <c r="BL100" s="52"/>
    </row>
    <row r="101" spans="1:64">
      <c r="A101" s="681">
        <v>94</v>
      </c>
      <c r="B101" s="682"/>
      <c r="C101" s="59"/>
      <c r="D101" s="179"/>
      <c r="E101" s="179"/>
      <c r="F101" s="179"/>
      <c r="G101" s="179"/>
      <c r="H101" s="179"/>
      <c r="I101" s="179"/>
      <c r="J101" s="179"/>
      <c r="K101" s="180"/>
      <c r="L101" s="36"/>
      <c r="M101" s="179"/>
      <c r="N101" s="179"/>
      <c r="O101" s="179"/>
      <c r="P101" s="179"/>
      <c r="Q101" s="179"/>
      <c r="R101" s="179"/>
      <c r="S101" s="179"/>
      <c r="T101" s="179"/>
      <c r="U101" s="683"/>
      <c r="V101" s="682"/>
      <c r="W101" s="684"/>
      <c r="X101" s="685"/>
      <c r="Y101" s="686"/>
      <c r="Z101" s="687"/>
      <c r="AA101" s="687"/>
      <c r="AB101" s="687"/>
      <c r="AC101" s="688"/>
      <c r="AD101" s="689"/>
      <c r="AE101" s="690"/>
      <c r="AF101" s="689"/>
      <c r="AG101" s="690"/>
      <c r="AH101" s="178"/>
      <c r="AI101" s="179"/>
      <c r="AJ101" s="179"/>
      <c r="AK101" s="179"/>
      <c r="AL101" s="179"/>
      <c r="AM101" s="179"/>
      <c r="AN101" s="179"/>
      <c r="AO101" s="179"/>
      <c r="AP101" s="179"/>
      <c r="AQ101" s="179"/>
      <c r="AR101" s="179"/>
      <c r="AS101" s="179"/>
      <c r="AT101" s="179"/>
      <c r="AU101" s="179"/>
      <c r="AV101" s="179"/>
      <c r="AW101" s="179"/>
      <c r="AX101" s="179"/>
      <c r="AY101" s="179"/>
      <c r="AZ101" s="179"/>
      <c r="BA101" s="180"/>
      <c r="BB101" s="179"/>
      <c r="BC101" s="179"/>
      <c r="BD101" s="179"/>
      <c r="BE101" s="179"/>
      <c r="BF101" s="179"/>
      <c r="BG101" s="43"/>
      <c r="BK101" s="120"/>
      <c r="BL101" s="52"/>
    </row>
    <row r="102" spans="1:64">
      <c r="A102" s="681">
        <v>95</v>
      </c>
      <c r="B102" s="682"/>
      <c r="C102" s="59"/>
      <c r="D102" s="179"/>
      <c r="E102" s="179"/>
      <c r="F102" s="179"/>
      <c r="G102" s="179"/>
      <c r="H102" s="179"/>
      <c r="I102" s="179"/>
      <c r="J102" s="179"/>
      <c r="K102" s="180"/>
      <c r="L102" s="36"/>
      <c r="M102" s="179"/>
      <c r="N102" s="179"/>
      <c r="O102" s="179"/>
      <c r="P102" s="179"/>
      <c r="Q102" s="179"/>
      <c r="R102" s="179"/>
      <c r="S102" s="179"/>
      <c r="T102" s="179"/>
      <c r="U102" s="683"/>
      <c r="V102" s="682"/>
      <c r="W102" s="684"/>
      <c r="X102" s="685"/>
      <c r="Y102" s="686"/>
      <c r="Z102" s="687"/>
      <c r="AA102" s="687"/>
      <c r="AB102" s="687"/>
      <c r="AC102" s="688"/>
      <c r="AD102" s="689"/>
      <c r="AE102" s="690"/>
      <c r="AF102" s="689"/>
      <c r="AG102" s="690"/>
      <c r="AH102" s="178"/>
      <c r="AI102" s="179"/>
      <c r="AJ102" s="179"/>
      <c r="AK102" s="179"/>
      <c r="AL102" s="179"/>
      <c r="AM102" s="179"/>
      <c r="AN102" s="179"/>
      <c r="AO102" s="179"/>
      <c r="AP102" s="179"/>
      <c r="AQ102" s="179"/>
      <c r="AR102" s="179"/>
      <c r="AS102" s="179"/>
      <c r="AT102" s="179"/>
      <c r="AU102" s="179"/>
      <c r="AV102" s="179"/>
      <c r="AW102" s="179"/>
      <c r="AX102" s="179"/>
      <c r="AY102" s="179"/>
      <c r="AZ102" s="179"/>
      <c r="BA102" s="180"/>
      <c r="BB102" s="179"/>
      <c r="BC102" s="179"/>
      <c r="BD102" s="179"/>
      <c r="BE102" s="179"/>
      <c r="BF102" s="179"/>
      <c r="BG102" s="43"/>
      <c r="BK102" s="120"/>
      <c r="BL102" s="51"/>
    </row>
    <row r="103" spans="1:64">
      <c r="A103" s="681">
        <v>96</v>
      </c>
      <c r="B103" s="682"/>
      <c r="C103" s="59"/>
      <c r="D103" s="179"/>
      <c r="E103" s="179"/>
      <c r="F103" s="179"/>
      <c r="G103" s="179"/>
      <c r="H103" s="179"/>
      <c r="I103" s="179"/>
      <c r="J103" s="179"/>
      <c r="K103" s="180"/>
      <c r="L103" s="36"/>
      <c r="M103" s="179"/>
      <c r="N103" s="179"/>
      <c r="O103" s="179"/>
      <c r="P103" s="179"/>
      <c r="Q103" s="179"/>
      <c r="R103" s="179"/>
      <c r="S103" s="179"/>
      <c r="T103" s="179"/>
      <c r="U103" s="683"/>
      <c r="V103" s="682"/>
      <c r="W103" s="684"/>
      <c r="X103" s="685"/>
      <c r="Y103" s="686"/>
      <c r="Z103" s="687"/>
      <c r="AA103" s="687"/>
      <c r="AB103" s="687"/>
      <c r="AC103" s="688"/>
      <c r="AD103" s="689"/>
      <c r="AE103" s="690"/>
      <c r="AF103" s="689"/>
      <c r="AG103" s="690"/>
      <c r="AH103" s="178"/>
      <c r="AI103" s="179"/>
      <c r="AJ103" s="179"/>
      <c r="AK103" s="179"/>
      <c r="AL103" s="179"/>
      <c r="AM103" s="179"/>
      <c r="AN103" s="179"/>
      <c r="AO103" s="179"/>
      <c r="AP103" s="179"/>
      <c r="AQ103" s="179"/>
      <c r="AR103" s="179"/>
      <c r="AS103" s="179"/>
      <c r="AT103" s="179"/>
      <c r="AU103" s="179"/>
      <c r="AV103" s="179"/>
      <c r="AW103" s="179"/>
      <c r="AX103" s="179"/>
      <c r="AY103" s="179"/>
      <c r="AZ103" s="179"/>
      <c r="BA103" s="180"/>
      <c r="BB103" s="179"/>
      <c r="BC103" s="179"/>
      <c r="BD103" s="179"/>
      <c r="BE103" s="179"/>
      <c r="BF103" s="179"/>
      <c r="BG103" s="43"/>
      <c r="BK103" s="120"/>
      <c r="BL103" s="51"/>
    </row>
    <row r="104" spans="1:64">
      <c r="A104" s="681">
        <v>97</v>
      </c>
      <c r="B104" s="682"/>
      <c r="C104" s="59"/>
      <c r="D104" s="179"/>
      <c r="E104" s="179"/>
      <c r="F104" s="179"/>
      <c r="G104" s="179"/>
      <c r="H104" s="179"/>
      <c r="I104" s="179"/>
      <c r="J104" s="179"/>
      <c r="K104" s="180"/>
      <c r="L104" s="36"/>
      <c r="M104" s="179"/>
      <c r="N104" s="179"/>
      <c r="O104" s="179"/>
      <c r="P104" s="179"/>
      <c r="Q104" s="179"/>
      <c r="R104" s="179"/>
      <c r="S104" s="179"/>
      <c r="T104" s="179"/>
      <c r="U104" s="683"/>
      <c r="V104" s="682"/>
      <c r="W104" s="684"/>
      <c r="X104" s="685"/>
      <c r="Y104" s="686"/>
      <c r="Z104" s="687"/>
      <c r="AA104" s="687"/>
      <c r="AB104" s="687"/>
      <c r="AC104" s="688"/>
      <c r="AD104" s="689"/>
      <c r="AE104" s="690"/>
      <c r="AF104" s="689"/>
      <c r="AG104" s="690"/>
      <c r="AH104" s="178"/>
      <c r="AI104" s="179"/>
      <c r="AJ104" s="179"/>
      <c r="AK104" s="179"/>
      <c r="AL104" s="179"/>
      <c r="AM104" s="179"/>
      <c r="AN104" s="179"/>
      <c r="AO104" s="179"/>
      <c r="AP104" s="179"/>
      <c r="AQ104" s="179"/>
      <c r="AR104" s="179"/>
      <c r="AS104" s="179"/>
      <c r="AT104" s="179"/>
      <c r="AU104" s="179"/>
      <c r="AV104" s="179"/>
      <c r="AW104" s="179"/>
      <c r="AX104" s="179"/>
      <c r="AY104" s="179"/>
      <c r="AZ104" s="179"/>
      <c r="BA104" s="180"/>
      <c r="BB104" s="179"/>
      <c r="BC104" s="179"/>
      <c r="BD104" s="179"/>
      <c r="BE104" s="179"/>
      <c r="BF104" s="179"/>
      <c r="BG104" s="43"/>
      <c r="BK104" s="120"/>
      <c r="BL104" s="51"/>
    </row>
    <row r="105" spans="1:64">
      <c r="A105" s="681">
        <v>98</v>
      </c>
      <c r="B105" s="682"/>
      <c r="C105" s="59"/>
      <c r="D105" s="179"/>
      <c r="E105" s="179"/>
      <c r="F105" s="179"/>
      <c r="G105" s="179"/>
      <c r="H105" s="179"/>
      <c r="I105" s="179"/>
      <c r="J105" s="179"/>
      <c r="K105" s="180"/>
      <c r="L105" s="36"/>
      <c r="M105" s="179"/>
      <c r="N105" s="179"/>
      <c r="O105" s="179"/>
      <c r="P105" s="179"/>
      <c r="Q105" s="179"/>
      <c r="R105" s="179"/>
      <c r="S105" s="179"/>
      <c r="T105" s="179"/>
      <c r="U105" s="683"/>
      <c r="V105" s="682"/>
      <c r="W105" s="684"/>
      <c r="X105" s="685"/>
      <c r="Y105" s="686"/>
      <c r="Z105" s="687"/>
      <c r="AA105" s="687"/>
      <c r="AB105" s="687"/>
      <c r="AC105" s="688"/>
      <c r="AD105" s="689"/>
      <c r="AE105" s="690"/>
      <c r="AF105" s="689"/>
      <c r="AG105" s="690"/>
      <c r="AH105" s="178"/>
      <c r="AI105" s="179"/>
      <c r="AJ105" s="179"/>
      <c r="AK105" s="179"/>
      <c r="AL105" s="179"/>
      <c r="AM105" s="179"/>
      <c r="AN105" s="179"/>
      <c r="AO105" s="179"/>
      <c r="AP105" s="179"/>
      <c r="AQ105" s="179"/>
      <c r="AR105" s="179"/>
      <c r="AS105" s="179"/>
      <c r="AT105" s="179"/>
      <c r="AU105" s="179"/>
      <c r="AV105" s="179"/>
      <c r="AW105" s="179"/>
      <c r="AX105" s="179"/>
      <c r="AY105" s="179"/>
      <c r="AZ105" s="179"/>
      <c r="BA105" s="180"/>
      <c r="BB105" s="179"/>
      <c r="BC105" s="179"/>
      <c r="BD105" s="179"/>
      <c r="BE105" s="179"/>
      <c r="BF105" s="179"/>
      <c r="BG105" s="43"/>
      <c r="BK105" s="120"/>
      <c r="BL105" s="52"/>
    </row>
    <row r="106" spans="1:64">
      <c r="A106" s="681">
        <v>99</v>
      </c>
      <c r="B106" s="682"/>
      <c r="C106" s="59"/>
      <c r="D106" s="179"/>
      <c r="E106" s="179"/>
      <c r="F106" s="179"/>
      <c r="G106" s="179"/>
      <c r="H106" s="179"/>
      <c r="I106" s="179"/>
      <c r="J106" s="179"/>
      <c r="K106" s="180"/>
      <c r="L106" s="36"/>
      <c r="M106" s="179"/>
      <c r="N106" s="179"/>
      <c r="O106" s="179"/>
      <c r="P106" s="179"/>
      <c r="Q106" s="179"/>
      <c r="R106" s="179"/>
      <c r="S106" s="179"/>
      <c r="T106" s="179"/>
      <c r="U106" s="683"/>
      <c r="V106" s="682"/>
      <c r="W106" s="684"/>
      <c r="X106" s="685"/>
      <c r="Y106" s="686"/>
      <c r="Z106" s="687"/>
      <c r="AA106" s="687"/>
      <c r="AB106" s="687"/>
      <c r="AC106" s="688"/>
      <c r="AD106" s="689"/>
      <c r="AE106" s="690"/>
      <c r="AF106" s="689"/>
      <c r="AG106" s="690"/>
      <c r="AH106" s="178"/>
      <c r="AI106" s="179"/>
      <c r="AJ106" s="179"/>
      <c r="AK106" s="179"/>
      <c r="AL106" s="179"/>
      <c r="AM106" s="179"/>
      <c r="AN106" s="179"/>
      <c r="AO106" s="179"/>
      <c r="AP106" s="179"/>
      <c r="AQ106" s="179"/>
      <c r="AR106" s="179"/>
      <c r="AS106" s="179"/>
      <c r="AT106" s="179"/>
      <c r="AU106" s="179"/>
      <c r="AV106" s="179"/>
      <c r="AW106" s="179"/>
      <c r="AX106" s="179"/>
      <c r="AY106" s="179"/>
      <c r="AZ106" s="179"/>
      <c r="BA106" s="180"/>
      <c r="BB106" s="179"/>
      <c r="BC106" s="179"/>
      <c r="BD106" s="179"/>
      <c r="BE106" s="179"/>
      <c r="BF106" s="179"/>
      <c r="BG106" s="43"/>
      <c r="BK106" s="120"/>
      <c r="BL106" s="52"/>
    </row>
    <row r="107" spans="1:64">
      <c r="A107" s="681">
        <v>100</v>
      </c>
      <c r="B107" s="682"/>
      <c r="C107" s="59"/>
      <c r="D107" s="179"/>
      <c r="E107" s="179"/>
      <c r="F107" s="179"/>
      <c r="G107" s="179"/>
      <c r="H107" s="179"/>
      <c r="I107" s="179"/>
      <c r="J107" s="179"/>
      <c r="K107" s="180"/>
      <c r="L107" s="36"/>
      <c r="M107" s="179"/>
      <c r="N107" s="179"/>
      <c r="O107" s="179"/>
      <c r="P107" s="179"/>
      <c r="Q107" s="179"/>
      <c r="R107" s="179"/>
      <c r="S107" s="179"/>
      <c r="T107" s="179"/>
      <c r="U107" s="683"/>
      <c r="V107" s="682"/>
      <c r="W107" s="684"/>
      <c r="X107" s="685"/>
      <c r="Y107" s="686"/>
      <c r="Z107" s="687"/>
      <c r="AA107" s="687"/>
      <c r="AB107" s="687"/>
      <c r="AC107" s="688"/>
      <c r="AD107" s="689"/>
      <c r="AE107" s="690"/>
      <c r="AF107" s="689"/>
      <c r="AG107" s="690"/>
      <c r="AH107" s="178"/>
      <c r="AI107" s="179"/>
      <c r="AJ107" s="179"/>
      <c r="AK107" s="179"/>
      <c r="AL107" s="179"/>
      <c r="AM107" s="179"/>
      <c r="AN107" s="179"/>
      <c r="AO107" s="179"/>
      <c r="AP107" s="179"/>
      <c r="AQ107" s="179"/>
      <c r="AR107" s="179"/>
      <c r="AS107" s="179"/>
      <c r="AT107" s="179"/>
      <c r="AU107" s="179"/>
      <c r="AV107" s="179"/>
      <c r="AW107" s="179"/>
      <c r="AX107" s="179"/>
      <c r="AY107" s="179"/>
      <c r="AZ107" s="179"/>
      <c r="BA107" s="180"/>
      <c r="BB107" s="179"/>
      <c r="BC107" s="179"/>
      <c r="BD107" s="179"/>
      <c r="BE107" s="179"/>
      <c r="BF107" s="179"/>
      <c r="BG107" s="43"/>
      <c r="BK107" s="120"/>
      <c r="BL107" s="52"/>
    </row>
    <row r="108" spans="1:64">
      <c r="A108" s="681">
        <v>101</v>
      </c>
      <c r="B108" s="682"/>
      <c r="C108" s="59"/>
      <c r="D108" s="179"/>
      <c r="E108" s="179"/>
      <c r="F108" s="179"/>
      <c r="G108" s="179"/>
      <c r="H108" s="179"/>
      <c r="I108" s="179"/>
      <c r="J108" s="179"/>
      <c r="K108" s="180"/>
      <c r="L108" s="36"/>
      <c r="M108" s="179"/>
      <c r="N108" s="179"/>
      <c r="O108" s="179"/>
      <c r="P108" s="179"/>
      <c r="Q108" s="179"/>
      <c r="R108" s="179"/>
      <c r="S108" s="179"/>
      <c r="T108" s="179"/>
      <c r="U108" s="683"/>
      <c r="V108" s="682"/>
      <c r="W108" s="684"/>
      <c r="X108" s="685"/>
      <c r="Y108" s="686"/>
      <c r="Z108" s="687"/>
      <c r="AA108" s="687"/>
      <c r="AB108" s="687"/>
      <c r="AC108" s="688"/>
      <c r="AD108" s="689"/>
      <c r="AE108" s="690"/>
      <c r="AF108" s="689"/>
      <c r="AG108" s="690"/>
      <c r="AH108" s="178"/>
      <c r="AI108" s="179"/>
      <c r="AJ108" s="179"/>
      <c r="AK108" s="179"/>
      <c r="AL108" s="179"/>
      <c r="AM108" s="179"/>
      <c r="AN108" s="179"/>
      <c r="AO108" s="179"/>
      <c r="AP108" s="179"/>
      <c r="AQ108" s="179"/>
      <c r="AR108" s="179"/>
      <c r="AS108" s="179"/>
      <c r="AT108" s="179"/>
      <c r="AU108" s="179"/>
      <c r="AV108" s="179"/>
      <c r="AW108" s="179"/>
      <c r="AX108" s="179"/>
      <c r="AY108" s="179"/>
      <c r="AZ108" s="179"/>
      <c r="BA108" s="180"/>
      <c r="BB108" s="179"/>
      <c r="BC108" s="179"/>
      <c r="BD108" s="179"/>
      <c r="BE108" s="179"/>
      <c r="BF108" s="179"/>
      <c r="BG108" s="43"/>
      <c r="BK108" s="120"/>
      <c r="BL108" s="52"/>
    </row>
    <row r="109" spans="1:64">
      <c r="A109" s="681">
        <v>102</v>
      </c>
      <c r="B109" s="682"/>
      <c r="C109" s="59"/>
      <c r="D109" s="179"/>
      <c r="E109" s="179"/>
      <c r="F109" s="179"/>
      <c r="G109" s="179"/>
      <c r="H109" s="179"/>
      <c r="I109" s="179"/>
      <c r="J109" s="179"/>
      <c r="K109" s="180"/>
      <c r="L109" s="36"/>
      <c r="M109" s="179"/>
      <c r="N109" s="179"/>
      <c r="O109" s="179"/>
      <c r="P109" s="179"/>
      <c r="Q109" s="179"/>
      <c r="R109" s="179"/>
      <c r="S109" s="179"/>
      <c r="T109" s="179"/>
      <c r="U109" s="683"/>
      <c r="V109" s="682"/>
      <c r="W109" s="684"/>
      <c r="X109" s="685"/>
      <c r="Y109" s="686"/>
      <c r="Z109" s="687"/>
      <c r="AA109" s="687"/>
      <c r="AB109" s="687"/>
      <c r="AC109" s="688"/>
      <c r="AD109" s="689"/>
      <c r="AE109" s="690"/>
      <c r="AF109" s="689"/>
      <c r="AG109" s="690"/>
      <c r="AH109" s="178"/>
      <c r="AI109" s="179"/>
      <c r="AJ109" s="179"/>
      <c r="AK109" s="179"/>
      <c r="AL109" s="179"/>
      <c r="AM109" s="179"/>
      <c r="AN109" s="179"/>
      <c r="AO109" s="179"/>
      <c r="AP109" s="179"/>
      <c r="AQ109" s="179"/>
      <c r="AR109" s="179"/>
      <c r="AS109" s="179"/>
      <c r="AT109" s="179"/>
      <c r="AU109" s="179"/>
      <c r="AV109" s="179"/>
      <c r="AW109" s="179"/>
      <c r="AX109" s="179"/>
      <c r="AY109" s="179"/>
      <c r="AZ109" s="179"/>
      <c r="BA109" s="180"/>
      <c r="BB109" s="179"/>
      <c r="BC109" s="179"/>
      <c r="BD109" s="179"/>
      <c r="BE109" s="179"/>
      <c r="BF109" s="179"/>
      <c r="BG109" s="43"/>
      <c r="BK109" s="120"/>
      <c r="BL109" s="52"/>
    </row>
    <row r="110" spans="1:64">
      <c r="A110" s="681">
        <v>103</v>
      </c>
      <c r="B110" s="682"/>
      <c r="C110" s="59"/>
      <c r="D110" s="179"/>
      <c r="E110" s="179"/>
      <c r="F110" s="179"/>
      <c r="G110" s="179"/>
      <c r="H110" s="179"/>
      <c r="I110" s="179"/>
      <c r="J110" s="179"/>
      <c r="K110" s="180"/>
      <c r="L110" s="36"/>
      <c r="M110" s="179"/>
      <c r="N110" s="179"/>
      <c r="O110" s="179"/>
      <c r="P110" s="179"/>
      <c r="Q110" s="179"/>
      <c r="R110" s="179"/>
      <c r="S110" s="179"/>
      <c r="T110" s="179"/>
      <c r="U110" s="683"/>
      <c r="V110" s="682"/>
      <c r="W110" s="684"/>
      <c r="X110" s="685"/>
      <c r="Y110" s="686"/>
      <c r="Z110" s="687"/>
      <c r="AA110" s="687"/>
      <c r="AB110" s="687"/>
      <c r="AC110" s="688"/>
      <c r="AD110" s="689"/>
      <c r="AE110" s="690"/>
      <c r="AF110" s="689"/>
      <c r="AG110" s="690"/>
      <c r="AH110" s="178"/>
      <c r="AI110" s="179"/>
      <c r="AJ110" s="179"/>
      <c r="AK110" s="179"/>
      <c r="AL110" s="179"/>
      <c r="AM110" s="179"/>
      <c r="AN110" s="179"/>
      <c r="AO110" s="179"/>
      <c r="AP110" s="179"/>
      <c r="AQ110" s="179"/>
      <c r="AR110" s="179"/>
      <c r="AS110" s="179"/>
      <c r="AT110" s="179"/>
      <c r="AU110" s="179"/>
      <c r="AV110" s="179"/>
      <c r="AW110" s="179"/>
      <c r="AX110" s="179"/>
      <c r="AY110" s="179"/>
      <c r="AZ110" s="179"/>
      <c r="BA110" s="180"/>
      <c r="BB110" s="179"/>
      <c r="BC110" s="179"/>
      <c r="BD110" s="179"/>
      <c r="BE110" s="179"/>
      <c r="BF110" s="179"/>
      <c r="BG110" s="43"/>
      <c r="BK110" s="120"/>
      <c r="BL110" s="52"/>
    </row>
    <row r="111" spans="1:64">
      <c r="A111" s="681">
        <v>104</v>
      </c>
      <c r="B111" s="682"/>
      <c r="C111" s="59"/>
      <c r="D111" s="179"/>
      <c r="E111" s="179"/>
      <c r="F111" s="179"/>
      <c r="G111" s="179"/>
      <c r="H111" s="179"/>
      <c r="I111" s="179"/>
      <c r="J111" s="179"/>
      <c r="K111" s="180"/>
      <c r="L111" s="36"/>
      <c r="M111" s="179"/>
      <c r="N111" s="179"/>
      <c r="O111" s="179"/>
      <c r="P111" s="179"/>
      <c r="Q111" s="179"/>
      <c r="R111" s="179"/>
      <c r="S111" s="179"/>
      <c r="T111" s="179"/>
      <c r="U111" s="683"/>
      <c r="V111" s="682"/>
      <c r="W111" s="684"/>
      <c r="X111" s="685"/>
      <c r="Y111" s="686"/>
      <c r="Z111" s="687"/>
      <c r="AA111" s="687"/>
      <c r="AB111" s="687"/>
      <c r="AC111" s="688"/>
      <c r="AD111" s="689"/>
      <c r="AE111" s="690"/>
      <c r="AF111" s="689"/>
      <c r="AG111" s="690"/>
      <c r="AH111" s="178"/>
      <c r="AI111" s="179"/>
      <c r="AJ111" s="179"/>
      <c r="AK111" s="179"/>
      <c r="AL111" s="179"/>
      <c r="AM111" s="179"/>
      <c r="AN111" s="179"/>
      <c r="AO111" s="179"/>
      <c r="AP111" s="179"/>
      <c r="AQ111" s="179"/>
      <c r="AR111" s="179"/>
      <c r="AS111" s="179"/>
      <c r="AT111" s="179"/>
      <c r="AU111" s="179"/>
      <c r="AV111" s="179"/>
      <c r="AW111" s="179"/>
      <c r="AX111" s="179"/>
      <c r="AY111" s="179"/>
      <c r="AZ111" s="179"/>
      <c r="BA111" s="180"/>
      <c r="BB111" s="179"/>
      <c r="BC111" s="179"/>
      <c r="BD111" s="179"/>
      <c r="BE111" s="179"/>
      <c r="BF111" s="179"/>
      <c r="BG111" s="43"/>
      <c r="BK111" s="120"/>
      <c r="BL111" s="52"/>
    </row>
    <row r="112" spans="1:64">
      <c r="A112" s="681">
        <v>105</v>
      </c>
      <c r="B112" s="682"/>
      <c r="C112" s="59"/>
      <c r="D112" s="179"/>
      <c r="E112" s="179"/>
      <c r="F112" s="179"/>
      <c r="G112" s="179"/>
      <c r="H112" s="179"/>
      <c r="I112" s="179"/>
      <c r="J112" s="179"/>
      <c r="K112" s="180"/>
      <c r="L112" s="36"/>
      <c r="M112" s="179"/>
      <c r="N112" s="179"/>
      <c r="O112" s="179"/>
      <c r="P112" s="179"/>
      <c r="Q112" s="179"/>
      <c r="R112" s="179"/>
      <c r="S112" s="179"/>
      <c r="T112" s="179"/>
      <c r="U112" s="683"/>
      <c r="V112" s="682"/>
      <c r="W112" s="684"/>
      <c r="X112" s="685"/>
      <c r="Y112" s="686"/>
      <c r="Z112" s="687"/>
      <c r="AA112" s="687"/>
      <c r="AB112" s="687"/>
      <c r="AC112" s="688"/>
      <c r="AD112" s="689"/>
      <c r="AE112" s="690"/>
      <c r="AF112" s="689"/>
      <c r="AG112" s="690"/>
      <c r="AH112" s="178"/>
      <c r="AI112" s="179"/>
      <c r="AJ112" s="179"/>
      <c r="AK112" s="179"/>
      <c r="AL112" s="179"/>
      <c r="AM112" s="179"/>
      <c r="AN112" s="179"/>
      <c r="AO112" s="179"/>
      <c r="AP112" s="179"/>
      <c r="AQ112" s="179"/>
      <c r="AR112" s="179"/>
      <c r="AS112" s="179"/>
      <c r="AT112" s="179"/>
      <c r="AU112" s="179"/>
      <c r="AV112" s="179"/>
      <c r="AW112" s="179"/>
      <c r="AX112" s="179"/>
      <c r="AY112" s="179"/>
      <c r="AZ112" s="179"/>
      <c r="BA112" s="180"/>
      <c r="BB112" s="179"/>
      <c r="BC112" s="179"/>
      <c r="BD112" s="179"/>
      <c r="BE112" s="179"/>
      <c r="BF112" s="179"/>
      <c r="BG112" s="43"/>
      <c r="BK112" s="120"/>
      <c r="BL112" s="52"/>
    </row>
    <row r="113" spans="1:64">
      <c r="A113" s="681">
        <v>106</v>
      </c>
      <c r="B113" s="682"/>
      <c r="C113" s="59"/>
      <c r="D113" s="179"/>
      <c r="E113" s="179"/>
      <c r="F113" s="179"/>
      <c r="G113" s="179"/>
      <c r="H113" s="179"/>
      <c r="I113" s="179"/>
      <c r="J113" s="179"/>
      <c r="K113" s="180"/>
      <c r="L113" s="36"/>
      <c r="M113" s="179"/>
      <c r="N113" s="179"/>
      <c r="O113" s="179"/>
      <c r="P113" s="179"/>
      <c r="Q113" s="179"/>
      <c r="R113" s="179"/>
      <c r="S113" s="179"/>
      <c r="T113" s="179"/>
      <c r="U113" s="683"/>
      <c r="V113" s="682"/>
      <c r="W113" s="684"/>
      <c r="X113" s="685"/>
      <c r="Y113" s="686"/>
      <c r="Z113" s="687"/>
      <c r="AA113" s="687"/>
      <c r="AB113" s="687"/>
      <c r="AC113" s="688"/>
      <c r="AD113" s="689"/>
      <c r="AE113" s="690"/>
      <c r="AF113" s="689"/>
      <c r="AG113" s="690"/>
      <c r="AH113" s="178"/>
      <c r="AI113" s="179"/>
      <c r="AJ113" s="179"/>
      <c r="AK113" s="179"/>
      <c r="AL113" s="179"/>
      <c r="AM113" s="179"/>
      <c r="AN113" s="179"/>
      <c r="AO113" s="179"/>
      <c r="AP113" s="179"/>
      <c r="AQ113" s="179"/>
      <c r="AR113" s="179"/>
      <c r="AS113" s="179"/>
      <c r="AT113" s="179"/>
      <c r="AU113" s="179"/>
      <c r="AV113" s="179"/>
      <c r="AW113" s="179"/>
      <c r="AX113" s="179"/>
      <c r="AY113" s="179"/>
      <c r="AZ113" s="179"/>
      <c r="BA113" s="180"/>
      <c r="BB113" s="179"/>
      <c r="BC113" s="179"/>
      <c r="BD113" s="179"/>
      <c r="BE113" s="179"/>
      <c r="BF113" s="179"/>
      <c r="BG113" s="43"/>
      <c r="BK113" s="120"/>
      <c r="BL113" s="52"/>
    </row>
    <row r="114" spans="1:64">
      <c r="A114" s="681">
        <v>107</v>
      </c>
      <c r="B114" s="682"/>
      <c r="C114" s="59"/>
      <c r="D114" s="179"/>
      <c r="E114" s="179"/>
      <c r="F114" s="179"/>
      <c r="G114" s="179"/>
      <c r="H114" s="179"/>
      <c r="I114" s="179"/>
      <c r="J114" s="179"/>
      <c r="K114" s="180"/>
      <c r="L114" s="36"/>
      <c r="M114" s="179"/>
      <c r="N114" s="179"/>
      <c r="O114" s="179"/>
      <c r="P114" s="179"/>
      <c r="Q114" s="179"/>
      <c r="R114" s="179"/>
      <c r="S114" s="179"/>
      <c r="T114" s="179"/>
      <c r="U114" s="683"/>
      <c r="V114" s="682"/>
      <c r="W114" s="684"/>
      <c r="X114" s="685"/>
      <c r="Y114" s="686"/>
      <c r="Z114" s="687"/>
      <c r="AA114" s="687"/>
      <c r="AB114" s="687"/>
      <c r="AC114" s="688"/>
      <c r="AD114" s="689"/>
      <c r="AE114" s="690"/>
      <c r="AF114" s="689"/>
      <c r="AG114" s="690"/>
      <c r="AH114" s="178"/>
      <c r="AI114" s="179"/>
      <c r="AJ114" s="179"/>
      <c r="AK114" s="179"/>
      <c r="AL114" s="179"/>
      <c r="AM114" s="179"/>
      <c r="AN114" s="179"/>
      <c r="AO114" s="179"/>
      <c r="AP114" s="179"/>
      <c r="AQ114" s="179"/>
      <c r="AR114" s="179"/>
      <c r="AS114" s="179"/>
      <c r="AT114" s="179"/>
      <c r="AU114" s="179"/>
      <c r="AV114" s="179"/>
      <c r="AW114" s="179"/>
      <c r="AX114" s="179"/>
      <c r="AY114" s="179"/>
      <c r="AZ114" s="179"/>
      <c r="BA114" s="180"/>
      <c r="BB114" s="179"/>
      <c r="BC114" s="179"/>
      <c r="BD114" s="179"/>
      <c r="BE114" s="179"/>
      <c r="BF114" s="179"/>
      <c r="BG114" s="43"/>
      <c r="BK114" s="120"/>
      <c r="BL114" s="52"/>
    </row>
    <row r="115" spans="1:64">
      <c r="A115" s="681">
        <v>108</v>
      </c>
      <c r="B115" s="682"/>
      <c r="C115" s="59"/>
      <c r="D115" s="179"/>
      <c r="E115" s="179"/>
      <c r="F115" s="179"/>
      <c r="G115" s="179"/>
      <c r="H115" s="179"/>
      <c r="I115" s="179"/>
      <c r="J115" s="179"/>
      <c r="K115" s="180"/>
      <c r="L115" s="36"/>
      <c r="M115" s="179"/>
      <c r="N115" s="179"/>
      <c r="O115" s="179"/>
      <c r="P115" s="179"/>
      <c r="Q115" s="179"/>
      <c r="R115" s="179"/>
      <c r="S115" s="179"/>
      <c r="T115" s="179"/>
      <c r="U115" s="683"/>
      <c r="V115" s="682"/>
      <c r="W115" s="684"/>
      <c r="X115" s="685"/>
      <c r="Y115" s="686"/>
      <c r="Z115" s="687"/>
      <c r="AA115" s="687"/>
      <c r="AB115" s="687"/>
      <c r="AC115" s="688"/>
      <c r="AD115" s="689"/>
      <c r="AE115" s="690"/>
      <c r="AF115" s="689"/>
      <c r="AG115" s="690"/>
      <c r="AH115" s="178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80"/>
      <c r="BB115" s="179"/>
      <c r="BC115" s="179"/>
      <c r="BD115" s="179"/>
      <c r="BE115" s="179"/>
      <c r="BF115" s="179"/>
      <c r="BG115" s="43"/>
      <c r="BK115" s="120"/>
      <c r="BL115" s="52"/>
    </row>
    <row r="116" spans="1:64">
      <c r="A116" s="681">
        <v>109</v>
      </c>
      <c r="B116" s="682"/>
      <c r="C116" s="59"/>
      <c r="D116" s="179"/>
      <c r="E116" s="179"/>
      <c r="F116" s="179"/>
      <c r="G116" s="179"/>
      <c r="H116" s="179"/>
      <c r="I116" s="179"/>
      <c r="J116" s="179"/>
      <c r="K116" s="180"/>
      <c r="L116" s="36"/>
      <c r="M116" s="179"/>
      <c r="N116" s="179"/>
      <c r="O116" s="179"/>
      <c r="P116" s="179"/>
      <c r="Q116" s="179"/>
      <c r="R116" s="179"/>
      <c r="S116" s="179"/>
      <c r="T116" s="179"/>
      <c r="U116" s="683"/>
      <c r="V116" s="682"/>
      <c r="W116" s="684"/>
      <c r="X116" s="685"/>
      <c r="Y116" s="686"/>
      <c r="Z116" s="687"/>
      <c r="AA116" s="687"/>
      <c r="AB116" s="687"/>
      <c r="AC116" s="688"/>
      <c r="AD116" s="689"/>
      <c r="AE116" s="690"/>
      <c r="AF116" s="689"/>
      <c r="AG116" s="690"/>
      <c r="AH116" s="178"/>
      <c r="AI116" s="179"/>
      <c r="AJ116" s="179"/>
      <c r="AK116" s="179"/>
      <c r="AL116" s="179"/>
      <c r="AM116" s="179"/>
      <c r="AN116" s="179"/>
      <c r="AO116" s="179"/>
      <c r="AP116" s="179"/>
      <c r="AQ116" s="179"/>
      <c r="AR116" s="179"/>
      <c r="AS116" s="179"/>
      <c r="AT116" s="179"/>
      <c r="AU116" s="179"/>
      <c r="AV116" s="179"/>
      <c r="AW116" s="179"/>
      <c r="AX116" s="179"/>
      <c r="AY116" s="179"/>
      <c r="AZ116" s="179"/>
      <c r="BA116" s="180"/>
      <c r="BB116" s="179"/>
      <c r="BC116" s="179"/>
      <c r="BD116" s="179"/>
      <c r="BE116" s="179"/>
      <c r="BF116" s="179"/>
      <c r="BG116" s="43"/>
      <c r="BK116" s="120"/>
      <c r="BL116" s="52"/>
    </row>
    <row r="117" spans="1:64" ht="16.2" thickBot="1">
      <c r="A117" s="681">
        <v>110</v>
      </c>
      <c r="B117" s="682"/>
      <c r="C117" s="59"/>
      <c r="D117" s="179"/>
      <c r="E117" s="179"/>
      <c r="F117" s="179"/>
      <c r="G117" s="179"/>
      <c r="H117" s="179"/>
      <c r="I117" s="179"/>
      <c r="J117" s="179"/>
      <c r="K117" s="180"/>
      <c r="L117" s="36"/>
      <c r="M117" s="179"/>
      <c r="N117" s="179"/>
      <c r="O117" s="179"/>
      <c r="P117" s="179"/>
      <c r="Q117" s="179"/>
      <c r="R117" s="179"/>
      <c r="S117" s="179"/>
      <c r="T117" s="179"/>
      <c r="U117" s="683"/>
      <c r="V117" s="682"/>
      <c r="W117" s="684"/>
      <c r="X117" s="685"/>
      <c r="Y117" s="686"/>
      <c r="Z117" s="687"/>
      <c r="AA117" s="687"/>
      <c r="AB117" s="687"/>
      <c r="AC117" s="688"/>
      <c r="AD117" s="689"/>
      <c r="AE117" s="690"/>
      <c r="AF117" s="689"/>
      <c r="AG117" s="690"/>
      <c r="AH117" s="178"/>
      <c r="AI117" s="179"/>
      <c r="AJ117" s="179"/>
      <c r="AK117" s="179"/>
      <c r="AL117" s="179"/>
      <c r="AM117" s="179"/>
      <c r="AN117" s="179"/>
      <c r="AO117" s="179"/>
      <c r="AP117" s="179"/>
      <c r="AQ117" s="179"/>
      <c r="AR117" s="179"/>
      <c r="AS117" s="179"/>
      <c r="AT117" s="179"/>
      <c r="AU117" s="179"/>
      <c r="AV117" s="179"/>
      <c r="AW117" s="179"/>
      <c r="AX117" s="179"/>
      <c r="AY117" s="179"/>
      <c r="AZ117" s="179"/>
      <c r="BA117" s="180"/>
      <c r="BB117" s="176"/>
      <c r="BC117" s="176"/>
      <c r="BD117" s="176"/>
      <c r="BE117" s="176"/>
      <c r="BF117" s="176"/>
      <c r="BG117" s="47"/>
      <c r="BK117" s="120"/>
      <c r="BL117" s="52"/>
    </row>
    <row r="118" spans="1:64">
      <c r="A118" s="681">
        <v>111</v>
      </c>
      <c r="B118" s="682"/>
      <c r="C118" s="59"/>
      <c r="D118" s="179"/>
      <c r="E118" s="179"/>
      <c r="F118" s="179"/>
      <c r="G118" s="179"/>
      <c r="H118" s="179"/>
      <c r="I118" s="179"/>
      <c r="J118" s="179"/>
      <c r="K118" s="180"/>
      <c r="L118" s="36"/>
      <c r="M118" s="179"/>
      <c r="N118" s="179"/>
      <c r="O118" s="179"/>
      <c r="P118" s="179"/>
      <c r="Q118" s="179"/>
      <c r="R118" s="179"/>
      <c r="S118" s="179"/>
      <c r="T118" s="179"/>
      <c r="U118" s="683"/>
      <c r="V118" s="682"/>
      <c r="W118" s="684"/>
      <c r="X118" s="685"/>
      <c r="Y118" s="686"/>
      <c r="Z118" s="687"/>
      <c r="AA118" s="687"/>
      <c r="AB118" s="687"/>
      <c r="AC118" s="688"/>
      <c r="AD118" s="689"/>
      <c r="AE118" s="690"/>
      <c r="AF118" s="689"/>
      <c r="AG118" s="690"/>
      <c r="AH118" s="178"/>
      <c r="AI118" s="179"/>
      <c r="AJ118" s="179"/>
      <c r="AK118" s="179"/>
      <c r="AL118" s="179"/>
      <c r="AM118" s="179"/>
      <c r="AN118" s="179"/>
      <c r="AO118" s="179"/>
      <c r="AP118" s="179"/>
      <c r="AQ118" s="179"/>
      <c r="AR118" s="179"/>
      <c r="AS118" s="179"/>
      <c r="AT118" s="179"/>
      <c r="AU118" s="179"/>
      <c r="AV118" s="179"/>
      <c r="AW118" s="179"/>
      <c r="AX118" s="179"/>
      <c r="AY118" s="179"/>
      <c r="AZ118" s="179"/>
      <c r="BA118" s="180"/>
      <c r="BK118" s="120"/>
      <c r="BL118" s="52"/>
    </row>
    <row r="119" spans="1:64">
      <c r="A119" s="681">
        <v>112</v>
      </c>
      <c r="B119" s="682"/>
      <c r="C119" s="59"/>
      <c r="D119" s="179"/>
      <c r="E119" s="179"/>
      <c r="F119" s="179"/>
      <c r="G119" s="179"/>
      <c r="H119" s="179"/>
      <c r="I119" s="179"/>
      <c r="J119" s="179"/>
      <c r="K119" s="180"/>
      <c r="L119" s="36"/>
      <c r="M119" s="179"/>
      <c r="N119" s="179"/>
      <c r="O119" s="179"/>
      <c r="P119" s="179"/>
      <c r="Q119" s="179"/>
      <c r="R119" s="179"/>
      <c r="S119" s="179"/>
      <c r="T119" s="179"/>
      <c r="U119" s="683"/>
      <c r="V119" s="682"/>
      <c r="W119" s="684"/>
      <c r="X119" s="685"/>
      <c r="Y119" s="686"/>
      <c r="Z119" s="687"/>
      <c r="AA119" s="687"/>
      <c r="AB119" s="687"/>
      <c r="AC119" s="688"/>
      <c r="AD119" s="689"/>
      <c r="AE119" s="690"/>
      <c r="AF119" s="689"/>
      <c r="AG119" s="690"/>
      <c r="AH119" s="178"/>
      <c r="AI119" s="179"/>
      <c r="AJ119" s="179"/>
      <c r="AK119" s="179"/>
      <c r="AL119" s="179"/>
      <c r="AM119" s="179"/>
      <c r="AN119" s="179"/>
      <c r="AO119" s="179"/>
      <c r="AP119" s="179"/>
      <c r="AQ119" s="179"/>
      <c r="AR119" s="179"/>
      <c r="AS119" s="179"/>
      <c r="AT119" s="179"/>
      <c r="AU119" s="179"/>
      <c r="AV119" s="179"/>
      <c r="AW119" s="179"/>
      <c r="AX119" s="179"/>
      <c r="AY119" s="179"/>
      <c r="AZ119" s="179"/>
      <c r="BA119" s="180"/>
      <c r="BK119" s="120"/>
      <c r="BL119" s="52"/>
    </row>
    <row r="120" spans="1:64">
      <c r="A120" s="681">
        <v>113</v>
      </c>
      <c r="B120" s="682"/>
      <c r="C120" s="59"/>
      <c r="D120" s="179"/>
      <c r="E120" s="179"/>
      <c r="F120" s="179"/>
      <c r="G120" s="179"/>
      <c r="H120" s="179"/>
      <c r="I120" s="179"/>
      <c r="J120" s="179"/>
      <c r="K120" s="180"/>
      <c r="L120" s="179"/>
      <c r="M120" s="179"/>
      <c r="N120" s="179"/>
      <c r="O120" s="179"/>
      <c r="P120" s="179"/>
      <c r="Q120" s="179"/>
      <c r="R120" s="179"/>
      <c r="S120" s="179"/>
      <c r="T120" s="179"/>
      <c r="U120" s="683"/>
      <c r="V120" s="682"/>
      <c r="W120" s="683"/>
      <c r="X120" s="682"/>
      <c r="Y120" s="689"/>
      <c r="Z120" s="691"/>
      <c r="AA120" s="691"/>
      <c r="AB120" s="691"/>
      <c r="AC120" s="690"/>
      <c r="AD120" s="689"/>
      <c r="AE120" s="690"/>
      <c r="AF120" s="689"/>
      <c r="AG120" s="690"/>
      <c r="AH120" s="178"/>
      <c r="AI120" s="179"/>
      <c r="AJ120" s="179"/>
      <c r="AK120" s="179"/>
      <c r="AL120" s="179"/>
      <c r="AM120" s="179"/>
      <c r="AN120" s="179"/>
      <c r="AO120" s="179"/>
      <c r="AP120" s="179"/>
      <c r="AQ120" s="179"/>
      <c r="AR120" s="179"/>
      <c r="AS120" s="179"/>
      <c r="AT120" s="179"/>
      <c r="AU120" s="179"/>
      <c r="AV120" s="179"/>
      <c r="AW120" s="179"/>
      <c r="AX120" s="179"/>
      <c r="AY120" s="179"/>
      <c r="AZ120" s="179"/>
      <c r="BA120" s="180"/>
      <c r="BK120" s="120"/>
      <c r="BL120" s="52"/>
    </row>
    <row r="121" spans="1:64">
      <c r="A121" s="681">
        <v>114</v>
      </c>
      <c r="B121" s="682"/>
      <c r="C121" s="59"/>
      <c r="D121" s="179"/>
      <c r="E121" s="179"/>
      <c r="F121" s="179"/>
      <c r="G121" s="179"/>
      <c r="H121" s="179"/>
      <c r="I121" s="179"/>
      <c r="J121" s="179"/>
      <c r="K121" s="180"/>
      <c r="L121" s="179"/>
      <c r="M121" s="179"/>
      <c r="N121" s="179"/>
      <c r="O121" s="179"/>
      <c r="P121" s="179"/>
      <c r="Q121" s="179"/>
      <c r="R121" s="179"/>
      <c r="S121" s="179"/>
      <c r="T121" s="179"/>
      <c r="U121" s="683"/>
      <c r="V121" s="682"/>
      <c r="W121" s="683"/>
      <c r="X121" s="682"/>
      <c r="Y121" s="689"/>
      <c r="Z121" s="691"/>
      <c r="AA121" s="691"/>
      <c r="AB121" s="691"/>
      <c r="AC121" s="690"/>
      <c r="AD121" s="689"/>
      <c r="AE121" s="690"/>
      <c r="AF121" s="689"/>
      <c r="AG121" s="690"/>
      <c r="AH121" s="178"/>
      <c r="AI121" s="179"/>
      <c r="AJ121" s="179"/>
      <c r="AK121" s="179"/>
      <c r="AL121" s="179"/>
      <c r="AM121" s="179"/>
      <c r="AN121" s="179"/>
      <c r="AO121" s="179"/>
      <c r="AP121" s="179"/>
      <c r="AQ121" s="179"/>
      <c r="AR121" s="179"/>
      <c r="AS121" s="179"/>
      <c r="AT121" s="179"/>
      <c r="AU121" s="179"/>
      <c r="AV121" s="179"/>
      <c r="AW121" s="179"/>
      <c r="AX121" s="179"/>
      <c r="AY121" s="179"/>
      <c r="AZ121" s="179"/>
      <c r="BA121" s="180"/>
      <c r="BK121" s="120"/>
      <c r="BL121" s="52"/>
    </row>
    <row r="122" spans="1:64">
      <c r="A122" s="681">
        <v>115</v>
      </c>
      <c r="B122" s="682"/>
      <c r="C122" s="59"/>
      <c r="D122" s="179"/>
      <c r="E122" s="179"/>
      <c r="F122" s="179"/>
      <c r="G122" s="179"/>
      <c r="H122" s="179"/>
      <c r="I122" s="179"/>
      <c r="J122" s="179"/>
      <c r="K122" s="180"/>
      <c r="L122" s="36"/>
      <c r="M122" s="179"/>
      <c r="N122" s="179"/>
      <c r="O122" s="179"/>
      <c r="P122" s="179"/>
      <c r="Q122" s="179"/>
      <c r="R122" s="179"/>
      <c r="S122" s="179"/>
      <c r="T122" s="179"/>
      <c r="U122" s="683"/>
      <c r="V122" s="682"/>
      <c r="W122" s="684"/>
      <c r="X122" s="685"/>
      <c r="Y122" s="686"/>
      <c r="Z122" s="687"/>
      <c r="AA122" s="687"/>
      <c r="AB122" s="687"/>
      <c r="AC122" s="688"/>
      <c r="AD122" s="689"/>
      <c r="AE122" s="690"/>
      <c r="AF122" s="689"/>
      <c r="AG122" s="690"/>
      <c r="AH122" s="178"/>
      <c r="AI122" s="179"/>
      <c r="AJ122" s="179"/>
      <c r="AK122" s="179"/>
      <c r="AL122" s="179"/>
      <c r="AM122" s="179"/>
      <c r="AN122" s="179"/>
      <c r="AO122" s="179"/>
      <c r="AP122" s="179"/>
      <c r="AQ122" s="179"/>
      <c r="AR122" s="179"/>
      <c r="AS122" s="179"/>
      <c r="AT122" s="179"/>
      <c r="AU122" s="179"/>
      <c r="AV122" s="179"/>
      <c r="AW122" s="179"/>
      <c r="AX122" s="179"/>
      <c r="AY122" s="179"/>
      <c r="AZ122" s="179"/>
      <c r="BA122" s="180"/>
      <c r="BB122" s="179"/>
      <c r="BC122" s="179"/>
      <c r="BD122" s="179"/>
      <c r="BE122" s="179"/>
      <c r="BF122" s="179"/>
      <c r="BG122" s="43"/>
      <c r="BK122" s="120"/>
      <c r="BL122" s="52"/>
    </row>
    <row r="123" spans="1:64">
      <c r="A123" s="681">
        <v>116</v>
      </c>
      <c r="B123" s="682"/>
      <c r="C123" s="59"/>
      <c r="D123" s="179"/>
      <c r="E123" s="179"/>
      <c r="F123" s="179"/>
      <c r="G123" s="179"/>
      <c r="H123" s="179"/>
      <c r="I123" s="179"/>
      <c r="J123" s="179"/>
      <c r="K123" s="180"/>
      <c r="L123" s="36"/>
      <c r="M123" s="179"/>
      <c r="N123" s="179"/>
      <c r="O123" s="179"/>
      <c r="P123" s="179"/>
      <c r="Q123" s="179"/>
      <c r="R123" s="179"/>
      <c r="S123" s="179"/>
      <c r="T123" s="179"/>
      <c r="U123" s="683"/>
      <c r="V123" s="682"/>
      <c r="W123" s="684"/>
      <c r="X123" s="685"/>
      <c r="Y123" s="686"/>
      <c r="Z123" s="687"/>
      <c r="AA123" s="687"/>
      <c r="AB123" s="687"/>
      <c r="AC123" s="688"/>
      <c r="AD123" s="689"/>
      <c r="AE123" s="690"/>
      <c r="AF123" s="689"/>
      <c r="AG123" s="690"/>
      <c r="AH123" s="178"/>
      <c r="AI123" s="179"/>
      <c r="AJ123" s="179"/>
      <c r="AK123" s="179"/>
      <c r="AL123" s="179"/>
      <c r="AM123" s="179"/>
      <c r="AN123" s="179"/>
      <c r="AO123" s="179"/>
      <c r="AP123" s="179"/>
      <c r="AQ123" s="179"/>
      <c r="AR123" s="179"/>
      <c r="AS123" s="179"/>
      <c r="AT123" s="179"/>
      <c r="AU123" s="179"/>
      <c r="AV123" s="179"/>
      <c r="AW123" s="179"/>
      <c r="AX123" s="179"/>
      <c r="AY123" s="179"/>
      <c r="AZ123" s="179"/>
      <c r="BA123" s="180"/>
      <c r="BB123" s="179"/>
      <c r="BC123" s="179"/>
      <c r="BD123" s="179"/>
      <c r="BE123" s="179"/>
      <c r="BF123" s="179"/>
      <c r="BG123" s="43"/>
      <c r="BK123" s="120"/>
      <c r="BL123" s="52"/>
    </row>
    <row r="124" spans="1:64">
      <c r="A124" s="681">
        <v>117</v>
      </c>
      <c r="B124" s="682"/>
      <c r="C124" s="59"/>
      <c r="D124" s="179"/>
      <c r="E124" s="179"/>
      <c r="F124" s="179"/>
      <c r="G124" s="179"/>
      <c r="H124" s="179"/>
      <c r="I124" s="179"/>
      <c r="J124" s="179"/>
      <c r="K124" s="180"/>
      <c r="L124" s="36"/>
      <c r="M124" s="179"/>
      <c r="N124" s="179"/>
      <c r="O124" s="179"/>
      <c r="P124" s="179"/>
      <c r="Q124" s="179"/>
      <c r="R124" s="179"/>
      <c r="S124" s="179"/>
      <c r="T124" s="179"/>
      <c r="U124" s="683"/>
      <c r="V124" s="682"/>
      <c r="W124" s="684"/>
      <c r="X124" s="685"/>
      <c r="Y124" s="686"/>
      <c r="Z124" s="687"/>
      <c r="AA124" s="687"/>
      <c r="AB124" s="687"/>
      <c r="AC124" s="688"/>
      <c r="AD124" s="689"/>
      <c r="AE124" s="690"/>
      <c r="AF124" s="689"/>
      <c r="AG124" s="690"/>
      <c r="AH124" s="178"/>
      <c r="AI124" s="179"/>
      <c r="AJ124" s="179"/>
      <c r="AK124" s="179"/>
      <c r="AL124" s="179"/>
      <c r="AM124" s="179"/>
      <c r="AN124" s="179"/>
      <c r="AO124" s="179"/>
      <c r="AP124" s="179"/>
      <c r="AQ124" s="179"/>
      <c r="AR124" s="179"/>
      <c r="AS124" s="179"/>
      <c r="AT124" s="179"/>
      <c r="AU124" s="179"/>
      <c r="AV124" s="179"/>
      <c r="AW124" s="179"/>
      <c r="AX124" s="179"/>
      <c r="AY124" s="179"/>
      <c r="AZ124" s="179"/>
      <c r="BA124" s="180"/>
      <c r="BB124" s="179"/>
      <c r="BC124" s="179"/>
      <c r="BD124" s="179"/>
      <c r="BE124" s="179"/>
      <c r="BF124" s="179"/>
      <c r="BG124" s="43"/>
      <c r="BK124" s="120"/>
      <c r="BL124" s="52"/>
    </row>
    <row r="125" spans="1:64">
      <c r="A125" s="681">
        <v>118</v>
      </c>
      <c r="B125" s="682"/>
      <c r="C125" s="59"/>
      <c r="D125" s="179"/>
      <c r="E125" s="179"/>
      <c r="F125" s="179"/>
      <c r="G125" s="179"/>
      <c r="H125" s="179"/>
      <c r="I125" s="179"/>
      <c r="J125" s="179"/>
      <c r="K125" s="180"/>
      <c r="L125" s="36"/>
      <c r="M125" s="179"/>
      <c r="N125" s="179"/>
      <c r="O125" s="179"/>
      <c r="P125" s="179"/>
      <c r="Q125" s="179"/>
      <c r="R125" s="179"/>
      <c r="S125" s="179"/>
      <c r="T125" s="179"/>
      <c r="U125" s="683"/>
      <c r="V125" s="682"/>
      <c r="W125" s="684"/>
      <c r="X125" s="685"/>
      <c r="Y125" s="686"/>
      <c r="Z125" s="687"/>
      <c r="AA125" s="687"/>
      <c r="AB125" s="687"/>
      <c r="AC125" s="688"/>
      <c r="AD125" s="689"/>
      <c r="AE125" s="690"/>
      <c r="AF125" s="689"/>
      <c r="AG125" s="690"/>
      <c r="AH125" s="178"/>
      <c r="AI125" s="179"/>
      <c r="AJ125" s="179"/>
      <c r="AK125" s="179"/>
      <c r="AL125" s="179"/>
      <c r="AM125" s="179"/>
      <c r="AN125" s="179"/>
      <c r="AO125" s="179"/>
      <c r="AP125" s="179"/>
      <c r="AQ125" s="179"/>
      <c r="AR125" s="179"/>
      <c r="AS125" s="179"/>
      <c r="AT125" s="179"/>
      <c r="AU125" s="179"/>
      <c r="AV125" s="179"/>
      <c r="AW125" s="179"/>
      <c r="AX125" s="179"/>
      <c r="AY125" s="179"/>
      <c r="AZ125" s="179"/>
      <c r="BA125" s="180"/>
      <c r="BB125" s="179"/>
      <c r="BC125" s="179"/>
      <c r="BD125" s="179"/>
      <c r="BE125" s="179"/>
      <c r="BF125" s="179"/>
      <c r="BG125" s="43"/>
      <c r="BK125" s="120"/>
      <c r="BL125" s="52"/>
    </row>
    <row r="126" spans="1:64">
      <c r="A126" s="681">
        <v>119</v>
      </c>
      <c r="B126" s="682"/>
      <c r="C126" s="59"/>
      <c r="D126" s="179"/>
      <c r="E126" s="179"/>
      <c r="F126" s="179"/>
      <c r="G126" s="179"/>
      <c r="H126" s="179"/>
      <c r="I126" s="179"/>
      <c r="J126" s="179"/>
      <c r="K126" s="180"/>
      <c r="L126" s="36"/>
      <c r="M126" s="179"/>
      <c r="N126" s="179"/>
      <c r="O126" s="179"/>
      <c r="P126" s="179"/>
      <c r="Q126" s="179"/>
      <c r="R126" s="179"/>
      <c r="S126" s="179"/>
      <c r="T126" s="179"/>
      <c r="U126" s="683"/>
      <c r="V126" s="682"/>
      <c r="W126" s="684"/>
      <c r="X126" s="685"/>
      <c r="Y126" s="686"/>
      <c r="Z126" s="687"/>
      <c r="AA126" s="687"/>
      <c r="AB126" s="687"/>
      <c r="AC126" s="688"/>
      <c r="AD126" s="689"/>
      <c r="AE126" s="690"/>
      <c r="AF126" s="689"/>
      <c r="AG126" s="690"/>
      <c r="AH126" s="178"/>
      <c r="AI126" s="179"/>
      <c r="AJ126" s="179"/>
      <c r="AK126" s="179"/>
      <c r="AL126" s="179"/>
      <c r="AM126" s="179"/>
      <c r="AN126" s="179"/>
      <c r="AO126" s="179"/>
      <c r="AP126" s="179"/>
      <c r="AQ126" s="179"/>
      <c r="AR126" s="179"/>
      <c r="AS126" s="179"/>
      <c r="AT126" s="179"/>
      <c r="AU126" s="179"/>
      <c r="AV126" s="179"/>
      <c r="AW126" s="179"/>
      <c r="AX126" s="179"/>
      <c r="AY126" s="179"/>
      <c r="AZ126" s="179"/>
      <c r="BA126" s="180"/>
      <c r="BB126" s="179"/>
      <c r="BC126" s="179"/>
      <c r="BD126" s="179"/>
      <c r="BE126" s="179"/>
      <c r="BF126" s="179"/>
      <c r="BG126" s="43"/>
      <c r="BK126" s="120"/>
      <c r="BL126" s="52"/>
    </row>
    <row r="127" spans="1:64">
      <c r="A127" s="681">
        <v>120</v>
      </c>
      <c r="B127" s="682"/>
      <c r="C127" s="59"/>
      <c r="D127" s="179"/>
      <c r="E127" s="179"/>
      <c r="F127" s="179"/>
      <c r="G127" s="179"/>
      <c r="H127" s="179"/>
      <c r="I127" s="179"/>
      <c r="J127" s="179"/>
      <c r="K127" s="180"/>
      <c r="L127" s="36"/>
      <c r="M127" s="179"/>
      <c r="N127" s="179"/>
      <c r="O127" s="179"/>
      <c r="P127" s="179"/>
      <c r="Q127" s="179"/>
      <c r="R127" s="179"/>
      <c r="S127" s="179"/>
      <c r="T127" s="179"/>
      <c r="U127" s="683"/>
      <c r="V127" s="682"/>
      <c r="W127" s="684"/>
      <c r="X127" s="685"/>
      <c r="Y127" s="686"/>
      <c r="Z127" s="687"/>
      <c r="AA127" s="687"/>
      <c r="AB127" s="687"/>
      <c r="AC127" s="688"/>
      <c r="AD127" s="689"/>
      <c r="AE127" s="690"/>
      <c r="AF127" s="689"/>
      <c r="AG127" s="690"/>
      <c r="AH127" s="178"/>
      <c r="AI127" s="179"/>
      <c r="AJ127" s="179"/>
      <c r="AK127" s="179"/>
      <c r="AL127" s="179"/>
      <c r="AM127" s="179"/>
      <c r="AN127" s="179"/>
      <c r="AO127" s="179"/>
      <c r="AP127" s="179"/>
      <c r="AQ127" s="179"/>
      <c r="AR127" s="179"/>
      <c r="AS127" s="179"/>
      <c r="AT127" s="179"/>
      <c r="AU127" s="179"/>
      <c r="AV127" s="179"/>
      <c r="AW127" s="179"/>
      <c r="AX127" s="179"/>
      <c r="AY127" s="179"/>
      <c r="AZ127" s="179"/>
      <c r="BA127" s="180"/>
      <c r="BB127" s="179"/>
      <c r="BC127" s="179"/>
      <c r="BD127" s="179"/>
      <c r="BE127" s="179"/>
      <c r="BF127" s="179"/>
      <c r="BG127" s="43"/>
      <c r="BK127" s="120"/>
      <c r="BL127" s="52"/>
    </row>
    <row r="128" spans="1:64">
      <c r="A128" s="681">
        <v>121</v>
      </c>
      <c r="B128" s="682"/>
      <c r="C128" s="59"/>
      <c r="D128" s="179"/>
      <c r="E128" s="179"/>
      <c r="F128" s="179"/>
      <c r="G128" s="179"/>
      <c r="H128" s="179"/>
      <c r="I128" s="179"/>
      <c r="J128" s="179"/>
      <c r="K128" s="180"/>
      <c r="L128" s="36"/>
      <c r="M128" s="179"/>
      <c r="N128" s="179"/>
      <c r="O128" s="179"/>
      <c r="P128" s="179"/>
      <c r="Q128" s="179"/>
      <c r="R128" s="179"/>
      <c r="S128" s="179"/>
      <c r="T128" s="179"/>
      <c r="U128" s="683"/>
      <c r="V128" s="682"/>
      <c r="W128" s="684"/>
      <c r="X128" s="685"/>
      <c r="Y128" s="686"/>
      <c r="Z128" s="687"/>
      <c r="AA128" s="687"/>
      <c r="AB128" s="687"/>
      <c r="AC128" s="688"/>
      <c r="AD128" s="689"/>
      <c r="AE128" s="690"/>
      <c r="AF128" s="689"/>
      <c r="AG128" s="690"/>
      <c r="AH128" s="178"/>
      <c r="AI128" s="179"/>
      <c r="AJ128" s="179"/>
      <c r="AK128" s="179"/>
      <c r="AL128" s="179"/>
      <c r="AM128" s="179"/>
      <c r="AN128" s="179"/>
      <c r="AO128" s="179"/>
      <c r="AP128" s="179"/>
      <c r="AQ128" s="179"/>
      <c r="AR128" s="179"/>
      <c r="AS128" s="179"/>
      <c r="AT128" s="179"/>
      <c r="AU128" s="179"/>
      <c r="AV128" s="179"/>
      <c r="AW128" s="179"/>
      <c r="AX128" s="179"/>
      <c r="AY128" s="179"/>
      <c r="AZ128" s="179"/>
      <c r="BA128" s="180"/>
      <c r="BB128" s="179"/>
      <c r="BC128" s="179"/>
      <c r="BD128" s="179"/>
      <c r="BE128" s="179"/>
      <c r="BF128" s="179"/>
      <c r="BG128" s="43"/>
      <c r="BK128" s="120"/>
      <c r="BL128" s="52"/>
    </row>
    <row r="129" spans="1:64">
      <c r="A129" s="681">
        <v>122</v>
      </c>
      <c r="B129" s="682"/>
      <c r="C129" s="59"/>
      <c r="D129" s="179"/>
      <c r="E129" s="179"/>
      <c r="F129" s="179"/>
      <c r="G129" s="179"/>
      <c r="H129" s="179"/>
      <c r="I129" s="179"/>
      <c r="J129" s="179"/>
      <c r="K129" s="180"/>
      <c r="L129" s="36"/>
      <c r="M129" s="179"/>
      <c r="N129" s="179"/>
      <c r="O129" s="179"/>
      <c r="P129" s="179"/>
      <c r="Q129" s="179"/>
      <c r="R129" s="179"/>
      <c r="S129" s="179"/>
      <c r="T129" s="179"/>
      <c r="U129" s="683"/>
      <c r="V129" s="682"/>
      <c r="W129" s="684"/>
      <c r="X129" s="685"/>
      <c r="Y129" s="686"/>
      <c r="Z129" s="687"/>
      <c r="AA129" s="687"/>
      <c r="AB129" s="687"/>
      <c r="AC129" s="688"/>
      <c r="AD129" s="689"/>
      <c r="AE129" s="690"/>
      <c r="AF129" s="689"/>
      <c r="AG129" s="690"/>
      <c r="AH129" s="178"/>
      <c r="AI129" s="179"/>
      <c r="AJ129" s="179"/>
      <c r="AK129" s="179"/>
      <c r="AL129" s="179"/>
      <c r="AM129" s="179"/>
      <c r="AN129" s="179"/>
      <c r="AO129" s="179"/>
      <c r="AP129" s="179"/>
      <c r="AQ129" s="179"/>
      <c r="AR129" s="179"/>
      <c r="AS129" s="179"/>
      <c r="AT129" s="179"/>
      <c r="AU129" s="179"/>
      <c r="AV129" s="179"/>
      <c r="AW129" s="179"/>
      <c r="AX129" s="179"/>
      <c r="AY129" s="179"/>
      <c r="AZ129" s="179"/>
      <c r="BA129" s="180"/>
      <c r="BB129" s="179"/>
      <c r="BC129" s="179"/>
      <c r="BD129" s="179"/>
      <c r="BE129" s="179"/>
      <c r="BF129" s="179"/>
      <c r="BG129" s="43"/>
      <c r="BK129" s="120"/>
      <c r="BL129" s="51"/>
    </row>
    <row r="130" spans="1:64">
      <c r="A130" s="681">
        <v>123</v>
      </c>
      <c r="B130" s="682"/>
      <c r="C130" s="59"/>
      <c r="D130" s="179"/>
      <c r="E130" s="179"/>
      <c r="F130" s="179"/>
      <c r="G130" s="179"/>
      <c r="H130" s="179"/>
      <c r="I130" s="179"/>
      <c r="J130" s="179"/>
      <c r="K130" s="180"/>
      <c r="L130" s="36"/>
      <c r="M130" s="179"/>
      <c r="N130" s="179"/>
      <c r="O130" s="179"/>
      <c r="P130" s="179"/>
      <c r="Q130" s="179"/>
      <c r="R130" s="179"/>
      <c r="S130" s="179"/>
      <c r="T130" s="179"/>
      <c r="U130" s="683"/>
      <c r="V130" s="682"/>
      <c r="W130" s="684"/>
      <c r="X130" s="685"/>
      <c r="Y130" s="686"/>
      <c r="Z130" s="687"/>
      <c r="AA130" s="687"/>
      <c r="AB130" s="687"/>
      <c r="AC130" s="688"/>
      <c r="AD130" s="689"/>
      <c r="AE130" s="690"/>
      <c r="AF130" s="689"/>
      <c r="AG130" s="690"/>
      <c r="AH130" s="178"/>
      <c r="AI130" s="179"/>
      <c r="AJ130" s="179"/>
      <c r="AK130" s="179"/>
      <c r="AL130" s="179"/>
      <c r="AM130" s="179"/>
      <c r="AN130" s="179"/>
      <c r="AO130" s="179"/>
      <c r="AP130" s="179"/>
      <c r="AQ130" s="179"/>
      <c r="AR130" s="179"/>
      <c r="AS130" s="179"/>
      <c r="AT130" s="179"/>
      <c r="AU130" s="179"/>
      <c r="AV130" s="179"/>
      <c r="AW130" s="179"/>
      <c r="AX130" s="179"/>
      <c r="AY130" s="179"/>
      <c r="AZ130" s="179"/>
      <c r="BA130" s="180"/>
      <c r="BB130" s="179"/>
      <c r="BC130" s="179"/>
      <c r="BD130" s="179"/>
      <c r="BE130" s="179"/>
      <c r="BF130" s="179"/>
      <c r="BG130" s="43"/>
      <c r="BK130" s="120"/>
      <c r="BL130" s="52"/>
    </row>
    <row r="131" spans="1:64">
      <c r="A131" s="681">
        <v>124</v>
      </c>
      <c r="B131" s="682"/>
      <c r="C131" s="59"/>
      <c r="D131" s="179"/>
      <c r="E131" s="179"/>
      <c r="F131" s="179"/>
      <c r="G131" s="179"/>
      <c r="H131" s="179"/>
      <c r="I131" s="179"/>
      <c r="J131" s="179"/>
      <c r="K131" s="180"/>
      <c r="L131" s="36"/>
      <c r="M131" s="179"/>
      <c r="N131" s="179"/>
      <c r="O131" s="179"/>
      <c r="P131" s="179"/>
      <c r="Q131" s="179"/>
      <c r="R131" s="179"/>
      <c r="S131" s="179"/>
      <c r="T131" s="179"/>
      <c r="U131" s="683"/>
      <c r="V131" s="682"/>
      <c r="W131" s="684"/>
      <c r="X131" s="685"/>
      <c r="Y131" s="686"/>
      <c r="Z131" s="687"/>
      <c r="AA131" s="687"/>
      <c r="AB131" s="687"/>
      <c r="AC131" s="688"/>
      <c r="AD131" s="689"/>
      <c r="AE131" s="690"/>
      <c r="AF131" s="689"/>
      <c r="AG131" s="690"/>
      <c r="AH131" s="178"/>
      <c r="AI131" s="179"/>
      <c r="AJ131" s="179"/>
      <c r="AK131" s="179"/>
      <c r="AL131" s="179"/>
      <c r="AM131" s="179"/>
      <c r="AN131" s="179"/>
      <c r="AO131" s="179"/>
      <c r="AP131" s="179"/>
      <c r="AQ131" s="179"/>
      <c r="AR131" s="179"/>
      <c r="AS131" s="179"/>
      <c r="AT131" s="179"/>
      <c r="AU131" s="179"/>
      <c r="AV131" s="179"/>
      <c r="AW131" s="179"/>
      <c r="AX131" s="179"/>
      <c r="AY131" s="179"/>
      <c r="AZ131" s="179"/>
      <c r="BA131" s="180"/>
      <c r="BB131" s="179"/>
      <c r="BC131" s="179"/>
      <c r="BD131" s="179"/>
      <c r="BE131" s="179"/>
      <c r="BF131" s="179"/>
      <c r="BG131" s="43"/>
      <c r="BK131" s="121"/>
      <c r="BL131" s="52"/>
    </row>
    <row r="132" spans="1:64">
      <c r="A132" s="681">
        <v>125</v>
      </c>
      <c r="B132" s="682"/>
      <c r="C132" s="59"/>
      <c r="D132" s="179"/>
      <c r="E132" s="179"/>
      <c r="F132" s="179"/>
      <c r="G132" s="179"/>
      <c r="H132" s="179"/>
      <c r="I132" s="179"/>
      <c r="J132" s="179"/>
      <c r="K132" s="180"/>
      <c r="L132" s="36"/>
      <c r="M132" s="179"/>
      <c r="N132" s="179"/>
      <c r="O132" s="179"/>
      <c r="P132" s="179"/>
      <c r="Q132" s="179"/>
      <c r="R132" s="179"/>
      <c r="S132" s="179"/>
      <c r="T132" s="179"/>
      <c r="U132" s="683"/>
      <c r="V132" s="682"/>
      <c r="W132" s="684"/>
      <c r="X132" s="685"/>
      <c r="Y132" s="686"/>
      <c r="Z132" s="687"/>
      <c r="AA132" s="687"/>
      <c r="AB132" s="687"/>
      <c r="AC132" s="688"/>
      <c r="AD132" s="689"/>
      <c r="AE132" s="690"/>
      <c r="AF132" s="689"/>
      <c r="AG132" s="690"/>
      <c r="AH132" s="178"/>
      <c r="AI132" s="179"/>
      <c r="AJ132" s="179"/>
      <c r="AK132" s="179"/>
      <c r="AL132" s="179"/>
      <c r="AM132" s="179"/>
      <c r="AN132" s="179"/>
      <c r="AO132" s="179"/>
      <c r="AP132" s="179"/>
      <c r="AQ132" s="179"/>
      <c r="AR132" s="179"/>
      <c r="AS132" s="179"/>
      <c r="AT132" s="179"/>
      <c r="AU132" s="179"/>
      <c r="AV132" s="179"/>
      <c r="AW132" s="179"/>
      <c r="AX132" s="179"/>
      <c r="AY132" s="179"/>
      <c r="AZ132" s="179"/>
      <c r="BA132" s="180"/>
      <c r="BB132" s="179"/>
      <c r="BC132" s="179"/>
      <c r="BD132" s="179"/>
      <c r="BE132" s="179"/>
      <c r="BF132" s="179"/>
      <c r="BG132" s="43"/>
      <c r="BK132" s="121"/>
      <c r="BL132" s="52"/>
    </row>
    <row r="133" spans="1:64">
      <c r="A133" s="681">
        <v>126</v>
      </c>
      <c r="B133" s="682"/>
      <c r="C133" s="59"/>
      <c r="D133" s="179"/>
      <c r="E133" s="179"/>
      <c r="F133" s="179"/>
      <c r="G133" s="179"/>
      <c r="H133" s="179"/>
      <c r="I133" s="179"/>
      <c r="J133" s="179"/>
      <c r="K133" s="180"/>
      <c r="L133" s="36"/>
      <c r="M133" s="179"/>
      <c r="N133" s="179"/>
      <c r="O133" s="179"/>
      <c r="P133" s="179"/>
      <c r="Q133" s="179"/>
      <c r="R133" s="179"/>
      <c r="S133" s="179"/>
      <c r="T133" s="179"/>
      <c r="U133" s="683"/>
      <c r="V133" s="682"/>
      <c r="W133" s="684"/>
      <c r="X133" s="685"/>
      <c r="Y133" s="686"/>
      <c r="Z133" s="687"/>
      <c r="AA133" s="687"/>
      <c r="AB133" s="687"/>
      <c r="AC133" s="688"/>
      <c r="AD133" s="689"/>
      <c r="AE133" s="690"/>
      <c r="AF133" s="689"/>
      <c r="AG133" s="690"/>
      <c r="AH133" s="178"/>
      <c r="AI133" s="179"/>
      <c r="AJ133" s="179"/>
      <c r="AK133" s="179"/>
      <c r="AL133" s="179"/>
      <c r="AM133" s="179"/>
      <c r="AN133" s="179"/>
      <c r="AO133" s="179"/>
      <c r="AP133" s="179"/>
      <c r="AQ133" s="179"/>
      <c r="AR133" s="179"/>
      <c r="AS133" s="179"/>
      <c r="AT133" s="179"/>
      <c r="AU133" s="179"/>
      <c r="AV133" s="179"/>
      <c r="AW133" s="179"/>
      <c r="AX133" s="179"/>
      <c r="AY133" s="179"/>
      <c r="AZ133" s="179"/>
      <c r="BA133" s="180"/>
      <c r="BB133" s="179"/>
      <c r="BC133" s="179"/>
      <c r="BD133" s="179"/>
      <c r="BE133" s="179"/>
      <c r="BF133" s="179"/>
      <c r="BG133" s="43"/>
      <c r="BK133" s="120"/>
      <c r="BL133" s="52"/>
    </row>
    <row r="134" spans="1:64">
      <c r="A134" s="681">
        <v>127</v>
      </c>
      <c r="B134" s="682"/>
      <c r="C134" s="59"/>
      <c r="D134" s="179"/>
      <c r="E134" s="179"/>
      <c r="F134" s="179"/>
      <c r="G134" s="179"/>
      <c r="H134" s="179"/>
      <c r="I134" s="179"/>
      <c r="J134" s="179"/>
      <c r="K134" s="180"/>
      <c r="L134" s="36"/>
      <c r="M134" s="179"/>
      <c r="N134" s="179"/>
      <c r="O134" s="179"/>
      <c r="P134" s="179"/>
      <c r="Q134" s="179"/>
      <c r="R134" s="179"/>
      <c r="S134" s="179"/>
      <c r="T134" s="179"/>
      <c r="U134" s="683"/>
      <c r="V134" s="682"/>
      <c r="W134" s="684"/>
      <c r="X134" s="685"/>
      <c r="Y134" s="686"/>
      <c r="Z134" s="687"/>
      <c r="AA134" s="687"/>
      <c r="AB134" s="687"/>
      <c r="AC134" s="688"/>
      <c r="AD134" s="689"/>
      <c r="AE134" s="690"/>
      <c r="AF134" s="689"/>
      <c r="AG134" s="690"/>
      <c r="AH134" s="178"/>
      <c r="AI134" s="179"/>
      <c r="AJ134" s="179"/>
      <c r="AK134" s="179"/>
      <c r="AL134" s="179"/>
      <c r="AM134" s="179"/>
      <c r="AN134" s="179"/>
      <c r="AO134" s="179"/>
      <c r="AP134" s="179"/>
      <c r="AQ134" s="179"/>
      <c r="AR134" s="179"/>
      <c r="AS134" s="179"/>
      <c r="AT134" s="179"/>
      <c r="AU134" s="179"/>
      <c r="AV134" s="179"/>
      <c r="AW134" s="179"/>
      <c r="AX134" s="179"/>
      <c r="AY134" s="179"/>
      <c r="AZ134" s="179"/>
      <c r="BA134" s="180"/>
      <c r="BB134" s="179"/>
      <c r="BC134" s="179"/>
      <c r="BD134" s="179"/>
      <c r="BE134" s="179"/>
      <c r="BF134" s="179"/>
      <c r="BG134" s="43"/>
      <c r="BK134" s="120"/>
      <c r="BL134" s="52"/>
    </row>
    <row r="135" spans="1:64">
      <c r="A135" s="681">
        <v>128</v>
      </c>
      <c r="B135" s="682"/>
      <c r="C135" s="59"/>
      <c r="D135" s="179"/>
      <c r="E135" s="179"/>
      <c r="F135" s="179"/>
      <c r="G135" s="179"/>
      <c r="H135" s="179"/>
      <c r="I135" s="179"/>
      <c r="J135" s="179"/>
      <c r="K135" s="180"/>
      <c r="L135" s="36"/>
      <c r="M135" s="179"/>
      <c r="N135" s="179"/>
      <c r="O135" s="179"/>
      <c r="P135" s="179"/>
      <c r="Q135" s="179"/>
      <c r="R135" s="179"/>
      <c r="S135" s="179"/>
      <c r="T135" s="179"/>
      <c r="U135" s="683"/>
      <c r="V135" s="682"/>
      <c r="W135" s="684"/>
      <c r="X135" s="685"/>
      <c r="Y135" s="686"/>
      <c r="Z135" s="687"/>
      <c r="AA135" s="687"/>
      <c r="AB135" s="687"/>
      <c r="AC135" s="688"/>
      <c r="AD135" s="689"/>
      <c r="AE135" s="690"/>
      <c r="AF135" s="689"/>
      <c r="AG135" s="690"/>
      <c r="AH135" s="178"/>
      <c r="AI135" s="179"/>
      <c r="AJ135" s="179"/>
      <c r="AK135" s="179"/>
      <c r="AL135" s="179"/>
      <c r="AM135" s="179"/>
      <c r="AN135" s="179"/>
      <c r="AO135" s="179"/>
      <c r="AP135" s="179"/>
      <c r="AQ135" s="179"/>
      <c r="AR135" s="179"/>
      <c r="AS135" s="179"/>
      <c r="AT135" s="179"/>
      <c r="AU135" s="179"/>
      <c r="AV135" s="179"/>
      <c r="AW135" s="179"/>
      <c r="AX135" s="179"/>
      <c r="AY135" s="179"/>
      <c r="AZ135" s="179"/>
      <c r="BA135" s="180"/>
      <c r="BB135" s="179"/>
      <c r="BC135" s="179"/>
      <c r="BD135" s="179"/>
      <c r="BE135" s="179"/>
      <c r="BF135" s="179"/>
      <c r="BG135" s="43"/>
      <c r="BK135" s="120"/>
      <c r="BL135" s="52"/>
    </row>
    <row r="136" spans="1:64">
      <c r="A136" s="681">
        <v>129</v>
      </c>
      <c r="B136" s="682"/>
      <c r="C136" s="59"/>
      <c r="D136" s="179"/>
      <c r="E136" s="179"/>
      <c r="F136" s="179"/>
      <c r="G136" s="179"/>
      <c r="H136" s="179"/>
      <c r="I136" s="179"/>
      <c r="J136" s="179"/>
      <c r="K136" s="180"/>
      <c r="L136" s="36"/>
      <c r="M136" s="179"/>
      <c r="N136" s="179"/>
      <c r="O136" s="179"/>
      <c r="P136" s="179"/>
      <c r="Q136" s="179"/>
      <c r="R136" s="179"/>
      <c r="S136" s="179"/>
      <c r="T136" s="179"/>
      <c r="U136" s="683"/>
      <c r="V136" s="682"/>
      <c r="W136" s="684"/>
      <c r="X136" s="685"/>
      <c r="Y136" s="686"/>
      <c r="Z136" s="687"/>
      <c r="AA136" s="687"/>
      <c r="AB136" s="687"/>
      <c r="AC136" s="688"/>
      <c r="AD136" s="689"/>
      <c r="AE136" s="690"/>
      <c r="AF136" s="689"/>
      <c r="AG136" s="690"/>
      <c r="AH136" s="178"/>
      <c r="AI136" s="179"/>
      <c r="AJ136" s="179"/>
      <c r="AK136" s="179"/>
      <c r="AL136" s="179"/>
      <c r="AM136" s="179"/>
      <c r="AN136" s="179"/>
      <c r="AO136" s="179"/>
      <c r="AP136" s="179"/>
      <c r="AQ136" s="179"/>
      <c r="AR136" s="179"/>
      <c r="AS136" s="179"/>
      <c r="AT136" s="179"/>
      <c r="AU136" s="179"/>
      <c r="AV136" s="179"/>
      <c r="AW136" s="179"/>
      <c r="AX136" s="179"/>
      <c r="AY136" s="179"/>
      <c r="AZ136" s="179"/>
      <c r="BA136" s="180"/>
      <c r="BB136" s="179"/>
      <c r="BC136" s="179"/>
      <c r="BD136" s="179"/>
      <c r="BE136" s="179"/>
      <c r="BF136" s="179"/>
      <c r="BG136" s="43"/>
      <c r="BK136" s="120"/>
      <c r="BL136" s="52"/>
    </row>
    <row r="137" spans="1:64">
      <c r="A137" s="681">
        <v>130</v>
      </c>
      <c r="B137" s="682"/>
      <c r="C137" s="59"/>
      <c r="D137" s="179"/>
      <c r="E137" s="179"/>
      <c r="F137" s="179"/>
      <c r="G137" s="179"/>
      <c r="H137" s="179"/>
      <c r="I137" s="179"/>
      <c r="J137" s="179"/>
      <c r="K137" s="180"/>
      <c r="L137" s="36"/>
      <c r="M137" s="179"/>
      <c r="N137" s="179"/>
      <c r="O137" s="179"/>
      <c r="P137" s="179"/>
      <c r="Q137" s="179"/>
      <c r="R137" s="179"/>
      <c r="S137" s="179"/>
      <c r="T137" s="179"/>
      <c r="U137" s="683"/>
      <c r="V137" s="682"/>
      <c r="W137" s="684"/>
      <c r="X137" s="685"/>
      <c r="Y137" s="686"/>
      <c r="Z137" s="687"/>
      <c r="AA137" s="687"/>
      <c r="AB137" s="687"/>
      <c r="AC137" s="688"/>
      <c r="AD137" s="689"/>
      <c r="AE137" s="690"/>
      <c r="AF137" s="689"/>
      <c r="AG137" s="690"/>
      <c r="AH137" s="178"/>
      <c r="AI137" s="179"/>
      <c r="AJ137" s="179"/>
      <c r="AK137" s="179"/>
      <c r="AL137" s="179"/>
      <c r="AM137" s="179"/>
      <c r="AN137" s="179"/>
      <c r="AO137" s="179"/>
      <c r="AP137" s="179"/>
      <c r="AQ137" s="179"/>
      <c r="AR137" s="179"/>
      <c r="AS137" s="179"/>
      <c r="AT137" s="179"/>
      <c r="AU137" s="179"/>
      <c r="AV137" s="179"/>
      <c r="AW137" s="179"/>
      <c r="AX137" s="179"/>
      <c r="AY137" s="179"/>
      <c r="AZ137" s="179"/>
      <c r="BA137" s="180"/>
      <c r="BB137" s="179"/>
      <c r="BC137" s="179"/>
      <c r="BD137" s="179"/>
      <c r="BE137" s="179"/>
      <c r="BF137" s="179"/>
      <c r="BG137" s="43"/>
      <c r="BK137" s="120"/>
      <c r="BL137" s="52"/>
    </row>
    <row r="138" spans="1:64">
      <c r="A138" s="681">
        <v>131</v>
      </c>
      <c r="B138" s="682"/>
      <c r="C138" s="59"/>
      <c r="D138" s="179"/>
      <c r="E138" s="179"/>
      <c r="F138" s="179"/>
      <c r="G138" s="179"/>
      <c r="H138" s="179"/>
      <c r="I138" s="179"/>
      <c r="J138" s="179"/>
      <c r="K138" s="180"/>
      <c r="L138" s="36"/>
      <c r="M138" s="179"/>
      <c r="N138" s="179"/>
      <c r="O138" s="179"/>
      <c r="P138" s="179"/>
      <c r="Q138" s="179"/>
      <c r="R138" s="179"/>
      <c r="S138" s="179"/>
      <c r="T138" s="179"/>
      <c r="U138" s="683"/>
      <c r="V138" s="682"/>
      <c r="W138" s="684"/>
      <c r="X138" s="685"/>
      <c r="Y138" s="686"/>
      <c r="Z138" s="687"/>
      <c r="AA138" s="687"/>
      <c r="AB138" s="687"/>
      <c r="AC138" s="688"/>
      <c r="AD138" s="689"/>
      <c r="AE138" s="690"/>
      <c r="AF138" s="689"/>
      <c r="AG138" s="690"/>
      <c r="AH138" s="178"/>
      <c r="AI138" s="179"/>
      <c r="AJ138" s="179"/>
      <c r="AK138" s="179"/>
      <c r="AL138" s="179"/>
      <c r="AM138" s="179"/>
      <c r="AN138" s="179"/>
      <c r="AO138" s="179"/>
      <c r="AP138" s="179"/>
      <c r="AQ138" s="179"/>
      <c r="AR138" s="179"/>
      <c r="AS138" s="179"/>
      <c r="AT138" s="179"/>
      <c r="AU138" s="179"/>
      <c r="AV138" s="179"/>
      <c r="AW138" s="179"/>
      <c r="AX138" s="179"/>
      <c r="AY138" s="179"/>
      <c r="AZ138" s="179"/>
      <c r="BA138" s="180"/>
      <c r="BB138" s="179"/>
      <c r="BC138" s="179"/>
      <c r="BD138" s="179"/>
      <c r="BE138" s="179"/>
      <c r="BF138" s="179"/>
      <c r="BG138" s="43"/>
      <c r="BK138" s="120"/>
      <c r="BL138" s="52"/>
    </row>
    <row r="139" spans="1:64">
      <c r="A139" s="681">
        <v>132</v>
      </c>
      <c r="B139" s="682"/>
      <c r="C139" s="59"/>
      <c r="D139" s="179"/>
      <c r="E139" s="179"/>
      <c r="F139" s="179"/>
      <c r="G139" s="179"/>
      <c r="H139" s="179"/>
      <c r="I139" s="179"/>
      <c r="J139" s="179"/>
      <c r="K139" s="180"/>
      <c r="L139" s="36"/>
      <c r="M139" s="179"/>
      <c r="N139" s="179"/>
      <c r="O139" s="179"/>
      <c r="P139" s="179"/>
      <c r="Q139" s="179"/>
      <c r="R139" s="179"/>
      <c r="S139" s="179"/>
      <c r="T139" s="179"/>
      <c r="U139" s="683"/>
      <c r="V139" s="682"/>
      <c r="W139" s="684"/>
      <c r="X139" s="685"/>
      <c r="Y139" s="686"/>
      <c r="Z139" s="687"/>
      <c r="AA139" s="687"/>
      <c r="AB139" s="687"/>
      <c r="AC139" s="688"/>
      <c r="AD139" s="689"/>
      <c r="AE139" s="690"/>
      <c r="AF139" s="689"/>
      <c r="AG139" s="690"/>
      <c r="AH139" s="178"/>
      <c r="AI139" s="179"/>
      <c r="AJ139" s="179"/>
      <c r="AK139" s="179"/>
      <c r="AL139" s="179"/>
      <c r="AM139" s="179"/>
      <c r="AN139" s="179"/>
      <c r="AO139" s="179"/>
      <c r="AP139" s="179"/>
      <c r="AQ139" s="179"/>
      <c r="AR139" s="179"/>
      <c r="AS139" s="179"/>
      <c r="AT139" s="179"/>
      <c r="AU139" s="179"/>
      <c r="AV139" s="179"/>
      <c r="AW139" s="179"/>
      <c r="AX139" s="179"/>
      <c r="AY139" s="179"/>
      <c r="AZ139" s="179"/>
      <c r="BA139" s="180"/>
      <c r="BB139" s="179"/>
      <c r="BC139" s="179"/>
      <c r="BD139" s="179"/>
      <c r="BE139" s="179"/>
      <c r="BF139" s="179"/>
      <c r="BG139" s="43"/>
      <c r="BK139" s="120"/>
      <c r="BL139" s="52"/>
    </row>
    <row r="140" spans="1:64">
      <c r="A140" s="681">
        <v>133</v>
      </c>
      <c r="B140" s="682"/>
      <c r="C140" s="59"/>
      <c r="D140" s="179"/>
      <c r="E140" s="179"/>
      <c r="F140" s="179"/>
      <c r="G140" s="179"/>
      <c r="H140" s="179"/>
      <c r="I140" s="179"/>
      <c r="J140" s="179"/>
      <c r="K140" s="180"/>
      <c r="L140" s="36"/>
      <c r="M140" s="179"/>
      <c r="N140" s="179"/>
      <c r="O140" s="179"/>
      <c r="P140" s="179"/>
      <c r="Q140" s="179"/>
      <c r="R140" s="179"/>
      <c r="S140" s="179"/>
      <c r="T140" s="179"/>
      <c r="U140" s="683"/>
      <c r="V140" s="682"/>
      <c r="W140" s="684"/>
      <c r="X140" s="685"/>
      <c r="Y140" s="686"/>
      <c r="Z140" s="687"/>
      <c r="AA140" s="687"/>
      <c r="AB140" s="687"/>
      <c r="AC140" s="688"/>
      <c r="AD140" s="689"/>
      <c r="AE140" s="690"/>
      <c r="AF140" s="689"/>
      <c r="AG140" s="690"/>
      <c r="AH140" s="178"/>
      <c r="AI140" s="179"/>
      <c r="AJ140" s="179"/>
      <c r="AK140" s="179"/>
      <c r="AL140" s="179"/>
      <c r="AM140" s="179"/>
      <c r="AN140" s="179"/>
      <c r="AO140" s="179"/>
      <c r="AP140" s="179"/>
      <c r="AQ140" s="179"/>
      <c r="AR140" s="179"/>
      <c r="AS140" s="179"/>
      <c r="AT140" s="179"/>
      <c r="AU140" s="179"/>
      <c r="AV140" s="179"/>
      <c r="AW140" s="179"/>
      <c r="AX140" s="179"/>
      <c r="AY140" s="179"/>
      <c r="AZ140" s="179"/>
      <c r="BA140" s="180"/>
      <c r="BB140" s="179"/>
      <c r="BC140" s="179"/>
      <c r="BD140" s="179"/>
      <c r="BE140" s="179"/>
      <c r="BF140" s="179"/>
      <c r="BG140" s="43"/>
      <c r="BK140" s="120"/>
      <c r="BL140" s="52"/>
    </row>
    <row r="141" spans="1:64">
      <c r="A141" s="681">
        <v>134</v>
      </c>
      <c r="B141" s="682"/>
      <c r="C141" s="59"/>
      <c r="D141" s="179"/>
      <c r="E141" s="179"/>
      <c r="F141" s="179"/>
      <c r="G141" s="179"/>
      <c r="H141" s="179"/>
      <c r="I141" s="179"/>
      <c r="J141" s="179"/>
      <c r="K141" s="180"/>
      <c r="L141" s="36"/>
      <c r="M141" s="179"/>
      <c r="N141" s="179"/>
      <c r="O141" s="179"/>
      <c r="P141" s="179"/>
      <c r="Q141" s="179"/>
      <c r="R141" s="179"/>
      <c r="S141" s="179"/>
      <c r="T141" s="179"/>
      <c r="U141" s="683"/>
      <c r="V141" s="682"/>
      <c r="W141" s="684"/>
      <c r="X141" s="685"/>
      <c r="Y141" s="686"/>
      <c r="Z141" s="687"/>
      <c r="AA141" s="687"/>
      <c r="AB141" s="687"/>
      <c r="AC141" s="688"/>
      <c r="AD141" s="689"/>
      <c r="AE141" s="690"/>
      <c r="AF141" s="689"/>
      <c r="AG141" s="690"/>
      <c r="AH141" s="178"/>
      <c r="AI141" s="179"/>
      <c r="AJ141" s="179"/>
      <c r="AK141" s="179"/>
      <c r="AL141" s="179"/>
      <c r="AM141" s="179"/>
      <c r="AN141" s="179"/>
      <c r="AO141" s="179"/>
      <c r="AP141" s="179"/>
      <c r="AQ141" s="179"/>
      <c r="AR141" s="179"/>
      <c r="AS141" s="179"/>
      <c r="AT141" s="179"/>
      <c r="AU141" s="179"/>
      <c r="AV141" s="179"/>
      <c r="AW141" s="179"/>
      <c r="AX141" s="179"/>
      <c r="AY141" s="179"/>
      <c r="AZ141" s="179"/>
      <c r="BA141" s="180"/>
      <c r="BB141" s="179"/>
      <c r="BC141" s="179"/>
      <c r="BD141" s="179"/>
      <c r="BE141" s="179"/>
      <c r="BF141" s="179"/>
      <c r="BG141" s="43"/>
      <c r="BK141" s="120"/>
      <c r="BL141" s="52"/>
    </row>
    <row r="142" spans="1:64">
      <c r="A142" s="681">
        <v>135</v>
      </c>
      <c r="B142" s="682"/>
      <c r="C142" s="59"/>
      <c r="D142" s="179"/>
      <c r="E142" s="179"/>
      <c r="F142" s="179"/>
      <c r="G142" s="179"/>
      <c r="H142" s="179"/>
      <c r="I142" s="179"/>
      <c r="J142" s="179"/>
      <c r="K142" s="180"/>
      <c r="L142" s="36"/>
      <c r="M142" s="179"/>
      <c r="N142" s="179"/>
      <c r="O142" s="179"/>
      <c r="P142" s="179"/>
      <c r="Q142" s="179"/>
      <c r="R142" s="179"/>
      <c r="S142" s="179"/>
      <c r="T142" s="179"/>
      <c r="U142" s="683"/>
      <c r="V142" s="682"/>
      <c r="W142" s="684"/>
      <c r="X142" s="685"/>
      <c r="Y142" s="686"/>
      <c r="Z142" s="687"/>
      <c r="AA142" s="687"/>
      <c r="AB142" s="687"/>
      <c r="AC142" s="688"/>
      <c r="AD142" s="689"/>
      <c r="AE142" s="690"/>
      <c r="AF142" s="689"/>
      <c r="AG142" s="690"/>
      <c r="AH142" s="178"/>
      <c r="AI142" s="179"/>
      <c r="AJ142" s="179"/>
      <c r="AK142" s="179"/>
      <c r="AL142" s="179"/>
      <c r="AM142" s="179"/>
      <c r="AN142" s="179"/>
      <c r="AO142" s="179"/>
      <c r="AP142" s="179"/>
      <c r="AQ142" s="179"/>
      <c r="AR142" s="179"/>
      <c r="AS142" s="179"/>
      <c r="AT142" s="179"/>
      <c r="AU142" s="179"/>
      <c r="AV142" s="179"/>
      <c r="AW142" s="179"/>
      <c r="AX142" s="179"/>
      <c r="AY142" s="179"/>
      <c r="AZ142" s="179"/>
      <c r="BA142" s="180"/>
      <c r="BB142" s="179"/>
      <c r="BC142" s="179"/>
      <c r="BD142" s="179"/>
      <c r="BE142" s="179"/>
      <c r="BF142" s="179"/>
      <c r="BG142" s="43"/>
      <c r="BK142" s="120"/>
      <c r="BL142" s="52"/>
    </row>
    <row r="143" spans="1:64">
      <c r="A143" s="681">
        <v>136</v>
      </c>
      <c r="B143" s="682"/>
      <c r="C143" s="59"/>
      <c r="D143" s="179"/>
      <c r="E143" s="179"/>
      <c r="F143" s="179"/>
      <c r="G143" s="179"/>
      <c r="H143" s="179"/>
      <c r="I143" s="179"/>
      <c r="J143" s="179"/>
      <c r="K143" s="180"/>
      <c r="L143" s="36"/>
      <c r="M143" s="179"/>
      <c r="N143" s="179"/>
      <c r="O143" s="179"/>
      <c r="P143" s="179"/>
      <c r="Q143" s="179"/>
      <c r="R143" s="179"/>
      <c r="S143" s="179"/>
      <c r="T143" s="179"/>
      <c r="U143" s="683"/>
      <c r="V143" s="682"/>
      <c r="W143" s="684"/>
      <c r="X143" s="685"/>
      <c r="Y143" s="686"/>
      <c r="Z143" s="687"/>
      <c r="AA143" s="687"/>
      <c r="AB143" s="687"/>
      <c r="AC143" s="688"/>
      <c r="AD143" s="689"/>
      <c r="AE143" s="690"/>
      <c r="AF143" s="689"/>
      <c r="AG143" s="690"/>
      <c r="AH143" s="178"/>
      <c r="AI143" s="179"/>
      <c r="AJ143" s="179"/>
      <c r="AK143" s="179"/>
      <c r="AL143" s="179"/>
      <c r="AM143" s="179"/>
      <c r="AN143" s="179"/>
      <c r="AO143" s="179"/>
      <c r="AP143" s="179"/>
      <c r="AQ143" s="179"/>
      <c r="AR143" s="179"/>
      <c r="AS143" s="179"/>
      <c r="AT143" s="179"/>
      <c r="AU143" s="179"/>
      <c r="AV143" s="179"/>
      <c r="AW143" s="179"/>
      <c r="AX143" s="179"/>
      <c r="AY143" s="179"/>
      <c r="AZ143" s="179"/>
      <c r="BA143" s="180"/>
      <c r="BB143" s="179"/>
      <c r="BC143" s="179"/>
      <c r="BD143" s="179"/>
      <c r="BE143" s="179"/>
      <c r="BF143" s="179"/>
      <c r="BG143" s="43"/>
      <c r="BK143" s="120"/>
      <c r="BL143" s="51"/>
    </row>
    <row r="144" spans="1:64">
      <c r="A144" s="681">
        <v>137</v>
      </c>
      <c r="B144" s="682"/>
      <c r="C144" s="59"/>
      <c r="D144" s="179"/>
      <c r="E144" s="179"/>
      <c r="F144" s="179"/>
      <c r="G144" s="179"/>
      <c r="H144" s="179"/>
      <c r="I144" s="179"/>
      <c r="J144" s="179"/>
      <c r="K144" s="180"/>
      <c r="L144" s="36"/>
      <c r="M144" s="179"/>
      <c r="N144" s="179"/>
      <c r="O144" s="179"/>
      <c r="P144" s="179"/>
      <c r="Q144" s="179"/>
      <c r="R144" s="179"/>
      <c r="S144" s="179"/>
      <c r="T144" s="179"/>
      <c r="U144" s="683"/>
      <c r="V144" s="682"/>
      <c r="W144" s="684"/>
      <c r="X144" s="685"/>
      <c r="Y144" s="686"/>
      <c r="Z144" s="687"/>
      <c r="AA144" s="687"/>
      <c r="AB144" s="687"/>
      <c r="AC144" s="688"/>
      <c r="AD144" s="689"/>
      <c r="AE144" s="690"/>
      <c r="AF144" s="689"/>
      <c r="AG144" s="690"/>
      <c r="AH144" s="178"/>
      <c r="AI144" s="179"/>
      <c r="AJ144" s="179"/>
      <c r="AK144" s="179"/>
      <c r="AL144" s="179"/>
      <c r="AM144" s="179"/>
      <c r="AN144" s="179"/>
      <c r="AO144" s="179"/>
      <c r="AP144" s="179"/>
      <c r="AQ144" s="179"/>
      <c r="AR144" s="179"/>
      <c r="AS144" s="179"/>
      <c r="AT144" s="179"/>
      <c r="AU144" s="179"/>
      <c r="AV144" s="179"/>
      <c r="AW144" s="179"/>
      <c r="AX144" s="179"/>
      <c r="AY144" s="179"/>
      <c r="AZ144" s="179"/>
      <c r="BA144" s="180"/>
      <c r="BB144" s="179"/>
      <c r="BC144" s="179"/>
      <c r="BD144" s="179"/>
      <c r="BE144" s="179"/>
      <c r="BF144" s="179"/>
      <c r="BG144" s="43"/>
      <c r="BK144" s="120"/>
      <c r="BL144" s="52"/>
    </row>
    <row r="145" spans="1:64">
      <c r="A145" s="681">
        <v>138</v>
      </c>
      <c r="B145" s="682"/>
      <c r="C145" s="59"/>
      <c r="D145" s="179"/>
      <c r="E145" s="179"/>
      <c r="F145" s="179"/>
      <c r="G145" s="179"/>
      <c r="H145" s="179"/>
      <c r="I145" s="179"/>
      <c r="J145" s="179"/>
      <c r="K145" s="180"/>
      <c r="L145" s="36"/>
      <c r="M145" s="179"/>
      <c r="N145" s="179"/>
      <c r="O145" s="179"/>
      <c r="P145" s="179"/>
      <c r="Q145" s="179"/>
      <c r="R145" s="179"/>
      <c r="S145" s="179"/>
      <c r="T145" s="179"/>
      <c r="U145" s="683"/>
      <c r="V145" s="682"/>
      <c r="W145" s="684"/>
      <c r="X145" s="685"/>
      <c r="Y145" s="686"/>
      <c r="Z145" s="687"/>
      <c r="AA145" s="687"/>
      <c r="AB145" s="687"/>
      <c r="AC145" s="688"/>
      <c r="AD145" s="689"/>
      <c r="AE145" s="690"/>
      <c r="AF145" s="689"/>
      <c r="AG145" s="690"/>
      <c r="AH145" s="178"/>
      <c r="AI145" s="179"/>
      <c r="AJ145" s="179"/>
      <c r="AK145" s="179"/>
      <c r="AL145" s="179"/>
      <c r="AM145" s="179"/>
      <c r="AN145" s="179"/>
      <c r="AO145" s="179"/>
      <c r="AP145" s="179"/>
      <c r="AQ145" s="179"/>
      <c r="AR145" s="179"/>
      <c r="AS145" s="179"/>
      <c r="AT145" s="179"/>
      <c r="AU145" s="179"/>
      <c r="AV145" s="179"/>
      <c r="AW145" s="179"/>
      <c r="AX145" s="179"/>
      <c r="AY145" s="179"/>
      <c r="AZ145" s="179"/>
      <c r="BA145" s="180"/>
      <c r="BB145" s="179"/>
      <c r="BC145" s="179"/>
      <c r="BD145" s="179"/>
      <c r="BE145" s="179"/>
      <c r="BF145" s="179"/>
      <c r="BG145" s="43"/>
      <c r="BK145" s="120"/>
      <c r="BL145" s="52"/>
    </row>
    <row r="146" spans="1:64" ht="16.2" thickBot="1">
      <c r="A146" s="681">
        <v>139</v>
      </c>
      <c r="B146" s="682"/>
      <c r="C146" s="176"/>
      <c r="D146" s="176"/>
      <c r="E146" s="176"/>
      <c r="F146" s="176"/>
      <c r="G146" s="176"/>
      <c r="H146" s="176"/>
      <c r="I146" s="176"/>
      <c r="J146" s="176"/>
      <c r="K146" s="177"/>
      <c r="L146" s="176"/>
      <c r="M146" s="176"/>
      <c r="N146" s="176"/>
      <c r="O146" s="176"/>
      <c r="P146" s="176"/>
      <c r="Q146" s="176"/>
      <c r="R146" s="176"/>
      <c r="S146" s="176"/>
      <c r="T146" s="176"/>
      <c r="U146" s="677"/>
      <c r="V146" s="678"/>
      <c r="W146" s="677"/>
      <c r="X146" s="678"/>
      <c r="Y146" s="175"/>
      <c r="Z146" s="176"/>
      <c r="AA146" s="176"/>
      <c r="AB146" s="176"/>
      <c r="AC146" s="177"/>
      <c r="AD146" s="679"/>
      <c r="AE146" s="680"/>
      <c r="AF146" s="679"/>
      <c r="AG146" s="680"/>
      <c r="AH146" s="175"/>
      <c r="AI146" s="176"/>
      <c r="AJ146" s="176"/>
      <c r="AK146" s="176"/>
      <c r="AL146" s="176"/>
      <c r="AM146" s="176"/>
      <c r="AN146" s="176"/>
      <c r="AO146" s="176"/>
      <c r="AP146" s="176"/>
      <c r="AQ146" s="176"/>
      <c r="AR146" s="176"/>
      <c r="AS146" s="176"/>
      <c r="AT146" s="176"/>
      <c r="AU146" s="176"/>
      <c r="AV146" s="176"/>
      <c r="AW146" s="176"/>
      <c r="AX146" s="176"/>
      <c r="AY146" s="176"/>
      <c r="AZ146" s="176"/>
      <c r="BA146" s="177"/>
      <c r="BK146" s="101"/>
      <c r="BL146" s="51"/>
    </row>
    <row r="147" spans="1:64">
      <c r="BK147" s="101"/>
      <c r="BL147" s="51"/>
    </row>
    <row r="148" spans="1:64">
      <c r="BK148" s="101"/>
      <c r="BL148" s="51"/>
    </row>
    <row r="149" spans="1:64">
      <c r="BK149" s="101"/>
      <c r="BL149" s="51"/>
    </row>
    <row r="150" spans="1:64">
      <c r="BK150" s="101"/>
      <c r="BL150" s="51"/>
    </row>
    <row r="151" spans="1:64">
      <c r="BK151" s="101"/>
      <c r="BL151" s="51"/>
    </row>
    <row r="152" spans="1:64">
      <c r="BK152" s="51"/>
      <c r="BL152" s="51"/>
    </row>
    <row r="153" spans="1:64">
      <c r="BK153" s="51"/>
      <c r="BL153" s="51"/>
    </row>
    <row r="154" spans="1:64">
      <c r="BK154" s="51"/>
      <c r="BL154" s="51"/>
    </row>
    <row r="155" spans="1:64">
      <c r="BK155" s="51"/>
      <c r="BL155" s="51"/>
    </row>
    <row r="156" spans="1:64">
      <c r="BK156" s="51"/>
      <c r="BL156" s="51"/>
    </row>
    <row r="157" spans="1:64">
      <c r="BK157" s="51"/>
      <c r="BL157" s="51"/>
    </row>
    <row r="158" spans="1:64">
      <c r="BK158" s="51"/>
      <c r="BL158" s="51"/>
    </row>
  </sheetData>
  <mergeCells count="850">
    <mergeCell ref="A59:B59"/>
    <mergeCell ref="U59:V59"/>
    <mergeCell ref="W59:X59"/>
    <mergeCell ref="Y59:AC59"/>
    <mergeCell ref="AD59:AE59"/>
    <mergeCell ref="AF59:AG59"/>
    <mergeCell ref="A65:B65"/>
    <mergeCell ref="U65:V65"/>
    <mergeCell ref="W65:X65"/>
    <mergeCell ref="Y65:AC65"/>
    <mergeCell ref="AD65:AE65"/>
    <mergeCell ref="AF65:AG65"/>
    <mergeCell ref="A64:B64"/>
    <mergeCell ref="U64:V64"/>
    <mergeCell ref="W64:X64"/>
    <mergeCell ref="Y64:AC64"/>
    <mergeCell ref="AD64:AE64"/>
    <mergeCell ref="AF64:AG64"/>
    <mergeCell ref="A63:B63"/>
    <mergeCell ref="U63:V63"/>
    <mergeCell ref="W63:X63"/>
    <mergeCell ref="Y63:AC63"/>
    <mergeCell ref="AD63:AE63"/>
    <mergeCell ref="AF63:AG63"/>
    <mergeCell ref="A56:B56"/>
    <mergeCell ref="U56:V56"/>
    <mergeCell ref="W56:X56"/>
    <mergeCell ref="Y56:AC56"/>
    <mergeCell ref="AD56:AE56"/>
    <mergeCell ref="AF56:AG56"/>
    <mergeCell ref="A57:B57"/>
    <mergeCell ref="U57:V57"/>
    <mergeCell ref="W57:X57"/>
    <mergeCell ref="Y57:AC57"/>
    <mergeCell ref="AD57:AE57"/>
    <mergeCell ref="AF57:AG57"/>
    <mergeCell ref="A50:B50"/>
    <mergeCell ref="U50:V50"/>
    <mergeCell ref="W50:X50"/>
    <mergeCell ref="Y50:AC50"/>
    <mergeCell ref="AD50:AE50"/>
    <mergeCell ref="AF50:AG50"/>
    <mergeCell ref="A47:B47"/>
    <mergeCell ref="U47:V47"/>
    <mergeCell ref="W47:X47"/>
    <mergeCell ref="Y47:AC47"/>
    <mergeCell ref="AD47:AE47"/>
    <mergeCell ref="AF47:AG47"/>
    <mergeCell ref="A48:B48"/>
    <mergeCell ref="U48:V48"/>
    <mergeCell ref="W48:X48"/>
    <mergeCell ref="AD48:AE48"/>
    <mergeCell ref="Y48:AC48"/>
    <mergeCell ref="AF48:AG48"/>
    <mergeCell ref="A49:B49"/>
    <mergeCell ref="U49:V49"/>
    <mergeCell ref="W49:X49"/>
    <mergeCell ref="Y49:AC49"/>
    <mergeCell ref="AD49:AE49"/>
    <mergeCell ref="AF49:AG49"/>
    <mergeCell ref="A46:B46"/>
    <mergeCell ref="U46:V46"/>
    <mergeCell ref="W46:X46"/>
    <mergeCell ref="Y46:AC46"/>
    <mergeCell ref="AD46:AE46"/>
    <mergeCell ref="AF46:AG46"/>
    <mergeCell ref="A45:B45"/>
    <mergeCell ref="U45:V45"/>
    <mergeCell ref="W45:X45"/>
    <mergeCell ref="Y45:AC45"/>
    <mergeCell ref="AD45:AE45"/>
    <mergeCell ref="AF45:AG45"/>
    <mergeCell ref="A8:B8"/>
    <mergeCell ref="U8:V8"/>
    <mergeCell ref="W8:X8"/>
    <mergeCell ref="Y8:AC8"/>
    <mergeCell ref="AD8:AE8"/>
    <mergeCell ref="AF8:AG8"/>
    <mergeCell ref="A6:B7"/>
    <mergeCell ref="C6:K7"/>
    <mergeCell ref="L6:T7"/>
    <mergeCell ref="U6:V7"/>
    <mergeCell ref="W6:X7"/>
    <mergeCell ref="Y6:AC7"/>
    <mergeCell ref="AD6:AE7"/>
    <mergeCell ref="AF6:AG7"/>
    <mergeCell ref="AH6:BA7"/>
    <mergeCell ref="G1:T1"/>
    <mergeCell ref="U1:AO2"/>
    <mergeCell ref="AS1:AX1"/>
    <mergeCell ref="BB1:BG1"/>
    <mergeCell ref="G2:T2"/>
    <mergeCell ref="AS2:AX2"/>
    <mergeCell ref="BB2:BG2"/>
    <mergeCell ref="BB6:BG7"/>
    <mergeCell ref="A10:B10"/>
    <mergeCell ref="U10:V10"/>
    <mergeCell ref="W10:X10"/>
    <mergeCell ref="Y10:AC10"/>
    <mergeCell ref="AD10:AE10"/>
    <mergeCell ref="AF10:AG10"/>
    <mergeCell ref="A9:B9"/>
    <mergeCell ref="U9:V9"/>
    <mergeCell ref="W9:X9"/>
    <mergeCell ref="Y9:AC9"/>
    <mergeCell ref="AD9:AE9"/>
    <mergeCell ref="AF9:AG9"/>
    <mergeCell ref="A12:B12"/>
    <mergeCell ref="U12:V12"/>
    <mergeCell ref="W12:X12"/>
    <mergeCell ref="Y12:AC12"/>
    <mergeCell ref="AD12:AE12"/>
    <mergeCell ref="AF12:AG12"/>
    <mergeCell ref="A11:B11"/>
    <mergeCell ref="U11:V11"/>
    <mergeCell ref="W11:X11"/>
    <mergeCell ref="Y11:AC11"/>
    <mergeCell ref="AD11:AE11"/>
    <mergeCell ref="AF11:AG11"/>
    <mergeCell ref="A14:B14"/>
    <mergeCell ref="U14:V14"/>
    <mergeCell ref="W14:X14"/>
    <mergeCell ref="Y14:AC14"/>
    <mergeCell ref="AD14:AE14"/>
    <mergeCell ref="AF14:AG14"/>
    <mergeCell ref="A13:B13"/>
    <mergeCell ref="U13:V13"/>
    <mergeCell ref="W13:X13"/>
    <mergeCell ref="Y13:AC13"/>
    <mergeCell ref="AD13:AE13"/>
    <mergeCell ref="AF13:AG13"/>
    <mergeCell ref="A16:B16"/>
    <mergeCell ref="U16:V16"/>
    <mergeCell ref="W16:X16"/>
    <mergeCell ref="Y16:AC16"/>
    <mergeCell ref="AD16:AE16"/>
    <mergeCell ref="AF16:AG16"/>
    <mergeCell ref="A15:B15"/>
    <mergeCell ref="U15:V15"/>
    <mergeCell ref="W15:X15"/>
    <mergeCell ref="Y15:AC15"/>
    <mergeCell ref="AD15:AE15"/>
    <mergeCell ref="AF15:AG15"/>
    <mergeCell ref="A18:B18"/>
    <mergeCell ref="U18:V18"/>
    <mergeCell ref="W18:X18"/>
    <mergeCell ref="Y18:AC18"/>
    <mergeCell ref="AD18:AE18"/>
    <mergeCell ref="AF18:AG18"/>
    <mergeCell ref="A17:B17"/>
    <mergeCell ref="U17:V17"/>
    <mergeCell ref="W17:X17"/>
    <mergeCell ref="Y17:AC17"/>
    <mergeCell ref="AD17:AE17"/>
    <mergeCell ref="AF17:AG17"/>
    <mergeCell ref="A20:B20"/>
    <mergeCell ref="U20:V20"/>
    <mergeCell ref="W20:X20"/>
    <mergeCell ref="Y20:AC20"/>
    <mergeCell ref="AD20:AE20"/>
    <mergeCell ref="AF20:AG20"/>
    <mergeCell ref="A19:B19"/>
    <mergeCell ref="U19:V19"/>
    <mergeCell ref="W19:X19"/>
    <mergeCell ref="Y19:AC19"/>
    <mergeCell ref="AD19:AE19"/>
    <mergeCell ref="AF19:AG19"/>
    <mergeCell ref="A22:B22"/>
    <mergeCell ref="U22:V22"/>
    <mergeCell ref="W22:X22"/>
    <mergeCell ref="Y22:AC22"/>
    <mergeCell ref="AD22:AE22"/>
    <mergeCell ref="AF22:AG22"/>
    <mergeCell ref="A21:B21"/>
    <mergeCell ref="U21:V21"/>
    <mergeCell ref="W21:X21"/>
    <mergeCell ref="Y21:AC21"/>
    <mergeCell ref="AD21:AE21"/>
    <mergeCell ref="AF21:AG21"/>
    <mergeCell ref="A24:B24"/>
    <mergeCell ref="U24:V24"/>
    <mergeCell ref="W24:X24"/>
    <mergeCell ref="Y24:AC24"/>
    <mergeCell ref="AD24:AE24"/>
    <mergeCell ref="AF24:AG24"/>
    <mergeCell ref="A23:B23"/>
    <mergeCell ref="U23:V23"/>
    <mergeCell ref="W23:X23"/>
    <mergeCell ref="Y23:AC23"/>
    <mergeCell ref="AD23:AE23"/>
    <mergeCell ref="AF23:AG23"/>
    <mergeCell ref="A26:B26"/>
    <mergeCell ref="U26:V26"/>
    <mergeCell ref="W26:X26"/>
    <mergeCell ref="Y26:AC26"/>
    <mergeCell ref="AD26:AE26"/>
    <mergeCell ref="AF26:AG26"/>
    <mergeCell ref="A25:B25"/>
    <mergeCell ref="U25:V25"/>
    <mergeCell ref="W25:X25"/>
    <mergeCell ref="Y25:AC25"/>
    <mergeCell ref="AD25:AE25"/>
    <mergeCell ref="AF25:AG25"/>
    <mergeCell ref="A28:B28"/>
    <mergeCell ref="U28:V28"/>
    <mergeCell ref="W28:X28"/>
    <mergeCell ref="Y28:AC28"/>
    <mergeCell ref="AD28:AE28"/>
    <mergeCell ref="AF28:AG28"/>
    <mergeCell ref="A27:B27"/>
    <mergeCell ref="U27:V27"/>
    <mergeCell ref="W27:X27"/>
    <mergeCell ref="Y27:AC27"/>
    <mergeCell ref="AD27:AE27"/>
    <mergeCell ref="AF27:AG27"/>
    <mergeCell ref="A30:B30"/>
    <mergeCell ref="U30:V30"/>
    <mergeCell ref="W30:X30"/>
    <mergeCell ref="Y30:AC30"/>
    <mergeCell ref="AD30:AE30"/>
    <mergeCell ref="AF30:AG30"/>
    <mergeCell ref="A29:B29"/>
    <mergeCell ref="U29:V29"/>
    <mergeCell ref="W29:X29"/>
    <mergeCell ref="Y29:AC29"/>
    <mergeCell ref="AD29:AE29"/>
    <mergeCell ref="AF29:AG29"/>
    <mergeCell ref="A33:B33"/>
    <mergeCell ref="U33:V33"/>
    <mergeCell ref="W33:X33"/>
    <mergeCell ref="Y33:AC33"/>
    <mergeCell ref="AD33:AE33"/>
    <mergeCell ref="AF33:AG33"/>
    <mergeCell ref="A31:B31"/>
    <mergeCell ref="U31:V31"/>
    <mergeCell ref="W31:X31"/>
    <mergeCell ref="Y31:AC31"/>
    <mergeCell ref="AD31:AE31"/>
    <mergeCell ref="AF31:AG31"/>
    <mergeCell ref="A32:B32"/>
    <mergeCell ref="U32:V32"/>
    <mergeCell ref="W32:X32"/>
    <mergeCell ref="Y32:AC32"/>
    <mergeCell ref="AD32:AE32"/>
    <mergeCell ref="AF32:AG32"/>
    <mergeCell ref="A35:B35"/>
    <mergeCell ref="U35:V35"/>
    <mergeCell ref="W35:X35"/>
    <mergeCell ref="Y35:AC35"/>
    <mergeCell ref="AD35:AE35"/>
    <mergeCell ref="AF35:AG35"/>
    <mergeCell ref="A34:B34"/>
    <mergeCell ref="U34:V34"/>
    <mergeCell ref="W34:X34"/>
    <mergeCell ref="Y34:AC34"/>
    <mergeCell ref="AD34:AE34"/>
    <mergeCell ref="AF34:AG34"/>
    <mergeCell ref="A37:B37"/>
    <mergeCell ref="U37:V37"/>
    <mergeCell ref="W37:X37"/>
    <mergeCell ref="Y37:AC37"/>
    <mergeCell ref="AD37:AE37"/>
    <mergeCell ref="AF37:AG37"/>
    <mergeCell ref="A36:B36"/>
    <mergeCell ref="U36:V36"/>
    <mergeCell ref="W36:X36"/>
    <mergeCell ref="Y36:AC36"/>
    <mergeCell ref="AD36:AE36"/>
    <mergeCell ref="AF36:AG36"/>
    <mergeCell ref="A39:B39"/>
    <mergeCell ref="U39:V39"/>
    <mergeCell ref="W39:X39"/>
    <mergeCell ref="Y39:AC39"/>
    <mergeCell ref="AD39:AE39"/>
    <mergeCell ref="AF39:AG39"/>
    <mergeCell ref="A38:B38"/>
    <mergeCell ref="U38:V38"/>
    <mergeCell ref="W38:X38"/>
    <mergeCell ref="Y38:AC38"/>
    <mergeCell ref="AD38:AE38"/>
    <mergeCell ref="AF38:AG38"/>
    <mergeCell ref="A40:B40"/>
    <mergeCell ref="U40:V40"/>
    <mergeCell ref="W40:X40"/>
    <mergeCell ref="Y40:AC40"/>
    <mergeCell ref="AD40:AE40"/>
    <mergeCell ref="AF40:AG40"/>
    <mergeCell ref="A41:B41"/>
    <mergeCell ref="U41:V41"/>
    <mergeCell ref="W41:X41"/>
    <mergeCell ref="Y41:AC41"/>
    <mergeCell ref="AD41:AE41"/>
    <mergeCell ref="AF41:AG41"/>
    <mergeCell ref="A51:B51"/>
    <mergeCell ref="U51:V51"/>
    <mergeCell ref="W51:X51"/>
    <mergeCell ref="Y51:AC51"/>
    <mergeCell ref="AD51:AE51"/>
    <mergeCell ref="AF51:AG51"/>
    <mergeCell ref="A42:B42"/>
    <mergeCell ref="U42:V42"/>
    <mergeCell ref="W42:X42"/>
    <mergeCell ref="Y42:AC42"/>
    <mergeCell ref="AD42:AE42"/>
    <mergeCell ref="AF42:AG42"/>
    <mergeCell ref="A44:B44"/>
    <mergeCell ref="U44:V44"/>
    <mergeCell ref="W44:X44"/>
    <mergeCell ref="Y44:AC44"/>
    <mergeCell ref="AD44:AE44"/>
    <mergeCell ref="AF44:AG44"/>
    <mergeCell ref="A43:B43"/>
    <mergeCell ref="U43:V43"/>
    <mergeCell ref="W43:X43"/>
    <mergeCell ref="Y43:AC43"/>
    <mergeCell ref="AD43:AE43"/>
    <mergeCell ref="AF43:AG43"/>
    <mergeCell ref="A53:B53"/>
    <mergeCell ref="U53:V53"/>
    <mergeCell ref="W53:X53"/>
    <mergeCell ref="Y53:AC53"/>
    <mergeCell ref="AD53:AE53"/>
    <mergeCell ref="AF53:AG53"/>
    <mergeCell ref="A52:B52"/>
    <mergeCell ref="U52:V52"/>
    <mergeCell ref="W52:X52"/>
    <mergeCell ref="Y52:AC52"/>
    <mergeCell ref="AD52:AE52"/>
    <mergeCell ref="AF52:AG52"/>
    <mergeCell ref="A55:B55"/>
    <mergeCell ref="U55:V55"/>
    <mergeCell ref="W55:X55"/>
    <mergeCell ref="Y55:AC55"/>
    <mergeCell ref="AD55:AE55"/>
    <mergeCell ref="AF55:AG55"/>
    <mergeCell ref="A54:B54"/>
    <mergeCell ref="U54:V54"/>
    <mergeCell ref="W54:X54"/>
    <mergeCell ref="Y54:AC54"/>
    <mergeCell ref="AD54:AE54"/>
    <mergeCell ref="AF54:AG54"/>
    <mergeCell ref="A58:B58"/>
    <mergeCell ref="U58:V58"/>
    <mergeCell ref="W58:X58"/>
    <mergeCell ref="Y58:AC58"/>
    <mergeCell ref="AD58:AE58"/>
    <mergeCell ref="AF58:AG58"/>
    <mergeCell ref="A62:B62"/>
    <mergeCell ref="U62:V62"/>
    <mergeCell ref="W62:X62"/>
    <mergeCell ref="Y62:AC62"/>
    <mergeCell ref="AD62:AE62"/>
    <mergeCell ref="AF62:AG62"/>
    <mergeCell ref="A61:B61"/>
    <mergeCell ref="U61:V61"/>
    <mergeCell ref="W61:X61"/>
    <mergeCell ref="Y61:AC61"/>
    <mergeCell ref="AD61:AE61"/>
    <mergeCell ref="AF61:AG61"/>
    <mergeCell ref="A60:B60"/>
    <mergeCell ref="U60:V60"/>
    <mergeCell ref="W60:X60"/>
    <mergeCell ref="Y60:AC60"/>
    <mergeCell ref="AD60:AE60"/>
    <mergeCell ref="AF60:AG60"/>
    <mergeCell ref="A68:B68"/>
    <mergeCell ref="U68:V68"/>
    <mergeCell ref="W68:X68"/>
    <mergeCell ref="Y68:AC68"/>
    <mergeCell ref="AD68:AE68"/>
    <mergeCell ref="AF68:AG68"/>
    <mergeCell ref="A66:B66"/>
    <mergeCell ref="U66:V66"/>
    <mergeCell ref="W66:X66"/>
    <mergeCell ref="Y66:AC66"/>
    <mergeCell ref="AD66:AE66"/>
    <mergeCell ref="AF66:AG66"/>
    <mergeCell ref="A67:B67"/>
    <mergeCell ref="U67:V67"/>
    <mergeCell ref="W67:X67"/>
    <mergeCell ref="Y67:AC67"/>
    <mergeCell ref="AD67:AE67"/>
    <mergeCell ref="AF67:AG67"/>
    <mergeCell ref="A70:B70"/>
    <mergeCell ref="U70:V70"/>
    <mergeCell ref="W70:X70"/>
    <mergeCell ref="Y70:AC70"/>
    <mergeCell ref="AD70:AE70"/>
    <mergeCell ref="AF70:AG70"/>
    <mergeCell ref="A69:B69"/>
    <mergeCell ref="U69:V69"/>
    <mergeCell ref="W69:X69"/>
    <mergeCell ref="Y69:AC69"/>
    <mergeCell ref="AD69:AE69"/>
    <mergeCell ref="AF69:AG69"/>
    <mergeCell ref="A72:B72"/>
    <mergeCell ref="U72:V72"/>
    <mergeCell ref="W72:X72"/>
    <mergeCell ref="Y72:AC72"/>
    <mergeCell ref="AD72:AE72"/>
    <mergeCell ref="AF72:AG72"/>
    <mergeCell ref="A71:B71"/>
    <mergeCell ref="U71:V71"/>
    <mergeCell ref="W71:X71"/>
    <mergeCell ref="Y71:AC71"/>
    <mergeCell ref="AD71:AE71"/>
    <mergeCell ref="AF71:AG71"/>
    <mergeCell ref="A74:B74"/>
    <mergeCell ref="U74:V74"/>
    <mergeCell ref="W74:X74"/>
    <mergeCell ref="Y74:AC74"/>
    <mergeCell ref="AD74:AE74"/>
    <mergeCell ref="AF74:AG74"/>
    <mergeCell ref="A73:B73"/>
    <mergeCell ref="U73:V73"/>
    <mergeCell ref="W73:X73"/>
    <mergeCell ref="Y73:AC73"/>
    <mergeCell ref="AD73:AE73"/>
    <mergeCell ref="AF73:AG73"/>
    <mergeCell ref="A76:B76"/>
    <mergeCell ref="U76:V76"/>
    <mergeCell ref="W76:X76"/>
    <mergeCell ref="Y76:AC76"/>
    <mergeCell ref="AD76:AE76"/>
    <mergeCell ref="AF76:AG76"/>
    <mergeCell ref="A75:B75"/>
    <mergeCell ref="U75:V75"/>
    <mergeCell ref="W75:X75"/>
    <mergeCell ref="Y75:AC75"/>
    <mergeCell ref="AD75:AE75"/>
    <mergeCell ref="AF75:AG75"/>
    <mergeCell ref="A78:B78"/>
    <mergeCell ref="U78:V78"/>
    <mergeCell ref="W78:X78"/>
    <mergeCell ref="Y78:AC78"/>
    <mergeCell ref="AD78:AE78"/>
    <mergeCell ref="AF78:AG78"/>
    <mergeCell ref="A77:B77"/>
    <mergeCell ref="U77:V77"/>
    <mergeCell ref="W77:X77"/>
    <mergeCell ref="Y77:AC77"/>
    <mergeCell ref="AD77:AE77"/>
    <mergeCell ref="AF77:AG77"/>
    <mergeCell ref="A80:B80"/>
    <mergeCell ref="U80:V80"/>
    <mergeCell ref="W80:X80"/>
    <mergeCell ref="Y80:AC80"/>
    <mergeCell ref="AD80:AE80"/>
    <mergeCell ref="AF80:AG80"/>
    <mergeCell ref="A79:B79"/>
    <mergeCell ref="U79:V79"/>
    <mergeCell ref="W79:X79"/>
    <mergeCell ref="Y79:AC79"/>
    <mergeCell ref="AD79:AE79"/>
    <mergeCell ref="AF79:AG79"/>
    <mergeCell ref="A82:B82"/>
    <mergeCell ref="U82:V82"/>
    <mergeCell ref="W82:X82"/>
    <mergeCell ref="Y82:AC82"/>
    <mergeCell ref="AD82:AE82"/>
    <mergeCell ref="AF82:AG82"/>
    <mergeCell ref="A81:B81"/>
    <mergeCell ref="U81:V81"/>
    <mergeCell ref="W81:X81"/>
    <mergeCell ref="Y81:AC81"/>
    <mergeCell ref="AD81:AE81"/>
    <mergeCell ref="AF81:AG81"/>
    <mergeCell ref="A84:B84"/>
    <mergeCell ref="U84:V84"/>
    <mergeCell ref="W84:X84"/>
    <mergeCell ref="Y84:AC84"/>
    <mergeCell ref="AD84:AE84"/>
    <mergeCell ref="AF84:AG84"/>
    <mergeCell ref="A83:B83"/>
    <mergeCell ref="U83:V83"/>
    <mergeCell ref="W83:X83"/>
    <mergeCell ref="Y83:AC83"/>
    <mergeCell ref="AD83:AE83"/>
    <mergeCell ref="AF83:AG83"/>
    <mergeCell ref="A86:B86"/>
    <mergeCell ref="U86:V86"/>
    <mergeCell ref="W86:X86"/>
    <mergeCell ref="Y86:AC86"/>
    <mergeCell ref="AD86:AE86"/>
    <mergeCell ref="AF86:AG86"/>
    <mergeCell ref="A85:B85"/>
    <mergeCell ref="U85:V85"/>
    <mergeCell ref="W85:X85"/>
    <mergeCell ref="Y85:AC85"/>
    <mergeCell ref="AD85:AE85"/>
    <mergeCell ref="AF85:AG85"/>
    <mergeCell ref="A88:B88"/>
    <mergeCell ref="U88:V88"/>
    <mergeCell ref="W88:X88"/>
    <mergeCell ref="Y88:AC88"/>
    <mergeCell ref="AD88:AE88"/>
    <mergeCell ref="AF88:AG88"/>
    <mergeCell ref="A87:B87"/>
    <mergeCell ref="U87:V87"/>
    <mergeCell ref="W87:X87"/>
    <mergeCell ref="Y87:AC87"/>
    <mergeCell ref="AD87:AE87"/>
    <mergeCell ref="AF87:AG87"/>
    <mergeCell ref="A90:B90"/>
    <mergeCell ref="U90:V90"/>
    <mergeCell ref="W90:X90"/>
    <mergeCell ref="Y90:AC90"/>
    <mergeCell ref="AD90:AE90"/>
    <mergeCell ref="AF90:AG90"/>
    <mergeCell ref="A89:B89"/>
    <mergeCell ref="U89:V89"/>
    <mergeCell ref="W89:X89"/>
    <mergeCell ref="Y89:AC89"/>
    <mergeCell ref="AD89:AE89"/>
    <mergeCell ref="AF89:AG89"/>
    <mergeCell ref="A92:B92"/>
    <mergeCell ref="U92:V92"/>
    <mergeCell ref="W92:X92"/>
    <mergeCell ref="Y92:AC92"/>
    <mergeCell ref="AD92:AE92"/>
    <mergeCell ref="AF92:AG92"/>
    <mergeCell ref="A91:B91"/>
    <mergeCell ref="U91:V91"/>
    <mergeCell ref="W91:X91"/>
    <mergeCell ref="Y91:AC91"/>
    <mergeCell ref="AD91:AE91"/>
    <mergeCell ref="AF91:AG91"/>
    <mergeCell ref="A94:B94"/>
    <mergeCell ref="U94:V94"/>
    <mergeCell ref="W94:X94"/>
    <mergeCell ref="Y94:AC94"/>
    <mergeCell ref="AD94:AE94"/>
    <mergeCell ref="AF94:AG94"/>
    <mergeCell ref="A93:B93"/>
    <mergeCell ref="U93:V93"/>
    <mergeCell ref="W93:X93"/>
    <mergeCell ref="Y93:AC93"/>
    <mergeCell ref="AD93:AE93"/>
    <mergeCell ref="AF93:AG93"/>
    <mergeCell ref="A96:B96"/>
    <mergeCell ref="U96:V96"/>
    <mergeCell ref="W96:X96"/>
    <mergeCell ref="Y96:AC96"/>
    <mergeCell ref="AD96:AE96"/>
    <mergeCell ref="AF96:AG96"/>
    <mergeCell ref="A95:B95"/>
    <mergeCell ref="U95:V95"/>
    <mergeCell ref="W95:X95"/>
    <mergeCell ref="Y95:AC95"/>
    <mergeCell ref="AD95:AE95"/>
    <mergeCell ref="AF95:AG95"/>
    <mergeCell ref="A98:B98"/>
    <mergeCell ref="U98:V98"/>
    <mergeCell ref="W98:X98"/>
    <mergeCell ref="Y98:AC98"/>
    <mergeCell ref="AD98:AE98"/>
    <mergeCell ref="AF98:AG98"/>
    <mergeCell ref="A97:B97"/>
    <mergeCell ref="U97:V97"/>
    <mergeCell ref="W97:X97"/>
    <mergeCell ref="Y97:AC97"/>
    <mergeCell ref="AD97:AE97"/>
    <mergeCell ref="AF97:AG97"/>
    <mergeCell ref="A100:B100"/>
    <mergeCell ref="U100:V100"/>
    <mergeCell ref="W100:X100"/>
    <mergeCell ref="Y100:AC100"/>
    <mergeCell ref="AD100:AE100"/>
    <mergeCell ref="AF100:AG100"/>
    <mergeCell ref="A99:B99"/>
    <mergeCell ref="U99:V99"/>
    <mergeCell ref="W99:X99"/>
    <mergeCell ref="Y99:AC99"/>
    <mergeCell ref="AD99:AE99"/>
    <mergeCell ref="AF99:AG99"/>
    <mergeCell ref="A102:B102"/>
    <mergeCell ref="U102:V102"/>
    <mergeCell ref="W102:X102"/>
    <mergeCell ref="Y102:AC102"/>
    <mergeCell ref="AD102:AE102"/>
    <mergeCell ref="AF102:AG102"/>
    <mergeCell ref="A101:B101"/>
    <mergeCell ref="U101:V101"/>
    <mergeCell ref="W101:X101"/>
    <mergeCell ref="Y101:AC101"/>
    <mergeCell ref="AD101:AE101"/>
    <mergeCell ref="AF101:AG101"/>
    <mergeCell ref="A104:B104"/>
    <mergeCell ref="U104:V104"/>
    <mergeCell ref="W104:X104"/>
    <mergeCell ref="Y104:AC104"/>
    <mergeCell ref="AD104:AE104"/>
    <mergeCell ref="AF104:AG104"/>
    <mergeCell ref="A103:B103"/>
    <mergeCell ref="U103:V103"/>
    <mergeCell ref="W103:X103"/>
    <mergeCell ref="Y103:AC103"/>
    <mergeCell ref="AD103:AE103"/>
    <mergeCell ref="AF103:AG103"/>
    <mergeCell ref="A106:B106"/>
    <mergeCell ref="U106:V106"/>
    <mergeCell ref="W106:X106"/>
    <mergeCell ref="Y106:AC106"/>
    <mergeCell ref="AD106:AE106"/>
    <mergeCell ref="AF106:AG106"/>
    <mergeCell ref="A105:B105"/>
    <mergeCell ref="U105:V105"/>
    <mergeCell ref="W105:X105"/>
    <mergeCell ref="Y105:AC105"/>
    <mergeCell ref="AD105:AE105"/>
    <mergeCell ref="AF105:AG105"/>
    <mergeCell ref="A108:B108"/>
    <mergeCell ref="U108:V108"/>
    <mergeCell ref="W108:X108"/>
    <mergeCell ref="Y108:AC108"/>
    <mergeCell ref="AD108:AE108"/>
    <mergeCell ref="AF108:AG108"/>
    <mergeCell ref="A107:B107"/>
    <mergeCell ref="U107:V107"/>
    <mergeCell ref="W107:X107"/>
    <mergeCell ref="Y107:AC107"/>
    <mergeCell ref="AD107:AE107"/>
    <mergeCell ref="AF107:AG107"/>
    <mergeCell ref="A110:B110"/>
    <mergeCell ref="U110:V110"/>
    <mergeCell ref="W110:X110"/>
    <mergeCell ref="Y110:AC110"/>
    <mergeCell ref="AD110:AE110"/>
    <mergeCell ref="AF110:AG110"/>
    <mergeCell ref="A109:B109"/>
    <mergeCell ref="U109:V109"/>
    <mergeCell ref="W109:X109"/>
    <mergeCell ref="Y109:AC109"/>
    <mergeCell ref="AD109:AE109"/>
    <mergeCell ref="AF109:AG109"/>
    <mergeCell ref="A112:B112"/>
    <mergeCell ref="U112:V112"/>
    <mergeCell ref="W112:X112"/>
    <mergeCell ref="Y112:AC112"/>
    <mergeCell ref="AD112:AE112"/>
    <mergeCell ref="AF112:AG112"/>
    <mergeCell ref="A111:B111"/>
    <mergeCell ref="U111:V111"/>
    <mergeCell ref="W111:X111"/>
    <mergeCell ref="Y111:AC111"/>
    <mergeCell ref="AD111:AE111"/>
    <mergeCell ref="AF111:AG111"/>
    <mergeCell ref="A114:B114"/>
    <mergeCell ref="U114:V114"/>
    <mergeCell ref="W114:X114"/>
    <mergeCell ref="Y114:AC114"/>
    <mergeCell ref="AD114:AE114"/>
    <mergeCell ref="AF114:AG114"/>
    <mergeCell ref="A113:B113"/>
    <mergeCell ref="U113:V113"/>
    <mergeCell ref="W113:X113"/>
    <mergeCell ref="Y113:AC113"/>
    <mergeCell ref="AD113:AE113"/>
    <mergeCell ref="AF113:AG113"/>
    <mergeCell ref="A116:B116"/>
    <mergeCell ref="U116:V116"/>
    <mergeCell ref="W116:X116"/>
    <mergeCell ref="Y116:AC116"/>
    <mergeCell ref="AD116:AE116"/>
    <mergeCell ref="AF116:AG116"/>
    <mergeCell ref="A115:B115"/>
    <mergeCell ref="U115:V115"/>
    <mergeCell ref="W115:X115"/>
    <mergeCell ref="Y115:AC115"/>
    <mergeCell ref="AD115:AE115"/>
    <mergeCell ref="AF115:AG115"/>
    <mergeCell ref="A118:B118"/>
    <mergeCell ref="U118:V118"/>
    <mergeCell ref="W118:X118"/>
    <mergeCell ref="Y118:AC118"/>
    <mergeCell ref="AD118:AE118"/>
    <mergeCell ref="AF118:AG118"/>
    <mergeCell ref="A117:B117"/>
    <mergeCell ref="U117:V117"/>
    <mergeCell ref="W117:X117"/>
    <mergeCell ref="Y117:AC117"/>
    <mergeCell ref="AD117:AE117"/>
    <mergeCell ref="AF117:AG117"/>
    <mergeCell ref="A120:B120"/>
    <mergeCell ref="U120:V120"/>
    <mergeCell ref="W120:X120"/>
    <mergeCell ref="Y120:AC120"/>
    <mergeCell ref="AD120:AE120"/>
    <mergeCell ref="AF120:AG120"/>
    <mergeCell ref="A119:B119"/>
    <mergeCell ref="U119:V119"/>
    <mergeCell ref="W119:X119"/>
    <mergeCell ref="Y119:AC119"/>
    <mergeCell ref="AD119:AE119"/>
    <mergeCell ref="AF119:AG119"/>
    <mergeCell ref="A122:B122"/>
    <mergeCell ref="U122:V122"/>
    <mergeCell ref="W122:X122"/>
    <mergeCell ref="Y122:AC122"/>
    <mergeCell ref="AD122:AE122"/>
    <mergeCell ref="AF122:AG122"/>
    <mergeCell ref="A121:B121"/>
    <mergeCell ref="U121:V121"/>
    <mergeCell ref="W121:X121"/>
    <mergeCell ref="Y121:AC121"/>
    <mergeCell ref="AD121:AE121"/>
    <mergeCell ref="AF121:AG121"/>
    <mergeCell ref="A124:B124"/>
    <mergeCell ref="U124:V124"/>
    <mergeCell ref="W124:X124"/>
    <mergeCell ref="Y124:AC124"/>
    <mergeCell ref="AD124:AE124"/>
    <mergeCell ref="AF124:AG124"/>
    <mergeCell ref="A123:B123"/>
    <mergeCell ref="U123:V123"/>
    <mergeCell ref="W123:X123"/>
    <mergeCell ref="Y123:AC123"/>
    <mergeCell ref="AD123:AE123"/>
    <mergeCell ref="AF123:AG123"/>
    <mergeCell ref="A126:B126"/>
    <mergeCell ref="U126:V126"/>
    <mergeCell ref="W126:X126"/>
    <mergeCell ref="Y126:AC126"/>
    <mergeCell ref="AD126:AE126"/>
    <mergeCell ref="AF126:AG126"/>
    <mergeCell ref="A125:B125"/>
    <mergeCell ref="U125:V125"/>
    <mergeCell ref="W125:X125"/>
    <mergeCell ref="Y125:AC125"/>
    <mergeCell ref="AD125:AE125"/>
    <mergeCell ref="AF125:AG125"/>
    <mergeCell ref="A128:B128"/>
    <mergeCell ref="U128:V128"/>
    <mergeCell ref="W128:X128"/>
    <mergeCell ref="Y128:AC128"/>
    <mergeCell ref="AD128:AE128"/>
    <mergeCell ref="AF128:AG128"/>
    <mergeCell ref="A127:B127"/>
    <mergeCell ref="U127:V127"/>
    <mergeCell ref="W127:X127"/>
    <mergeCell ref="Y127:AC127"/>
    <mergeCell ref="AD127:AE127"/>
    <mergeCell ref="AF127:AG127"/>
    <mergeCell ref="A130:B130"/>
    <mergeCell ref="U130:V130"/>
    <mergeCell ref="W130:X130"/>
    <mergeCell ref="Y130:AC130"/>
    <mergeCell ref="AD130:AE130"/>
    <mergeCell ref="AF130:AG130"/>
    <mergeCell ref="A129:B129"/>
    <mergeCell ref="U129:V129"/>
    <mergeCell ref="W129:X129"/>
    <mergeCell ref="Y129:AC129"/>
    <mergeCell ref="AD129:AE129"/>
    <mergeCell ref="AF129:AG129"/>
    <mergeCell ref="A132:B132"/>
    <mergeCell ref="U132:V132"/>
    <mergeCell ref="W132:X132"/>
    <mergeCell ref="Y132:AC132"/>
    <mergeCell ref="AD132:AE132"/>
    <mergeCell ref="AF132:AG132"/>
    <mergeCell ref="A131:B131"/>
    <mergeCell ref="U131:V131"/>
    <mergeCell ref="W131:X131"/>
    <mergeCell ref="Y131:AC131"/>
    <mergeCell ref="AD131:AE131"/>
    <mergeCell ref="AF131:AG131"/>
    <mergeCell ref="A134:B134"/>
    <mergeCell ref="U134:V134"/>
    <mergeCell ref="W134:X134"/>
    <mergeCell ref="Y134:AC134"/>
    <mergeCell ref="AD134:AE134"/>
    <mergeCell ref="AF134:AG134"/>
    <mergeCell ref="A133:B133"/>
    <mergeCell ref="U133:V133"/>
    <mergeCell ref="W133:X133"/>
    <mergeCell ref="Y133:AC133"/>
    <mergeCell ref="AD133:AE133"/>
    <mergeCell ref="AF133:AG133"/>
    <mergeCell ref="A136:B136"/>
    <mergeCell ref="U136:V136"/>
    <mergeCell ref="W136:X136"/>
    <mergeCell ref="Y136:AC136"/>
    <mergeCell ref="AD136:AE136"/>
    <mergeCell ref="AF136:AG136"/>
    <mergeCell ref="A135:B135"/>
    <mergeCell ref="U135:V135"/>
    <mergeCell ref="W135:X135"/>
    <mergeCell ref="Y135:AC135"/>
    <mergeCell ref="AD135:AE135"/>
    <mergeCell ref="AF135:AG135"/>
    <mergeCell ref="A138:B138"/>
    <mergeCell ref="U138:V138"/>
    <mergeCell ref="W138:X138"/>
    <mergeCell ref="Y138:AC138"/>
    <mergeCell ref="AD138:AE138"/>
    <mergeCell ref="AF138:AG138"/>
    <mergeCell ref="A137:B137"/>
    <mergeCell ref="U137:V137"/>
    <mergeCell ref="W137:X137"/>
    <mergeCell ref="Y137:AC137"/>
    <mergeCell ref="AD137:AE137"/>
    <mergeCell ref="AF137:AG137"/>
    <mergeCell ref="A140:B140"/>
    <mergeCell ref="U140:V140"/>
    <mergeCell ref="W140:X140"/>
    <mergeCell ref="Y140:AC140"/>
    <mergeCell ref="AD140:AE140"/>
    <mergeCell ref="AF140:AG140"/>
    <mergeCell ref="A139:B139"/>
    <mergeCell ref="U139:V139"/>
    <mergeCell ref="W139:X139"/>
    <mergeCell ref="Y139:AC139"/>
    <mergeCell ref="AD139:AE139"/>
    <mergeCell ref="AF139:AG139"/>
    <mergeCell ref="A142:B142"/>
    <mergeCell ref="U142:V142"/>
    <mergeCell ref="W142:X142"/>
    <mergeCell ref="Y142:AC142"/>
    <mergeCell ref="AD142:AE142"/>
    <mergeCell ref="AF142:AG142"/>
    <mergeCell ref="A141:B141"/>
    <mergeCell ref="U141:V141"/>
    <mergeCell ref="W141:X141"/>
    <mergeCell ref="Y141:AC141"/>
    <mergeCell ref="AD141:AE141"/>
    <mergeCell ref="AF141:AG141"/>
    <mergeCell ref="A144:B144"/>
    <mergeCell ref="U144:V144"/>
    <mergeCell ref="W144:X144"/>
    <mergeCell ref="Y144:AC144"/>
    <mergeCell ref="AD144:AE144"/>
    <mergeCell ref="AF144:AG144"/>
    <mergeCell ref="A143:B143"/>
    <mergeCell ref="U143:V143"/>
    <mergeCell ref="W143:X143"/>
    <mergeCell ref="Y143:AC143"/>
    <mergeCell ref="AD143:AE143"/>
    <mergeCell ref="AF143:AG143"/>
    <mergeCell ref="U146:V146"/>
    <mergeCell ref="W146:X146"/>
    <mergeCell ref="AD146:AE146"/>
    <mergeCell ref="AF146:AG146"/>
    <mergeCell ref="A145:B145"/>
    <mergeCell ref="U145:V145"/>
    <mergeCell ref="W145:X145"/>
    <mergeCell ref="Y145:AC145"/>
    <mergeCell ref="AD145:AE145"/>
    <mergeCell ref="AF145:AG145"/>
    <mergeCell ref="A146:B14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H23"/>
  <sheetViews>
    <sheetView topLeftCell="A7" workbookViewId="0">
      <selection activeCell="A23" sqref="A23"/>
    </sheetView>
  </sheetViews>
  <sheetFormatPr defaultRowHeight="14.4"/>
  <cols>
    <col min="1" max="1" width="32.6640625" customWidth="1"/>
    <col min="2" max="2" width="18.33203125" customWidth="1"/>
    <col min="3" max="3" width="21.88671875" customWidth="1"/>
    <col min="4" max="4" width="21.6640625" customWidth="1"/>
    <col min="5" max="5" width="28.109375" customWidth="1"/>
    <col min="6" max="6" width="24.21875" customWidth="1"/>
    <col min="7" max="7" width="20" customWidth="1"/>
    <col min="8" max="8" width="19.77734375" customWidth="1"/>
  </cols>
  <sheetData>
    <row r="2" spans="1:8" ht="48.6" customHeight="1">
      <c r="A2" s="521" t="s">
        <v>1758</v>
      </c>
      <c r="B2" s="520" t="s">
        <v>1654</v>
      </c>
      <c r="C2" s="520" t="s">
        <v>1655</v>
      </c>
      <c r="D2" s="520" t="s">
        <v>1656</v>
      </c>
      <c r="E2" s="520" t="s">
        <v>1657</v>
      </c>
      <c r="F2" s="520" t="s">
        <v>1658</v>
      </c>
      <c r="G2" s="520" t="s">
        <v>1659</v>
      </c>
      <c r="H2" s="520" t="s">
        <v>1660</v>
      </c>
    </row>
    <row r="3" spans="1:8" ht="18" customHeight="1">
      <c r="A3" s="512" t="s">
        <v>1630</v>
      </c>
      <c r="B3" s="522"/>
      <c r="C3" s="513" t="s">
        <v>1711</v>
      </c>
      <c r="D3" s="522"/>
      <c r="E3" s="513" t="s">
        <v>1726</v>
      </c>
      <c r="F3" s="522"/>
      <c r="G3" s="522"/>
      <c r="H3" s="513" t="s">
        <v>1742</v>
      </c>
    </row>
    <row r="4" spans="1:8" ht="18" customHeight="1">
      <c r="A4" s="512" t="s">
        <v>1629</v>
      </c>
      <c r="B4" s="522"/>
      <c r="C4" s="513" t="s">
        <v>1710</v>
      </c>
      <c r="D4" s="522"/>
      <c r="E4" s="513" t="s">
        <v>1725</v>
      </c>
      <c r="F4" s="522"/>
      <c r="G4" s="522"/>
      <c r="H4" s="513" t="s">
        <v>1743</v>
      </c>
    </row>
    <row r="5" spans="1:8" ht="18" customHeight="1">
      <c r="A5" s="512" t="s">
        <v>1631</v>
      </c>
      <c r="B5" s="522"/>
      <c r="C5" s="513" t="s">
        <v>1716</v>
      </c>
      <c r="D5" s="522"/>
      <c r="E5" s="513" t="s">
        <v>956</v>
      </c>
      <c r="F5" s="522"/>
      <c r="G5" s="522"/>
      <c r="H5" s="513" t="s">
        <v>1750</v>
      </c>
    </row>
    <row r="6" spans="1:8" ht="18" customHeight="1">
      <c r="A6" s="512" t="s">
        <v>1636</v>
      </c>
      <c r="B6" s="513" t="s">
        <v>1661</v>
      </c>
      <c r="C6" s="513" t="s">
        <v>1713</v>
      </c>
      <c r="D6" s="513" t="s">
        <v>1661</v>
      </c>
      <c r="E6" s="513" t="s">
        <v>1728</v>
      </c>
      <c r="F6" s="513" t="s">
        <v>1673</v>
      </c>
      <c r="G6" s="513" t="s">
        <v>1687</v>
      </c>
      <c r="H6" s="513" t="s">
        <v>845</v>
      </c>
    </row>
    <row r="7" spans="1:8" ht="18" customHeight="1">
      <c r="A7" s="512" t="s">
        <v>1632</v>
      </c>
      <c r="B7" s="513" t="s">
        <v>1662</v>
      </c>
      <c r="C7" s="513" t="s">
        <v>1704</v>
      </c>
      <c r="D7" s="513" t="s">
        <v>1707</v>
      </c>
      <c r="E7" s="513" t="s">
        <v>1730</v>
      </c>
      <c r="F7" s="513" t="s">
        <v>1731</v>
      </c>
      <c r="G7" s="513" t="s">
        <v>1692</v>
      </c>
      <c r="H7" s="513" t="s">
        <v>1752</v>
      </c>
    </row>
    <row r="8" spans="1:8" ht="18" customHeight="1">
      <c r="A8" s="512" t="s">
        <v>1637</v>
      </c>
      <c r="B8" s="513" t="s">
        <v>1709</v>
      </c>
      <c r="C8" s="522"/>
      <c r="D8" s="513" t="s">
        <v>1666</v>
      </c>
      <c r="E8" s="522"/>
      <c r="F8" s="513" t="s">
        <v>1666</v>
      </c>
      <c r="G8" s="513" t="s">
        <v>1694</v>
      </c>
      <c r="H8" s="522"/>
    </row>
    <row r="9" spans="1:8" ht="18" customHeight="1">
      <c r="A9" s="510" t="s">
        <v>1633</v>
      </c>
      <c r="B9" s="523"/>
      <c r="C9" s="511" t="s">
        <v>1714</v>
      </c>
      <c r="D9" s="523"/>
      <c r="E9" s="511" t="s">
        <v>1663</v>
      </c>
      <c r="F9" s="523"/>
      <c r="G9" s="523"/>
      <c r="H9" s="511" t="s">
        <v>1699</v>
      </c>
    </row>
    <row r="10" spans="1:8" ht="18" customHeight="1">
      <c r="A10" s="510" t="s">
        <v>1634</v>
      </c>
      <c r="B10" s="523"/>
      <c r="C10" s="511" t="s">
        <v>854</v>
      </c>
      <c r="D10" s="523"/>
      <c r="E10" s="511" t="s">
        <v>1670</v>
      </c>
      <c r="F10" s="523"/>
      <c r="G10" s="523"/>
      <c r="H10" s="511" t="s">
        <v>1749</v>
      </c>
    </row>
    <row r="11" spans="1:8" ht="18" customHeight="1">
      <c r="A11" s="510" t="s">
        <v>1635</v>
      </c>
      <c r="B11" s="523"/>
      <c r="C11" s="511" t="s">
        <v>894</v>
      </c>
      <c r="D11" s="523"/>
      <c r="E11" s="511" t="s">
        <v>1671</v>
      </c>
      <c r="F11" s="523"/>
      <c r="G11" s="523"/>
      <c r="H11" s="523"/>
    </row>
    <row r="12" spans="1:8" ht="18" customHeight="1">
      <c r="A12" s="510" t="s">
        <v>1638</v>
      </c>
      <c r="B12" s="523"/>
      <c r="C12" s="523"/>
      <c r="D12" s="511" t="s">
        <v>1723</v>
      </c>
      <c r="E12" s="511" t="s">
        <v>1705</v>
      </c>
      <c r="F12" s="511" t="s">
        <v>1677</v>
      </c>
      <c r="G12" s="511" t="s">
        <v>1737</v>
      </c>
      <c r="H12" s="511" t="s">
        <v>1753</v>
      </c>
    </row>
    <row r="13" spans="1:8" ht="18" customHeight="1">
      <c r="A13" s="510" t="s">
        <v>1639</v>
      </c>
      <c r="B13" s="523"/>
      <c r="C13" s="523"/>
      <c r="D13" s="511" t="s">
        <v>1668</v>
      </c>
      <c r="E13" s="511" t="s">
        <v>1704</v>
      </c>
      <c r="F13" s="511" t="s">
        <v>1667</v>
      </c>
      <c r="G13" s="511" t="s">
        <v>1741</v>
      </c>
      <c r="H13" s="511" t="s">
        <v>1702</v>
      </c>
    </row>
    <row r="14" spans="1:8" ht="18" customHeight="1">
      <c r="A14" s="510" t="s">
        <v>1640</v>
      </c>
      <c r="B14" s="523"/>
      <c r="C14" s="523"/>
      <c r="D14" s="511" t="s">
        <v>1669</v>
      </c>
      <c r="E14" s="523"/>
      <c r="F14" s="511" t="s">
        <v>1680</v>
      </c>
      <c r="G14" s="511" t="s">
        <v>1690</v>
      </c>
      <c r="H14" s="511" t="s">
        <v>1703</v>
      </c>
    </row>
    <row r="15" spans="1:8" ht="18" customHeight="1">
      <c r="A15" s="518" t="s">
        <v>1641</v>
      </c>
      <c r="B15" s="524"/>
      <c r="C15" s="524"/>
      <c r="D15" s="524"/>
      <c r="E15" s="524"/>
      <c r="F15" s="519" t="s">
        <v>1678</v>
      </c>
      <c r="G15" s="524"/>
      <c r="H15" s="524"/>
    </row>
    <row r="16" spans="1:8" ht="18" customHeight="1">
      <c r="A16" s="518" t="s">
        <v>1642</v>
      </c>
      <c r="B16" s="524"/>
      <c r="C16" s="524"/>
      <c r="D16" s="524"/>
      <c r="E16" s="524"/>
      <c r="F16" s="519" t="s">
        <v>1733</v>
      </c>
      <c r="G16" s="524"/>
      <c r="H16" s="524"/>
    </row>
    <row r="17" spans="1:8" ht="18" customHeight="1">
      <c r="A17" s="518" t="s">
        <v>1643</v>
      </c>
      <c r="B17" s="524"/>
      <c r="C17" s="524"/>
      <c r="D17" s="524"/>
      <c r="E17" s="524"/>
      <c r="F17" s="519" t="s">
        <v>1685</v>
      </c>
      <c r="G17" s="524"/>
      <c r="H17" s="524"/>
    </row>
    <row r="18" spans="1:8" ht="18" customHeight="1">
      <c r="A18" s="516" t="s">
        <v>1646</v>
      </c>
      <c r="B18" s="525"/>
      <c r="C18" s="525"/>
      <c r="D18" s="525"/>
      <c r="E18" s="525"/>
      <c r="F18" s="517" t="s">
        <v>1675</v>
      </c>
      <c r="G18" s="517" t="s">
        <v>1686</v>
      </c>
      <c r="H18" s="525"/>
    </row>
    <row r="19" spans="1:8" ht="18" customHeight="1">
      <c r="A19" s="516" t="s">
        <v>1647</v>
      </c>
      <c r="B19" s="525"/>
      <c r="C19" s="525"/>
      <c r="D19" s="525"/>
      <c r="E19" s="525"/>
      <c r="F19" s="517" t="s">
        <v>1682</v>
      </c>
      <c r="G19" s="517" t="s">
        <v>1688</v>
      </c>
      <c r="H19" s="525"/>
    </row>
    <row r="20" spans="1:8" ht="18" customHeight="1">
      <c r="A20" s="516" t="s">
        <v>1644</v>
      </c>
      <c r="B20" s="525"/>
      <c r="C20" s="525"/>
      <c r="D20" s="525"/>
      <c r="E20" s="525"/>
      <c r="F20" s="517" t="s">
        <v>1684</v>
      </c>
      <c r="G20" s="517" t="s">
        <v>1740</v>
      </c>
      <c r="H20" s="525"/>
    </row>
    <row r="21" spans="1:8" ht="18" customHeight="1">
      <c r="A21" s="514" t="s">
        <v>1697</v>
      </c>
      <c r="B21" s="526"/>
      <c r="C21" s="526"/>
      <c r="D21" s="526"/>
      <c r="E21" s="526"/>
      <c r="F21" s="526"/>
      <c r="G21" s="526"/>
      <c r="H21" s="515" t="s">
        <v>1745</v>
      </c>
    </row>
    <row r="22" spans="1:8" ht="18" customHeight="1">
      <c r="A22" s="514" t="s">
        <v>1698</v>
      </c>
      <c r="B22" s="526"/>
      <c r="C22" s="526"/>
      <c r="D22" s="526"/>
      <c r="E22" s="526"/>
      <c r="F22" s="526"/>
      <c r="G22" s="526"/>
      <c r="H22" s="515" t="s">
        <v>1747</v>
      </c>
    </row>
    <row r="23" spans="1:8" ht="18" customHeight="1">
      <c r="A23" s="527" t="s">
        <v>1759</v>
      </c>
      <c r="B23" s="528"/>
      <c r="C23" s="528"/>
      <c r="D23" s="528"/>
      <c r="E23" s="528"/>
      <c r="F23" s="528"/>
      <c r="G23" s="528"/>
      <c r="H23" s="529" t="s">
        <v>1757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rgb="FF00B050"/>
  </sheetPr>
  <dimension ref="A1:BM255"/>
  <sheetViews>
    <sheetView topLeftCell="A183" zoomScale="85" zoomScaleNormal="85" workbookViewId="0">
      <selection activeCell="C179" sqref="C179"/>
    </sheetView>
  </sheetViews>
  <sheetFormatPr defaultColWidth="9" defaultRowHeight="15.6"/>
  <cols>
    <col min="1" max="2" width="2.6640625" style="17" customWidth="1"/>
    <col min="3" max="3" width="2.6640625" style="60" customWidth="1"/>
    <col min="4" max="10" width="2.6640625" style="17" customWidth="1"/>
    <col min="11" max="11" width="4.109375" style="17" customWidth="1"/>
    <col min="12" max="12" width="2.77734375" style="17" customWidth="1"/>
    <col min="13" max="29" width="2.6640625" style="17" customWidth="1"/>
    <col min="30" max="30" width="6.6640625" style="63" customWidth="1"/>
    <col min="31" max="33" width="2.6640625" style="63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26.554687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23"/>
      <c r="B3" s="23"/>
      <c r="C3" s="55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142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61"/>
      <c r="AE3" s="61"/>
      <c r="AF3" s="61"/>
      <c r="AG3" s="61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1648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1355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1358</v>
      </c>
      <c r="BL5" s="353" t="s">
        <v>1547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384" t="s">
        <v>24</v>
      </c>
      <c r="D8" s="36"/>
      <c r="E8" s="36"/>
      <c r="F8" s="36"/>
      <c r="G8" s="36"/>
      <c r="H8" s="36"/>
      <c r="I8" s="36"/>
      <c r="J8" s="36"/>
      <c r="K8" s="37"/>
      <c r="L8" s="1" t="s">
        <v>1364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259" t="s">
        <v>16</v>
      </c>
      <c r="Z8" s="260"/>
      <c r="AA8" s="260"/>
      <c r="AB8" s="260"/>
      <c r="AC8" s="261"/>
      <c r="AD8" s="259">
        <v>100</v>
      </c>
      <c r="AE8" s="263"/>
      <c r="AF8" s="262">
        <v>0</v>
      </c>
      <c r="AG8" s="263"/>
      <c r="AH8" s="7" t="s">
        <v>1354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271" t="s">
        <v>38</v>
      </c>
      <c r="BL8" s="51" t="s">
        <v>38</v>
      </c>
    </row>
    <row r="9" spans="1:64">
      <c r="A9" s="681">
        <v>2</v>
      </c>
      <c r="B9" s="682"/>
      <c r="C9" s="457" t="str">
        <f t="shared" ref="C9:C25" si="0">VLOOKUP(L9,$BK$7:$BL$255,2,FALSE)</f>
        <v>合同编号</v>
      </c>
      <c r="D9" s="460"/>
      <c r="E9" s="460"/>
      <c r="F9" s="460"/>
      <c r="G9" s="460"/>
      <c r="H9" s="460"/>
      <c r="I9" s="460"/>
      <c r="J9" s="460"/>
      <c r="K9" s="461"/>
      <c r="L9" s="473" t="s">
        <v>1442</v>
      </c>
      <c r="M9" s="474"/>
      <c r="N9" s="474"/>
      <c r="O9" s="474"/>
      <c r="P9" s="474"/>
      <c r="Q9" s="474"/>
      <c r="R9" s="474"/>
      <c r="S9" s="474"/>
      <c r="T9" s="474"/>
      <c r="U9" s="683"/>
      <c r="V9" s="682"/>
      <c r="W9" s="684"/>
      <c r="X9" s="685"/>
      <c r="Y9" s="256" t="s">
        <v>16</v>
      </c>
      <c r="Z9" s="257"/>
      <c r="AA9" s="257"/>
      <c r="AB9" s="257"/>
      <c r="AC9" s="258"/>
      <c r="AD9" s="253">
        <v>256</v>
      </c>
      <c r="AE9" s="254"/>
      <c r="AF9" s="253">
        <v>0</v>
      </c>
      <c r="AG9" s="254"/>
      <c r="AH9" s="9"/>
      <c r="AI9" s="4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41"/>
      <c r="BB9" s="23"/>
      <c r="BC9" s="23"/>
      <c r="BD9" s="23"/>
      <c r="BE9" s="23"/>
      <c r="BF9" s="23"/>
      <c r="BG9" s="43"/>
      <c r="BH9" s="36"/>
      <c r="BK9" s="271" t="s">
        <v>1253</v>
      </c>
      <c r="BL9" s="52" t="s">
        <v>1252</v>
      </c>
    </row>
    <row r="10" spans="1:64">
      <c r="A10" s="681">
        <v>3</v>
      </c>
      <c r="B10" s="682"/>
      <c r="C10" s="457" t="str">
        <f t="shared" si="0"/>
        <v>合同名称</v>
      </c>
      <c r="D10" s="458"/>
      <c r="E10" s="458"/>
      <c r="F10" s="458"/>
      <c r="G10" s="458"/>
      <c r="H10" s="458"/>
      <c r="I10" s="458"/>
      <c r="J10" s="458"/>
      <c r="K10" s="459"/>
      <c r="L10" s="475" t="s">
        <v>39</v>
      </c>
      <c r="M10" s="473"/>
      <c r="N10" s="473"/>
      <c r="O10" s="473"/>
      <c r="P10" s="473"/>
      <c r="Q10" s="473"/>
      <c r="R10" s="473"/>
      <c r="S10" s="473"/>
      <c r="T10" s="473"/>
      <c r="U10" s="692"/>
      <c r="V10" s="693"/>
      <c r="W10" s="694"/>
      <c r="X10" s="695"/>
      <c r="Y10" s="256" t="s">
        <v>16</v>
      </c>
      <c r="Z10" s="257"/>
      <c r="AA10" s="257"/>
      <c r="AB10" s="257"/>
      <c r="AC10" s="258"/>
      <c r="AD10" s="253">
        <v>256</v>
      </c>
      <c r="AE10" s="254"/>
      <c r="AF10" s="253">
        <v>0</v>
      </c>
      <c r="AG10" s="254"/>
      <c r="AH10" s="9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10"/>
      <c r="BB10" s="23"/>
      <c r="BC10" s="23"/>
      <c r="BD10" s="23"/>
      <c r="BE10" s="23"/>
      <c r="BF10" s="23"/>
      <c r="BG10" s="43"/>
      <c r="BH10" s="36"/>
      <c r="BK10" s="271" t="s">
        <v>36</v>
      </c>
      <c r="BL10" s="51" t="s">
        <v>36</v>
      </c>
    </row>
    <row r="11" spans="1:64">
      <c r="A11" s="681">
        <v>4</v>
      </c>
      <c r="B11" s="682"/>
      <c r="C11" s="457" t="str">
        <f t="shared" si="0"/>
        <v>合同类型</v>
      </c>
      <c r="D11" s="458"/>
      <c r="E11" s="458"/>
      <c r="F11" s="458"/>
      <c r="G11" s="458"/>
      <c r="H11" s="458"/>
      <c r="I11" s="458"/>
      <c r="J11" s="458"/>
      <c r="K11" s="459"/>
      <c r="L11" s="475" t="s">
        <v>42</v>
      </c>
      <c r="M11" s="473"/>
      <c r="N11" s="473"/>
      <c r="O11" s="473"/>
      <c r="P11" s="473"/>
      <c r="Q11" s="473"/>
      <c r="R11" s="473"/>
      <c r="S11" s="473"/>
      <c r="T11" s="473"/>
      <c r="U11" s="692"/>
      <c r="V11" s="693"/>
      <c r="W11" s="694"/>
      <c r="X11" s="695"/>
      <c r="Y11" s="256" t="s">
        <v>16</v>
      </c>
      <c r="Z11" s="257"/>
      <c r="AA11" s="257"/>
      <c r="AB11" s="257"/>
      <c r="AC11" s="258"/>
      <c r="AD11" s="253">
        <v>16</v>
      </c>
      <c r="AE11" s="254"/>
      <c r="AF11" s="253">
        <v>0</v>
      </c>
      <c r="AG11" s="254"/>
      <c r="AH11" s="9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41"/>
      <c r="BB11" s="48"/>
      <c r="BC11" s="48"/>
      <c r="BD11" s="48"/>
      <c r="BE11" s="48"/>
      <c r="BF11" s="48"/>
      <c r="BG11" s="49"/>
      <c r="BK11" s="272" t="s">
        <v>40</v>
      </c>
      <c r="BL11" s="51" t="s">
        <v>54</v>
      </c>
    </row>
    <row r="12" spans="1:64">
      <c r="A12" s="681">
        <v>5</v>
      </c>
      <c r="B12" s="682"/>
      <c r="C12" s="457" t="str">
        <f t="shared" si="0"/>
        <v>含税合同金额(万元)</v>
      </c>
      <c r="D12" s="458"/>
      <c r="E12" s="458"/>
      <c r="F12" s="458"/>
      <c r="G12" s="458"/>
      <c r="H12" s="458"/>
      <c r="I12" s="458"/>
      <c r="J12" s="458"/>
      <c r="K12" s="459"/>
      <c r="L12" s="475" t="s">
        <v>1708</v>
      </c>
      <c r="M12" s="473"/>
      <c r="N12" s="473"/>
      <c r="O12" s="473"/>
      <c r="P12" s="473"/>
      <c r="Q12" s="473"/>
      <c r="R12" s="473"/>
      <c r="S12" s="473"/>
      <c r="T12" s="473"/>
      <c r="U12" s="692"/>
      <c r="V12" s="693"/>
      <c r="W12" s="694"/>
      <c r="X12" s="695"/>
      <c r="Y12" s="256" t="s">
        <v>1258</v>
      </c>
      <c r="Z12" s="257"/>
      <c r="AA12" s="257"/>
      <c r="AB12" s="257"/>
      <c r="AC12" s="258"/>
      <c r="AD12" s="253">
        <v>19</v>
      </c>
      <c r="AE12" s="254"/>
      <c r="AF12" s="253">
        <v>8</v>
      </c>
      <c r="AG12" s="254"/>
      <c r="AH12" s="9" t="s">
        <v>1254</v>
      </c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41"/>
      <c r="BB12" s="23"/>
      <c r="BC12" s="23"/>
      <c r="BD12" s="23"/>
      <c r="BE12" s="23"/>
      <c r="BF12" s="23"/>
      <c r="BG12" s="43"/>
      <c r="BK12" s="272" t="s">
        <v>80</v>
      </c>
      <c r="BL12" s="51" t="s">
        <v>200</v>
      </c>
    </row>
    <row r="13" spans="1:64">
      <c r="A13" s="681">
        <v>6</v>
      </c>
      <c r="B13" s="682"/>
      <c r="C13" s="457" t="str">
        <f t="shared" si="0"/>
        <v>甲方ID</v>
      </c>
      <c r="D13" s="458"/>
      <c r="E13" s="458"/>
      <c r="F13" s="458"/>
      <c r="G13" s="458"/>
      <c r="H13" s="458"/>
      <c r="I13" s="458"/>
      <c r="J13" s="458"/>
      <c r="K13" s="459"/>
      <c r="L13" s="475" t="s">
        <v>59</v>
      </c>
      <c r="M13" s="473"/>
      <c r="N13" s="473"/>
      <c r="O13" s="473"/>
      <c r="P13" s="473"/>
      <c r="Q13" s="473"/>
      <c r="R13" s="473"/>
      <c r="S13" s="473"/>
      <c r="T13" s="473"/>
      <c r="U13" s="692"/>
      <c r="V13" s="693"/>
      <c r="W13" s="694"/>
      <c r="X13" s="695"/>
      <c r="Y13" s="256" t="s">
        <v>16</v>
      </c>
      <c r="Z13" s="257"/>
      <c r="AA13" s="257"/>
      <c r="AB13" s="257"/>
      <c r="AC13" s="258"/>
      <c r="AD13" s="253">
        <v>128</v>
      </c>
      <c r="AE13" s="254"/>
      <c r="AF13" s="253">
        <v>0</v>
      </c>
      <c r="AG13" s="254"/>
      <c r="AH13" s="9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41"/>
      <c r="BB13" s="23"/>
      <c r="BC13" s="23"/>
      <c r="BD13" s="23"/>
      <c r="BE13" s="23"/>
      <c r="BF13" s="23"/>
      <c r="BG13" s="43"/>
      <c r="BK13" s="272" t="s">
        <v>73</v>
      </c>
      <c r="BL13" s="51" t="s">
        <v>201</v>
      </c>
    </row>
    <row r="14" spans="1:64">
      <c r="A14" s="681">
        <v>7</v>
      </c>
      <c r="B14" s="682"/>
      <c r="C14" s="457" t="str">
        <f t="shared" si="0"/>
        <v>甲方名称</v>
      </c>
      <c r="D14" s="458"/>
      <c r="E14" s="458"/>
      <c r="F14" s="458"/>
      <c r="G14" s="458"/>
      <c r="H14" s="458"/>
      <c r="I14" s="458"/>
      <c r="J14" s="458"/>
      <c r="K14" s="459"/>
      <c r="L14" s="475" t="s">
        <v>32</v>
      </c>
      <c r="M14" s="473"/>
      <c r="N14" s="473"/>
      <c r="O14" s="473"/>
      <c r="P14" s="473"/>
      <c r="Q14" s="473"/>
      <c r="R14" s="473"/>
      <c r="S14" s="473"/>
      <c r="T14" s="473"/>
      <c r="U14" s="692"/>
      <c r="V14" s="693"/>
      <c r="W14" s="694"/>
      <c r="X14" s="695"/>
      <c r="Y14" s="256" t="s">
        <v>16</v>
      </c>
      <c r="Z14" s="257"/>
      <c r="AA14" s="257"/>
      <c r="AB14" s="257"/>
      <c r="AC14" s="258"/>
      <c r="AD14" s="253">
        <v>1024</v>
      </c>
      <c r="AE14" s="254"/>
      <c r="AF14" s="253">
        <v>0</v>
      </c>
      <c r="AG14" s="254"/>
      <c r="AH14" s="9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41"/>
      <c r="BB14" s="23"/>
      <c r="BC14" s="23"/>
      <c r="BD14" s="23"/>
      <c r="BE14" s="23"/>
      <c r="BF14" s="23"/>
      <c r="BG14" s="43"/>
      <c r="BK14" s="272" t="s">
        <v>74</v>
      </c>
      <c r="BL14" s="51" t="s">
        <v>202</v>
      </c>
    </row>
    <row r="15" spans="1:64">
      <c r="A15" s="681">
        <v>8</v>
      </c>
      <c r="B15" s="682"/>
      <c r="C15" s="457" t="str">
        <f t="shared" si="0"/>
        <v>乙方ID</v>
      </c>
      <c r="D15" s="458"/>
      <c r="E15" s="458"/>
      <c r="F15" s="458"/>
      <c r="G15" s="458"/>
      <c r="H15" s="458"/>
      <c r="I15" s="458"/>
      <c r="J15" s="458"/>
      <c r="K15" s="459"/>
      <c r="L15" s="475" t="s">
        <v>33</v>
      </c>
      <c r="M15" s="473"/>
      <c r="N15" s="473"/>
      <c r="O15" s="473"/>
      <c r="P15" s="473"/>
      <c r="Q15" s="473"/>
      <c r="R15" s="473"/>
      <c r="S15" s="473"/>
      <c r="T15" s="473"/>
      <c r="U15" s="692"/>
      <c r="V15" s="693"/>
      <c r="W15" s="694"/>
      <c r="X15" s="695"/>
      <c r="Y15" s="256" t="s">
        <v>16</v>
      </c>
      <c r="Z15" s="257"/>
      <c r="AA15" s="257"/>
      <c r="AB15" s="257"/>
      <c r="AC15" s="258"/>
      <c r="AD15" s="253">
        <v>100</v>
      </c>
      <c r="AE15" s="254"/>
      <c r="AF15" s="253">
        <v>0</v>
      </c>
      <c r="AG15" s="254"/>
      <c r="AH15" s="9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41"/>
      <c r="BB15" s="23"/>
      <c r="BC15" s="23"/>
      <c r="BD15" s="23"/>
      <c r="BE15" s="23"/>
      <c r="BF15" s="23"/>
      <c r="BG15" s="43"/>
      <c r="BK15" s="272" t="s">
        <v>75</v>
      </c>
      <c r="BL15" s="51" t="s">
        <v>203</v>
      </c>
    </row>
    <row r="16" spans="1:64">
      <c r="A16" s="681">
        <v>9</v>
      </c>
      <c r="B16" s="682"/>
      <c r="C16" s="457" t="str">
        <f t="shared" si="0"/>
        <v>乙方名称</v>
      </c>
      <c r="D16" s="458"/>
      <c r="E16" s="458"/>
      <c r="F16" s="458"/>
      <c r="G16" s="458"/>
      <c r="H16" s="458"/>
      <c r="I16" s="458"/>
      <c r="J16" s="458"/>
      <c r="K16" s="459"/>
      <c r="L16" s="475" t="s">
        <v>60</v>
      </c>
      <c r="M16" s="473"/>
      <c r="N16" s="473"/>
      <c r="O16" s="473"/>
      <c r="P16" s="473"/>
      <c r="Q16" s="473"/>
      <c r="R16" s="473"/>
      <c r="S16" s="473"/>
      <c r="T16" s="473"/>
      <c r="U16" s="692"/>
      <c r="V16" s="693"/>
      <c r="W16" s="694"/>
      <c r="X16" s="695"/>
      <c r="Y16" s="256" t="s">
        <v>16</v>
      </c>
      <c r="Z16" s="257"/>
      <c r="AA16" s="257"/>
      <c r="AB16" s="257"/>
      <c r="AC16" s="258"/>
      <c r="AD16" s="253">
        <v>1024</v>
      </c>
      <c r="AE16" s="254"/>
      <c r="AF16" s="253">
        <v>0</v>
      </c>
      <c r="AG16" s="254"/>
      <c r="AH16" s="9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41"/>
      <c r="BB16" s="23"/>
      <c r="BC16" s="23"/>
      <c r="BD16" s="23"/>
      <c r="BE16" s="23"/>
      <c r="BF16" s="23"/>
      <c r="BG16" s="43"/>
      <c r="BK16" s="272" t="s">
        <v>76</v>
      </c>
      <c r="BL16" s="51" t="s">
        <v>204</v>
      </c>
    </row>
    <row r="17" spans="1:64">
      <c r="A17" s="681">
        <v>10</v>
      </c>
      <c r="B17" s="682"/>
      <c r="C17" s="457" t="str">
        <f t="shared" si="0"/>
        <v>开工日期</v>
      </c>
      <c r="D17" s="460"/>
      <c r="E17" s="460"/>
      <c r="F17" s="460"/>
      <c r="G17" s="460"/>
      <c r="H17" s="460"/>
      <c r="I17" s="460"/>
      <c r="J17" s="460"/>
      <c r="K17" s="461"/>
      <c r="L17" s="476" t="s">
        <v>61</v>
      </c>
      <c r="M17" s="474"/>
      <c r="N17" s="474"/>
      <c r="O17" s="474"/>
      <c r="P17" s="474"/>
      <c r="Q17" s="474"/>
      <c r="R17" s="474"/>
      <c r="S17" s="474"/>
      <c r="T17" s="474"/>
      <c r="U17" s="683"/>
      <c r="V17" s="682"/>
      <c r="W17" s="684"/>
      <c r="X17" s="685"/>
      <c r="Y17" s="250" t="s">
        <v>17</v>
      </c>
      <c r="Z17" s="251"/>
      <c r="AA17" s="251"/>
      <c r="AB17" s="251"/>
      <c r="AC17" s="252"/>
      <c r="AD17" s="253"/>
      <c r="AE17" s="254"/>
      <c r="AF17" s="253"/>
      <c r="AG17" s="254"/>
      <c r="AH17" s="330" t="s">
        <v>1255</v>
      </c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41"/>
      <c r="BB17" s="23"/>
      <c r="BC17" s="23"/>
      <c r="BD17" s="23"/>
      <c r="BE17" s="23"/>
      <c r="BF17" s="23"/>
      <c r="BG17" s="43"/>
      <c r="BK17" s="272" t="s">
        <v>77</v>
      </c>
      <c r="BL17" s="51" t="s">
        <v>205</v>
      </c>
    </row>
    <row r="18" spans="1:64">
      <c r="A18" s="681">
        <v>11</v>
      </c>
      <c r="B18" s="682"/>
      <c r="C18" s="457" t="str">
        <f t="shared" si="0"/>
        <v>竣工日期</v>
      </c>
      <c r="D18" s="460"/>
      <c r="E18" s="460"/>
      <c r="F18" s="460"/>
      <c r="G18" s="460"/>
      <c r="H18" s="460"/>
      <c r="I18" s="460"/>
      <c r="J18" s="460"/>
      <c r="K18" s="461"/>
      <c r="L18" s="476" t="s">
        <v>62</v>
      </c>
      <c r="M18" s="474"/>
      <c r="N18" s="474"/>
      <c r="O18" s="474"/>
      <c r="P18" s="474"/>
      <c r="Q18" s="474"/>
      <c r="R18" s="474"/>
      <c r="S18" s="474"/>
      <c r="T18" s="474"/>
      <c r="U18" s="683"/>
      <c r="V18" s="682"/>
      <c r="W18" s="684"/>
      <c r="X18" s="685"/>
      <c r="Y18" s="250" t="s">
        <v>17</v>
      </c>
      <c r="Z18" s="251"/>
      <c r="AA18" s="251"/>
      <c r="AB18" s="251"/>
      <c r="AC18" s="252"/>
      <c r="AD18" s="253"/>
      <c r="AE18" s="254"/>
      <c r="AF18" s="253"/>
      <c r="AG18" s="254"/>
      <c r="AH18" s="330" t="s">
        <v>1255</v>
      </c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41"/>
      <c r="BB18" s="23"/>
      <c r="BC18" s="23"/>
      <c r="BD18" s="23"/>
      <c r="BE18" s="23"/>
      <c r="BF18" s="23"/>
      <c r="BG18" s="43"/>
      <c r="BK18" s="272" t="s">
        <v>78</v>
      </c>
      <c r="BL18" s="51" t="s">
        <v>206</v>
      </c>
    </row>
    <row r="19" spans="1:64">
      <c r="A19" s="681">
        <v>12</v>
      </c>
      <c r="B19" s="682"/>
      <c r="C19" s="59" t="str">
        <f t="shared" si="0"/>
        <v>合同工期</v>
      </c>
      <c r="D19" s="23"/>
      <c r="E19" s="23"/>
      <c r="F19" s="23"/>
      <c r="G19" s="23"/>
      <c r="H19" s="23"/>
      <c r="I19" s="23"/>
      <c r="J19" s="23"/>
      <c r="K19" s="41"/>
      <c r="L19" s="476" t="s">
        <v>63</v>
      </c>
      <c r="M19" s="474"/>
      <c r="N19" s="474"/>
      <c r="O19" s="474"/>
      <c r="P19" s="474"/>
      <c r="Q19" s="474"/>
      <c r="R19" s="474"/>
      <c r="S19" s="474"/>
      <c r="T19" s="474"/>
      <c r="U19" s="683"/>
      <c r="V19" s="682"/>
      <c r="W19" s="684"/>
      <c r="X19" s="685"/>
      <c r="Y19" s="250" t="s">
        <v>16</v>
      </c>
      <c r="Z19" s="251"/>
      <c r="AA19" s="251"/>
      <c r="AB19" s="251"/>
      <c r="AC19" s="252"/>
      <c r="AD19" s="253">
        <v>256</v>
      </c>
      <c r="AE19" s="254"/>
      <c r="AF19" s="253">
        <v>0</v>
      </c>
      <c r="AG19" s="254"/>
      <c r="AH19" s="42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41"/>
      <c r="BB19" s="23"/>
      <c r="BC19" s="23"/>
      <c r="BD19" s="23"/>
      <c r="BE19" s="23"/>
      <c r="BF19" s="23"/>
      <c r="BG19" s="43"/>
      <c r="BK19" s="272" t="s">
        <v>79</v>
      </c>
      <c r="BL19" s="51" t="s">
        <v>207</v>
      </c>
    </row>
    <row r="20" spans="1:64">
      <c r="A20" s="681">
        <v>13</v>
      </c>
      <c r="B20" s="682"/>
      <c r="C20" s="457" t="str">
        <f t="shared" si="0"/>
        <v>合同签定人</v>
      </c>
      <c r="D20" s="460"/>
      <c r="E20" s="460"/>
      <c r="F20" s="460"/>
      <c r="G20" s="460"/>
      <c r="H20" s="460"/>
      <c r="I20" s="460"/>
      <c r="J20" s="460"/>
      <c r="K20" s="461"/>
      <c r="L20" s="476" t="s">
        <v>64</v>
      </c>
      <c r="M20" s="474"/>
      <c r="N20" s="474"/>
      <c r="O20" s="474"/>
      <c r="P20" s="474"/>
      <c r="Q20" s="474"/>
      <c r="R20" s="474"/>
      <c r="S20" s="474"/>
      <c r="T20" s="474"/>
      <c r="U20" s="683"/>
      <c r="V20" s="682"/>
      <c r="W20" s="684"/>
      <c r="X20" s="685"/>
      <c r="Y20" s="250" t="s">
        <v>16</v>
      </c>
      <c r="Z20" s="251"/>
      <c r="AA20" s="251"/>
      <c r="AB20" s="251"/>
      <c r="AC20" s="252"/>
      <c r="AD20" s="253">
        <v>64</v>
      </c>
      <c r="AE20" s="254"/>
      <c r="AF20" s="253">
        <v>0</v>
      </c>
      <c r="AG20" s="254"/>
      <c r="AH20" s="42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41"/>
      <c r="BB20" s="23"/>
      <c r="BC20" s="23"/>
      <c r="BD20" s="23"/>
      <c r="BE20" s="23"/>
      <c r="BF20" s="23"/>
      <c r="BG20" s="43"/>
      <c r="BK20" s="272" t="s">
        <v>81</v>
      </c>
      <c r="BL20" s="51" t="s">
        <v>208</v>
      </c>
    </row>
    <row r="21" spans="1:64">
      <c r="A21" s="681">
        <v>14</v>
      </c>
      <c r="B21" s="682"/>
      <c r="C21" s="457" t="str">
        <f t="shared" si="0"/>
        <v>合同内容</v>
      </c>
      <c r="D21" s="460"/>
      <c r="E21" s="460"/>
      <c r="F21" s="460"/>
      <c r="G21" s="460"/>
      <c r="H21" s="460"/>
      <c r="I21" s="460"/>
      <c r="J21" s="460"/>
      <c r="K21" s="461"/>
      <c r="L21" s="476" t="s">
        <v>47</v>
      </c>
      <c r="M21" s="474"/>
      <c r="N21" s="474"/>
      <c r="O21" s="474"/>
      <c r="P21" s="474"/>
      <c r="Q21" s="474"/>
      <c r="R21" s="474"/>
      <c r="S21" s="474"/>
      <c r="T21" s="474"/>
      <c r="U21" s="683"/>
      <c r="V21" s="682"/>
      <c r="W21" s="684"/>
      <c r="X21" s="685"/>
      <c r="Y21" s="250" t="s">
        <v>16</v>
      </c>
      <c r="Z21" s="251"/>
      <c r="AA21" s="251"/>
      <c r="AB21" s="251"/>
      <c r="AC21" s="252"/>
      <c r="AD21" s="253">
        <v>2048</v>
      </c>
      <c r="AE21" s="254"/>
      <c r="AF21" s="253">
        <v>0</v>
      </c>
      <c r="AG21" s="254"/>
      <c r="AH21" s="42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41"/>
      <c r="BB21" s="23"/>
      <c r="BC21" s="23"/>
      <c r="BD21" s="23"/>
      <c r="BE21" s="23"/>
      <c r="BF21" s="23"/>
      <c r="BG21" s="43"/>
      <c r="BK21" s="272" t="s">
        <v>116</v>
      </c>
      <c r="BL21" s="51" t="s">
        <v>209</v>
      </c>
    </row>
    <row r="22" spans="1:64">
      <c r="A22" s="681">
        <v>15</v>
      </c>
      <c r="B22" s="682"/>
      <c r="C22" s="414" t="str">
        <f t="shared" si="0"/>
        <v>备注</v>
      </c>
      <c r="D22" s="415"/>
      <c r="E22" s="415"/>
      <c r="F22" s="415"/>
      <c r="G22" s="415"/>
      <c r="H22" s="415"/>
      <c r="I22" s="415"/>
      <c r="J22" s="415"/>
      <c r="K22" s="416"/>
      <c r="L22" s="1" t="s">
        <v>1552</v>
      </c>
      <c r="M22" s="23"/>
      <c r="N22" s="23"/>
      <c r="O22" s="23"/>
      <c r="P22" s="23"/>
      <c r="Q22" s="23"/>
      <c r="R22" s="23"/>
      <c r="S22" s="23"/>
      <c r="T22" s="23"/>
      <c r="U22" s="683"/>
      <c r="V22" s="682"/>
      <c r="W22" s="684"/>
      <c r="X22" s="685"/>
      <c r="Y22" s="250" t="s">
        <v>16</v>
      </c>
      <c r="Z22" s="251"/>
      <c r="AA22" s="251"/>
      <c r="AB22" s="251"/>
      <c r="AC22" s="252"/>
      <c r="AD22" s="253">
        <v>1024</v>
      </c>
      <c r="AE22" s="254"/>
      <c r="AF22" s="253">
        <v>0</v>
      </c>
      <c r="AG22" s="254"/>
      <c r="AH22" s="42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41"/>
      <c r="BB22" s="23"/>
      <c r="BC22" s="23"/>
      <c r="BD22" s="23"/>
      <c r="BE22" s="23"/>
      <c r="BF22" s="23"/>
      <c r="BG22" s="43"/>
      <c r="BK22" s="272" t="s">
        <v>71</v>
      </c>
      <c r="BL22" s="51" t="s">
        <v>210</v>
      </c>
    </row>
    <row r="23" spans="1:64">
      <c r="A23" s="681">
        <v>16</v>
      </c>
      <c r="B23" s="682"/>
      <c r="C23" s="457" t="str">
        <f t="shared" si="0"/>
        <v>发起人</v>
      </c>
      <c r="D23" s="460"/>
      <c r="E23" s="460"/>
      <c r="F23" s="460"/>
      <c r="G23" s="460"/>
      <c r="H23" s="460"/>
      <c r="I23" s="460"/>
      <c r="J23" s="460"/>
      <c r="K23" s="461"/>
      <c r="L23" s="476" t="s">
        <v>65</v>
      </c>
      <c r="M23" s="474"/>
      <c r="N23" s="474"/>
      <c r="O23" s="474"/>
      <c r="P23" s="474"/>
      <c r="Q23" s="474"/>
      <c r="R23" s="474"/>
      <c r="S23" s="474"/>
      <c r="T23" s="474"/>
      <c r="U23" s="683"/>
      <c r="V23" s="682"/>
      <c r="W23" s="684"/>
      <c r="X23" s="685"/>
      <c r="Y23" s="250" t="s">
        <v>16</v>
      </c>
      <c r="Z23" s="251"/>
      <c r="AA23" s="251"/>
      <c r="AB23" s="251"/>
      <c r="AC23" s="252"/>
      <c r="AD23" s="253">
        <v>128</v>
      </c>
      <c r="AE23" s="254"/>
      <c r="AF23" s="253">
        <v>0</v>
      </c>
      <c r="AG23" s="254"/>
      <c r="AH23" s="42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41"/>
      <c r="BB23" s="23"/>
      <c r="BC23" s="23"/>
      <c r="BD23" s="23"/>
      <c r="BE23" s="23"/>
      <c r="BF23" s="23"/>
      <c r="BG23" s="43"/>
      <c r="BK23" s="272" t="s">
        <v>62</v>
      </c>
      <c r="BL23" s="51" t="s">
        <v>48</v>
      </c>
    </row>
    <row r="24" spans="1:64">
      <c r="A24" s="681">
        <v>17</v>
      </c>
      <c r="B24" s="682"/>
      <c r="C24" s="457" t="str">
        <f t="shared" si="0"/>
        <v>评审状态</v>
      </c>
      <c r="D24" s="460"/>
      <c r="E24" s="460"/>
      <c r="F24" s="460"/>
      <c r="G24" s="460"/>
      <c r="H24" s="460"/>
      <c r="I24" s="460"/>
      <c r="J24" s="460"/>
      <c r="K24" s="461"/>
      <c r="L24" s="476" t="s">
        <v>66</v>
      </c>
      <c r="M24" s="474"/>
      <c r="N24" s="474"/>
      <c r="O24" s="474"/>
      <c r="P24" s="474"/>
      <c r="Q24" s="474"/>
      <c r="R24" s="474"/>
      <c r="S24" s="474"/>
      <c r="T24" s="474"/>
      <c r="U24" s="683"/>
      <c r="V24" s="682"/>
      <c r="W24" s="684"/>
      <c r="X24" s="685"/>
      <c r="Y24" s="250" t="s">
        <v>16</v>
      </c>
      <c r="Z24" s="251"/>
      <c r="AA24" s="251"/>
      <c r="AB24" s="251"/>
      <c r="AC24" s="252"/>
      <c r="AD24" s="253">
        <v>32</v>
      </c>
      <c r="AE24" s="254"/>
      <c r="AF24" s="253">
        <v>0</v>
      </c>
      <c r="AG24" s="254"/>
      <c r="AH24" s="42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41"/>
      <c r="BB24" s="23"/>
      <c r="BC24" s="23"/>
      <c r="BD24" s="23"/>
      <c r="BE24" s="23"/>
      <c r="BF24" s="23"/>
      <c r="BG24" s="43"/>
      <c r="BK24" s="272" t="s">
        <v>82</v>
      </c>
      <c r="BL24" s="51" t="s">
        <v>211</v>
      </c>
    </row>
    <row r="25" spans="1:64">
      <c r="A25" s="681">
        <v>18</v>
      </c>
      <c r="B25" s="682"/>
      <c r="C25" s="59" t="str">
        <f t="shared" si="0"/>
        <v>废弃字段</v>
      </c>
      <c r="D25" s="23"/>
      <c r="E25" s="23"/>
      <c r="F25" s="23"/>
      <c r="G25" s="23"/>
      <c r="H25" s="23"/>
      <c r="I25" s="23"/>
      <c r="J25" s="23"/>
      <c r="K25" s="41"/>
      <c r="L25" s="36" t="s">
        <v>41</v>
      </c>
      <c r="M25" s="23"/>
      <c r="N25" s="23"/>
      <c r="O25" s="23"/>
      <c r="P25" s="23"/>
      <c r="Q25" s="23"/>
      <c r="R25" s="23"/>
      <c r="S25" s="23"/>
      <c r="T25" s="23"/>
      <c r="U25" s="683"/>
      <c r="V25" s="682"/>
      <c r="W25" s="684"/>
      <c r="X25" s="685"/>
      <c r="Y25" s="250" t="s">
        <v>16</v>
      </c>
      <c r="Z25" s="251"/>
      <c r="AA25" s="251"/>
      <c r="AB25" s="251"/>
      <c r="AC25" s="252"/>
      <c r="AD25" s="253">
        <v>1024</v>
      </c>
      <c r="AE25" s="254"/>
      <c r="AF25" s="253">
        <v>0</v>
      </c>
      <c r="AG25" s="254"/>
      <c r="AH25" s="42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41"/>
      <c r="BB25" s="23"/>
      <c r="BC25" s="23"/>
      <c r="BD25" s="23"/>
      <c r="BE25" s="23"/>
      <c r="BF25" s="23"/>
      <c r="BG25" s="43"/>
      <c r="BK25" s="272" t="s">
        <v>83</v>
      </c>
      <c r="BL25" s="51" t="s">
        <v>212</v>
      </c>
    </row>
    <row r="26" spans="1:64">
      <c r="A26" s="681">
        <v>19</v>
      </c>
      <c r="B26" s="682"/>
      <c r="C26" s="59" t="s">
        <v>1443</v>
      </c>
      <c r="D26" s="23"/>
      <c r="E26" s="23"/>
      <c r="F26" s="23"/>
      <c r="G26" s="23"/>
      <c r="H26" s="23"/>
      <c r="I26" s="23"/>
      <c r="J26" s="23"/>
      <c r="K26" s="41"/>
      <c r="L26" s="1" t="s">
        <v>1451</v>
      </c>
      <c r="M26" s="23"/>
      <c r="N26" s="23"/>
      <c r="O26" s="23"/>
      <c r="P26" s="23"/>
      <c r="Q26" s="23"/>
      <c r="R26" s="23"/>
      <c r="S26" s="23"/>
      <c r="T26" s="23"/>
      <c r="U26" s="683"/>
      <c r="V26" s="682"/>
      <c r="W26" s="684"/>
      <c r="X26" s="685"/>
      <c r="Y26" s="250" t="s">
        <v>16</v>
      </c>
      <c r="Z26" s="251"/>
      <c r="AA26" s="251"/>
      <c r="AB26" s="251"/>
      <c r="AC26" s="252"/>
      <c r="AD26" s="253">
        <v>64</v>
      </c>
      <c r="AE26" s="254"/>
      <c r="AF26" s="253">
        <v>0</v>
      </c>
      <c r="AG26" s="254"/>
      <c r="AH26" s="42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41"/>
      <c r="BB26" s="23"/>
      <c r="BC26" s="23"/>
      <c r="BD26" s="23"/>
      <c r="BE26" s="23"/>
      <c r="BF26" s="23"/>
      <c r="BG26" s="43"/>
      <c r="BK26" s="272" t="s">
        <v>91</v>
      </c>
      <c r="BL26" s="51" t="s">
        <v>213</v>
      </c>
    </row>
    <row r="27" spans="1:64">
      <c r="A27" s="681">
        <v>20</v>
      </c>
      <c r="B27" s="682"/>
      <c r="C27" s="59" t="s">
        <v>1450</v>
      </c>
      <c r="D27" s="23"/>
      <c r="E27" s="23"/>
      <c r="F27" s="23"/>
      <c r="G27" s="23"/>
      <c r="H27" s="23"/>
      <c r="I27" s="23"/>
      <c r="J27" s="23"/>
      <c r="K27" s="41"/>
      <c r="L27" s="36" t="s">
        <v>67</v>
      </c>
      <c r="M27" s="23"/>
      <c r="N27" s="23"/>
      <c r="O27" s="23"/>
      <c r="P27" s="23"/>
      <c r="Q27" s="23"/>
      <c r="R27" s="23"/>
      <c r="S27" s="23"/>
      <c r="T27" s="23"/>
      <c r="U27" s="683"/>
      <c r="V27" s="682"/>
      <c r="W27" s="684"/>
      <c r="X27" s="685"/>
      <c r="Y27" s="250" t="s">
        <v>16</v>
      </c>
      <c r="Z27" s="251"/>
      <c r="AA27" s="251"/>
      <c r="AB27" s="251"/>
      <c r="AC27" s="252"/>
      <c r="AD27" s="253">
        <v>64</v>
      </c>
      <c r="AE27" s="254"/>
      <c r="AF27" s="253">
        <v>0</v>
      </c>
      <c r="AG27" s="254"/>
      <c r="AH27" s="42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41"/>
      <c r="BB27" s="23"/>
      <c r="BC27" s="23"/>
      <c r="BD27" s="23"/>
      <c r="BE27" s="23"/>
      <c r="BF27" s="23"/>
      <c r="BG27" s="43"/>
      <c r="BK27" s="272" t="s">
        <v>92</v>
      </c>
      <c r="BL27" s="51" t="s">
        <v>214</v>
      </c>
    </row>
    <row r="28" spans="1:64">
      <c r="A28" s="681">
        <v>21</v>
      </c>
      <c r="B28" s="682"/>
      <c r="C28" s="59" t="s">
        <v>1444</v>
      </c>
      <c r="D28" s="23"/>
      <c r="E28" s="23"/>
      <c r="F28" s="23"/>
      <c r="G28" s="23"/>
      <c r="H28" s="23"/>
      <c r="I28" s="23"/>
      <c r="J28" s="23"/>
      <c r="K28" s="41"/>
      <c r="L28" s="36" t="s">
        <v>68</v>
      </c>
      <c r="M28" s="23"/>
      <c r="N28" s="23"/>
      <c r="O28" s="23"/>
      <c r="P28" s="23"/>
      <c r="Q28" s="23"/>
      <c r="R28" s="23"/>
      <c r="S28" s="23"/>
      <c r="T28" s="23"/>
      <c r="U28" s="683"/>
      <c r="V28" s="682"/>
      <c r="W28" s="684"/>
      <c r="X28" s="685"/>
      <c r="Y28" s="250" t="s">
        <v>16</v>
      </c>
      <c r="Z28" s="251"/>
      <c r="AA28" s="251"/>
      <c r="AB28" s="251"/>
      <c r="AC28" s="252"/>
      <c r="AD28" s="253">
        <v>128</v>
      </c>
      <c r="AE28" s="254"/>
      <c r="AF28" s="253">
        <v>0</v>
      </c>
      <c r="AG28" s="254"/>
      <c r="AH28" s="42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41"/>
      <c r="BB28" s="23"/>
      <c r="BC28" s="23"/>
      <c r="BD28" s="23"/>
      <c r="BE28" s="23"/>
      <c r="BF28" s="23"/>
      <c r="BG28" s="43"/>
      <c r="BK28" s="272" t="s">
        <v>93</v>
      </c>
      <c r="BL28" s="51" t="s">
        <v>215</v>
      </c>
    </row>
    <row r="29" spans="1:64">
      <c r="A29" s="681">
        <v>22</v>
      </c>
      <c r="B29" s="682"/>
      <c r="C29" s="59" t="s">
        <v>1462</v>
      </c>
      <c r="D29" s="23"/>
      <c r="E29" s="23"/>
      <c r="F29" s="23"/>
      <c r="G29" s="23"/>
      <c r="H29" s="23"/>
      <c r="I29" s="23"/>
      <c r="J29" s="23"/>
      <c r="K29" s="41"/>
      <c r="L29" s="36" t="s">
        <v>44</v>
      </c>
      <c r="M29" s="23"/>
      <c r="N29" s="23"/>
      <c r="O29" s="23"/>
      <c r="P29" s="23"/>
      <c r="Q29" s="23"/>
      <c r="R29" s="23"/>
      <c r="S29" s="23"/>
      <c r="T29" s="23"/>
      <c r="U29" s="683"/>
      <c r="V29" s="682"/>
      <c r="W29" s="684"/>
      <c r="X29" s="685"/>
      <c r="Y29" s="250" t="s">
        <v>16</v>
      </c>
      <c r="Z29" s="251"/>
      <c r="AA29" s="251"/>
      <c r="AB29" s="251"/>
      <c r="AC29" s="252"/>
      <c r="AD29" s="253">
        <v>64</v>
      </c>
      <c r="AE29" s="254"/>
      <c r="AF29" s="253">
        <v>0</v>
      </c>
      <c r="AG29" s="254"/>
      <c r="AH29" s="42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41"/>
      <c r="BB29" s="23"/>
      <c r="BC29" s="23"/>
      <c r="BD29" s="23"/>
      <c r="BE29" s="23"/>
      <c r="BF29" s="23"/>
      <c r="BG29" s="43"/>
      <c r="BK29" s="272" t="s">
        <v>42</v>
      </c>
      <c r="BL29" s="51" t="s">
        <v>55</v>
      </c>
    </row>
    <row r="30" spans="1:64">
      <c r="A30" s="681">
        <v>23</v>
      </c>
      <c r="B30" s="682"/>
      <c r="C30" s="59" t="s">
        <v>1452</v>
      </c>
      <c r="D30" s="23"/>
      <c r="E30" s="23"/>
      <c r="F30" s="23"/>
      <c r="G30" s="23"/>
      <c r="H30" s="23"/>
      <c r="I30" s="23"/>
      <c r="J30" s="23"/>
      <c r="K30" s="41"/>
      <c r="L30" s="36" t="s">
        <v>45</v>
      </c>
      <c r="M30" s="23"/>
      <c r="N30" s="23"/>
      <c r="O30" s="23"/>
      <c r="P30" s="23"/>
      <c r="Q30" s="23"/>
      <c r="R30" s="23"/>
      <c r="S30" s="23"/>
      <c r="T30" s="23"/>
      <c r="U30" s="683"/>
      <c r="V30" s="682"/>
      <c r="W30" s="684"/>
      <c r="X30" s="685"/>
      <c r="Y30" s="250" t="s">
        <v>16</v>
      </c>
      <c r="Z30" s="251"/>
      <c r="AA30" s="251"/>
      <c r="AB30" s="251"/>
      <c r="AC30" s="252"/>
      <c r="AD30" s="253">
        <v>64</v>
      </c>
      <c r="AE30" s="254"/>
      <c r="AF30" s="253">
        <v>0</v>
      </c>
      <c r="AG30" s="254"/>
      <c r="AH30" s="42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41"/>
      <c r="BB30" s="23"/>
      <c r="BC30" s="23"/>
      <c r="BD30" s="23"/>
      <c r="BE30" s="23"/>
      <c r="BF30" s="23"/>
      <c r="BG30" s="43"/>
      <c r="BK30" s="272" t="s">
        <v>183</v>
      </c>
      <c r="BL30" s="51" t="s">
        <v>216</v>
      </c>
    </row>
    <row r="31" spans="1:64">
      <c r="A31" s="681">
        <v>24</v>
      </c>
      <c r="B31" s="682"/>
      <c r="C31" s="59" t="s">
        <v>1448</v>
      </c>
      <c r="D31" s="334"/>
      <c r="E31" s="334"/>
      <c r="F31" s="334"/>
      <c r="G31" s="334"/>
      <c r="H31" s="334"/>
      <c r="I31" s="334"/>
      <c r="J31" s="334"/>
      <c r="K31" s="335"/>
      <c r="L31" s="36" t="s">
        <v>38</v>
      </c>
      <c r="M31" s="23"/>
      <c r="N31" s="23"/>
      <c r="O31" s="23"/>
      <c r="P31" s="23"/>
      <c r="Q31" s="23"/>
      <c r="R31" s="23"/>
      <c r="S31" s="23"/>
      <c r="T31" s="23"/>
      <c r="U31" s="683"/>
      <c r="V31" s="682"/>
      <c r="W31" s="684"/>
      <c r="X31" s="685"/>
      <c r="Y31" s="250" t="s">
        <v>16</v>
      </c>
      <c r="Z31" s="251"/>
      <c r="AA31" s="251"/>
      <c r="AB31" s="251"/>
      <c r="AC31" s="252"/>
      <c r="AD31" s="253">
        <v>256</v>
      </c>
      <c r="AE31" s="254"/>
      <c r="AF31" s="253">
        <v>0</v>
      </c>
      <c r="AG31" s="254"/>
      <c r="AH31" s="42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41"/>
      <c r="BB31" s="23"/>
      <c r="BC31" s="23"/>
      <c r="BD31" s="23"/>
      <c r="BE31" s="23"/>
      <c r="BF31" s="23"/>
      <c r="BG31" s="43"/>
      <c r="BK31" s="272" t="s">
        <v>90</v>
      </c>
      <c r="BL31" s="51" t="s">
        <v>217</v>
      </c>
    </row>
    <row r="32" spans="1:64">
      <c r="A32" s="681">
        <v>25</v>
      </c>
      <c r="B32" s="682"/>
      <c r="C32" s="59" t="s">
        <v>1453</v>
      </c>
      <c r="D32" s="23"/>
      <c r="E32" s="23"/>
      <c r="F32" s="23"/>
      <c r="G32" s="23"/>
      <c r="H32" s="23"/>
      <c r="I32" s="23"/>
      <c r="J32" s="23"/>
      <c r="K32" s="41"/>
      <c r="L32" s="36" t="s">
        <v>34</v>
      </c>
      <c r="M32" s="23"/>
      <c r="N32" s="23"/>
      <c r="O32" s="23"/>
      <c r="P32" s="23"/>
      <c r="Q32" s="23"/>
      <c r="R32" s="23"/>
      <c r="S32" s="23"/>
      <c r="T32" s="23"/>
      <c r="U32" s="683"/>
      <c r="V32" s="682"/>
      <c r="W32" s="684"/>
      <c r="X32" s="685"/>
      <c r="Y32" s="250" t="s">
        <v>16</v>
      </c>
      <c r="Z32" s="251"/>
      <c r="AA32" s="251"/>
      <c r="AB32" s="251"/>
      <c r="AC32" s="252"/>
      <c r="AD32" s="253">
        <v>256</v>
      </c>
      <c r="AE32" s="254"/>
      <c r="AF32" s="253">
        <v>0</v>
      </c>
      <c r="AG32" s="254"/>
      <c r="AH32" s="42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41"/>
      <c r="BB32" s="23"/>
      <c r="BC32" s="23"/>
      <c r="BD32" s="23"/>
      <c r="BE32" s="23"/>
      <c r="BF32" s="23"/>
      <c r="BG32" s="43"/>
      <c r="BK32" s="272" t="s">
        <v>114</v>
      </c>
      <c r="BL32" s="51" t="s">
        <v>218</v>
      </c>
    </row>
    <row r="33" spans="1:64">
      <c r="A33" s="681">
        <v>26</v>
      </c>
      <c r="B33" s="682"/>
      <c r="C33" s="59" t="str">
        <f>VLOOKUP(L33,$BK$7:$BL$255,2,FALSE)</f>
        <v>清单</v>
      </c>
      <c r="D33" s="23"/>
      <c r="E33" s="23"/>
      <c r="F33" s="23"/>
      <c r="G33" s="23"/>
      <c r="H33" s="23"/>
      <c r="I33" s="23"/>
      <c r="J33" s="23"/>
      <c r="K33" s="41"/>
      <c r="L33" s="36" t="s">
        <v>37</v>
      </c>
      <c r="M33" s="23"/>
      <c r="N33" s="23"/>
      <c r="O33" s="23"/>
      <c r="P33" s="23"/>
      <c r="Q33" s="23"/>
      <c r="R33" s="23"/>
      <c r="S33" s="23"/>
      <c r="T33" s="23"/>
      <c r="U33" s="683"/>
      <c r="V33" s="682"/>
      <c r="W33" s="684"/>
      <c r="X33" s="685"/>
      <c r="Y33" s="250" t="s">
        <v>16</v>
      </c>
      <c r="Z33" s="251"/>
      <c r="AA33" s="251"/>
      <c r="AB33" s="251"/>
      <c r="AC33" s="252"/>
      <c r="AD33" s="253">
        <v>256</v>
      </c>
      <c r="AE33" s="254"/>
      <c r="AF33" s="253">
        <v>0</v>
      </c>
      <c r="AG33" s="254"/>
      <c r="AH33" s="42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41"/>
      <c r="BB33" s="23"/>
      <c r="BC33" s="23"/>
      <c r="BD33" s="23"/>
      <c r="BE33" s="23"/>
      <c r="BF33" s="23"/>
      <c r="BG33" s="43"/>
      <c r="BK33" s="272" t="s">
        <v>115</v>
      </c>
      <c r="BL33" s="51" t="s">
        <v>219</v>
      </c>
    </row>
    <row r="34" spans="1:64">
      <c r="A34" s="681">
        <v>27</v>
      </c>
      <c r="B34" s="682"/>
      <c r="C34" s="59" t="s">
        <v>1454</v>
      </c>
      <c r="D34" s="23"/>
      <c r="E34" s="23"/>
      <c r="F34" s="23"/>
      <c r="G34" s="23"/>
      <c r="H34" s="23"/>
      <c r="I34" s="23"/>
      <c r="J34" s="23"/>
      <c r="K34" s="41"/>
      <c r="L34" s="1" t="s">
        <v>1456</v>
      </c>
      <c r="M34" s="23"/>
      <c r="N34" s="23"/>
      <c r="O34" s="23"/>
      <c r="P34" s="23"/>
      <c r="Q34" s="23"/>
      <c r="R34" s="23"/>
      <c r="S34" s="23"/>
      <c r="T34" s="23"/>
      <c r="U34" s="683"/>
      <c r="V34" s="682"/>
      <c r="W34" s="684"/>
      <c r="X34" s="685"/>
      <c r="Y34" s="250" t="s">
        <v>16</v>
      </c>
      <c r="Z34" s="251"/>
      <c r="AA34" s="251"/>
      <c r="AB34" s="251"/>
      <c r="AC34" s="252"/>
      <c r="AD34" s="253">
        <v>256</v>
      </c>
      <c r="AE34" s="254"/>
      <c r="AF34" s="253">
        <v>0</v>
      </c>
      <c r="AG34" s="254"/>
      <c r="AH34" s="42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41"/>
      <c r="BB34" s="23"/>
      <c r="BC34" s="23"/>
      <c r="BD34" s="23"/>
      <c r="BE34" s="23"/>
      <c r="BF34" s="23"/>
      <c r="BG34" s="43"/>
      <c r="BK34" s="272" t="s">
        <v>70</v>
      </c>
      <c r="BL34" s="51" t="s">
        <v>70</v>
      </c>
    </row>
    <row r="35" spans="1:64">
      <c r="A35" s="681">
        <v>28</v>
      </c>
      <c r="B35" s="682"/>
      <c r="C35" s="59" t="s">
        <v>1455</v>
      </c>
      <c r="D35" s="23"/>
      <c r="E35" s="23"/>
      <c r="F35" s="23"/>
      <c r="G35" s="23"/>
      <c r="H35" s="23"/>
      <c r="I35" s="23"/>
      <c r="J35" s="23"/>
      <c r="K35" s="41"/>
      <c r="L35" s="1" t="s">
        <v>1449</v>
      </c>
      <c r="M35" s="23"/>
      <c r="N35" s="23"/>
      <c r="O35" s="23"/>
      <c r="P35" s="23"/>
      <c r="Q35" s="23"/>
      <c r="R35" s="23"/>
      <c r="S35" s="23"/>
      <c r="T35" s="23"/>
      <c r="U35" s="683"/>
      <c r="V35" s="682"/>
      <c r="W35" s="684"/>
      <c r="X35" s="685"/>
      <c r="Y35" s="250" t="s">
        <v>16</v>
      </c>
      <c r="Z35" s="251"/>
      <c r="AA35" s="251"/>
      <c r="AB35" s="251"/>
      <c r="AC35" s="252"/>
      <c r="AD35" s="253">
        <v>256</v>
      </c>
      <c r="AE35" s="254"/>
      <c r="AF35" s="253">
        <v>0</v>
      </c>
      <c r="AG35" s="254"/>
      <c r="AH35" s="330" t="s">
        <v>1546</v>
      </c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41"/>
      <c r="BB35" s="23"/>
      <c r="BC35" s="23"/>
      <c r="BD35" s="23"/>
      <c r="BE35" s="23"/>
      <c r="BF35" s="23"/>
      <c r="BG35" s="43"/>
      <c r="BK35" s="272" t="s">
        <v>72</v>
      </c>
      <c r="BL35" s="51" t="s">
        <v>220</v>
      </c>
    </row>
    <row r="36" spans="1:64">
      <c r="A36" s="681">
        <v>29</v>
      </c>
      <c r="B36" s="682"/>
      <c r="C36" s="397" t="s">
        <v>1457</v>
      </c>
      <c r="D36" s="230"/>
      <c r="E36" s="230"/>
      <c r="F36" s="230"/>
      <c r="G36" s="230"/>
      <c r="H36" s="230"/>
      <c r="I36" s="230"/>
      <c r="J36" s="230"/>
      <c r="K36" s="238"/>
      <c r="L36" s="475" t="s">
        <v>1463</v>
      </c>
      <c r="M36" s="474"/>
      <c r="N36" s="474"/>
      <c r="O36" s="474"/>
      <c r="P36" s="474"/>
      <c r="Q36" s="474"/>
      <c r="R36" s="474"/>
      <c r="S36" s="474"/>
      <c r="T36" s="474"/>
      <c r="U36" s="683"/>
      <c r="V36" s="682"/>
      <c r="W36" s="684"/>
      <c r="X36" s="685"/>
      <c r="Y36" s="401" t="s">
        <v>16</v>
      </c>
      <c r="Z36" s="402"/>
      <c r="AA36" s="402"/>
      <c r="AB36" s="402"/>
      <c r="AC36" s="403"/>
      <c r="AD36" s="404">
        <v>128</v>
      </c>
      <c r="AE36" s="405"/>
      <c r="AF36" s="404">
        <v>0</v>
      </c>
      <c r="AG36" s="405"/>
      <c r="AH36" s="333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5"/>
      <c r="BB36" s="334"/>
      <c r="BC36" s="334"/>
      <c r="BD36" s="334"/>
      <c r="BE36" s="334"/>
      <c r="BF36" s="334"/>
      <c r="BG36" s="43"/>
      <c r="BK36" s="272" t="s">
        <v>67</v>
      </c>
      <c r="BL36" s="51" t="s">
        <v>67</v>
      </c>
    </row>
    <row r="37" spans="1:64">
      <c r="A37" s="681">
        <v>30</v>
      </c>
      <c r="B37" s="682"/>
      <c r="C37" s="397" t="s">
        <v>1460</v>
      </c>
      <c r="D37" s="230"/>
      <c r="E37" s="230"/>
      <c r="F37" s="230"/>
      <c r="G37" s="230"/>
      <c r="H37" s="230"/>
      <c r="I37" s="230"/>
      <c r="J37" s="230"/>
      <c r="K37" s="238"/>
      <c r="L37" s="475" t="s">
        <v>1674</v>
      </c>
      <c r="M37" s="474"/>
      <c r="N37" s="474"/>
      <c r="O37" s="474"/>
      <c r="P37" s="474"/>
      <c r="Q37" s="474"/>
      <c r="R37" s="474"/>
      <c r="S37" s="474"/>
      <c r="T37" s="474"/>
      <c r="U37" s="683"/>
      <c r="V37" s="682"/>
      <c r="W37" s="684"/>
      <c r="X37" s="685"/>
      <c r="Y37" s="406" t="s">
        <v>1258</v>
      </c>
      <c r="Z37" s="407"/>
      <c r="AA37" s="407"/>
      <c r="AB37" s="407"/>
      <c r="AC37" s="408"/>
      <c r="AD37" s="404">
        <v>19</v>
      </c>
      <c r="AE37" s="405"/>
      <c r="AF37" s="404">
        <v>6</v>
      </c>
      <c r="AG37" s="405"/>
      <c r="AH37" s="330" t="s">
        <v>16</v>
      </c>
      <c r="AI37" s="334"/>
      <c r="AJ37" s="334"/>
      <c r="AK37" s="334"/>
      <c r="AL37" s="334"/>
      <c r="AM37" s="334"/>
      <c r="AN37" s="334"/>
      <c r="AO37" s="334"/>
      <c r="AP37" s="334"/>
      <c r="AQ37" s="334"/>
      <c r="AR37" s="334"/>
      <c r="AS37" s="334"/>
      <c r="AT37" s="334"/>
      <c r="AU37" s="334"/>
      <c r="AV37" s="334"/>
      <c r="AW37" s="334"/>
      <c r="AX37" s="334"/>
      <c r="AY37" s="334"/>
      <c r="AZ37" s="334"/>
      <c r="BA37" s="335"/>
      <c r="BB37" s="334"/>
      <c r="BC37" s="334"/>
      <c r="BD37" s="334"/>
      <c r="BE37" s="334"/>
      <c r="BF37" s="334"/>
      <c r="BG37" s="43"/>
      <c r="BK37" s="272" t="s">
        <v>177</v>
      </c>
      <c r="BL37" s="51" t="s">
        <v>177</v>
      </c>
    </row>
    <row r="38" spans="1:64">
      <c r="A38" s="681">
        <v>31</v>
      </c>
      <c r="B38" s="682"/>
      <c r="C38" s="397" t="s">
        <v>1599</v>
      </c>
      <c r="D38" s="230"/>
      <c r="E38" s="230"/>
      <c r="F38" s="230"/>
      <c r="G38" s="230"/>
      <c r="H38" s="230"/>
      <c r="I38" s="230"/>
      <c r="J38" s="230"/>
      <c r="K38" s="238"/>
      <c r="L38" s="475" t="s">
        <v>1461</v>
      </c>
      <c r="M38" s="474"/>
      <c r="N38" s="474"/>
      <c r="O38" s="474"/>
      <c r="P38" s="474"/>
      <c r="Q38" s="474"/>
      <c r="R38" s="474"/>
      <c r="S38" s="474"/>
      <c r="T38" s="474"/>
      <c r="U38" s="683"/>
      <c r="V38" s="682"/>
      <c r="W38" s="684"/>
      <c r="X38" s="685"/>
      <c r="Y38" s="401" t="s">
        <v>16</v>
      </c>
      <c r="Z38" s="402"/>
      <c r="AA38" s="402"/>
      <c r="AB38" s="402"/>
      <c r="AC38" s="403"/>
      <c r="AD38" s="404">
        <v>64</v>
      </c>
      <c r="AE38" s="405"/>
      <c r="AF38" s="404">
        <v>0</v>
      </c>
      <c r="AG38" s="405"/>
      <c r="AH38" s="333"/>
      <c r="AI38" s="334"/>
      <c r="AJ38" s="334"/>
      <c r="AK38" s="334"/>
      <c r="AL38" s="334"/>
      <c r="AM38" s="334"/>
      <c r="AN38" s="334"/>
      <c r="AO38" s="334"/>
      <c r="AP38" s="334"/>
      <c r="AQ38" s="334"/>
      <c r="AR38" s="334"/>
      <c r="AS38" s="334"/>
      <c r="AT38" s="334"/>
      <c r="AU38" s="334"/>
      <c r="AV38" s="334"/>
      <c r="AW38" s="334"/>
      <c r="AX38" s="334"/>
      <c r="AY38" s="334"/>
      <c r="AZ38" s="334"/>
      <c r="BA38" s="335"/>
      <c r="BB38" s="334"/>
      <c r="BC38" s="334"/>
      <c r="BD38" s="334"/>
      <c r="BE38" s="334"/>
      <c r="BF38" s="334"/>
      <c r="BG38" s="43"/>
      <c r="BK38" s="272" t="s">
        <v>39</v>
      </c>
      <c r="BL38" s="51" t="s">
        <v>53</v>
      </c>
    </row>
    <row r="39" spans="1:64">
      <c r="A39" s="681">
        <v>32</v>
      </c>
      <c r="B39" s="682"/>
      <c r="C39" s="397" t="s">
        <v>1458</v>
      </c>
      <c r="D39" s="230"/>
      <c r="E39" s="230"/>
      <c r="F39" s="230"/>
      <c r="G39" s="230"/>
      <c r="H39" s="230"/>
      <c r="I39" s="230"/>
      <c r="J39" s="230"/>
      <c r="K39" s="238"/>
      <c r="L39" s="475" t="s">
        <v>1510</v>
      </c>
      <c r="M39" s="474"/>
      <c r="N39" s="474"/>
      <c r="O39" s="474"/>
      <c r="P39" s="474"/>
      <c r="Q39" s="474"/>
      <c r="R39" s="474"/>
      <c r="S39" s="474"/>
      <c r="T39" s="474"/>
      <c r="U39" s="683"/>
      <c r="V39" s="682"/>
      <c r="W39" s="684"/>
      <c r="X39" s="685"/>
      <c r="Y39" s="401" t="s">
        <v>16</v>
      </c>
      <c r="Z39" s="402"/>
      <c r="AA39" s="402"/>
      <c r="AB39" s="402"/>
      <c r="AC39" s="403"/>
      <c r="AD39" s="404">
        <v>256</v>
      </c>
      <c r="AE39" s="405"/>
      <c r="AF39" s="404">
        <v>0</v>
      </c>
      <c r="AG39" s="405"/>
      <c r="AH39" s="333"/>
      <c r="AI39" s="334"/>
      <c r="AJ39" s="334"/>
      <c r="AK39" s="334"/>
      <c r="AL39" s="334"/>
      <c r="AM39" s="334"/>
      <c r="AN39" s="334"/>
      <c r="AO39" s="334"/>
      <c r="AP39" s="334"/>
      <c r="AQ39" s="334"/>
      <c r="AR39" s="334"/>
      <c r="AS39" s="334"/>
      <c r="AT39" s="334"/>
      <c r="AU39" s="334"/>
      <c r="AV39" s="334"/>
      <c r="AW39" s="334"/>
      <c r="AX39" s="334"/>
      <c r="AY39" s="334"/>
      <c r="AZ39" s="334"/>
      <c r="BA39" s="335"/>
      <c r="BB39" s="334"/>
      <c r="BC39" s="334"/>
      <c r="BD39" s="334"/>
      <c r="BE39" s="334"/>
      <c r="BF39" s="334"/>
      <c r="BG39" s="43"/>
      <c r="BK39" s="272" t="s">
        <v>109</v>
      </c>
      <c r="BL39" s="51" t="s">
        <v>221</v>
      </c>
    </row>
    <row r="40" spans="1:64">
      <c r="A40" s="681">
        <v>33</v>
      </c>
      <c r="B40" s="682"/>
      <c r="C40" s="397" t="s">
        <v>1459</v>
      </c>
      <c r="D40" s="230"/>
      <c r="E40" s="230"/>
      <c r="F40" s="230"/>
      <c r="G40" s="230"/>
      <c r="H40" s="230"/>
      <c r="I40" s="230"/>
      <c r="J40" s="230"/>
      <c r="K40" s="238"/>
      <c r="L40" s="1" t="s">
        <v>1478</v>
      </c>
      <c r="M40" s="334"/>
      <c r="N40" s="334"/>
      <c r="O40" s="334"/>
      <c r="P40" s="334"/>
      <c r="Q40" s="334"/>
      <c r="R40" s="334"/>
      <c r="S40" s="334"/>
      <c r="T40" s="334"/>
      <c r="U40" s="683"/>
      <c r="V40" s="682"/>
      <c r="W40" s="684"/>
      <c r="X40" s="685"/>
      <c r="Y40" s="401" t="s">
        <v>16</v>
      </c>
      <c r="Z40" s="402"/>
      <c r="AA40" s="402"/>
      <c r="AB40" s="402"/>
      <c r="AC40" s="403"/>
      <c r="AD40" s="404">
        <v>256</v>
      </c>
      <c r="AE40" s="405"/>
      <c r="AF40" s="404">
        <v>0</v>
      </c>
      <c r="AG40" s="405"/>
      <c r="AH40" s="333"/>
      <c r="AI40" s="334"/>
      <c r="AJ40" s="334"/>
      <c r="AK40" s="334"/>
      <c r="AL40" s="334"/>
      <c r="AM40" s="334"/>
      <c r="AN40" s="334"/>
      <c r="AO40" s="334"/>
      <c r="AP40" s="334"/>
      <c r="AQ40" s="334"/>
      <c r="AR40" s="334"/>
      <c r="AS40" s="334"/>
      <c r="AT40" s="334"/>
      <c r="AU40" s="334"/>
      <c r="AV40" s="334"/>
      <c r="AW40" s="334"/>
      <c r="AX40" s="334"/>
      <c r="AY40" s="334"/>
      <c r="AZ40" s="334"/>
      <c r="BA40" s="335"/>
      <c r="BB40" s="334"/>
      <c r="BC40" s="334"/>
      <c r="BD40" s="334"/>
      <c r="BE40" s="334"/>
      <c r="BF40" s="334"/>
      <c r="BG40" s="43"/>
      <c r="BK40" s="272" t="s">
        <v>110</v>
      </c>
      <c r="BL40" s="51" t="s">
        <v>222</v>
      </c>
    </row>
    <row r="41" spans="1:64">
      <c r="A41" s="681">
        <v>34</v>
      </c>
      <c r="B41" s="682"/>
      <c r="C41" s="59" t="str">
        <f t="shared" ref="C41:C72" si="1">VLOOKUP(L41,$BK$7:$BL$255,2,FALSE)</f>
        <v>最后编辑时间</v>
      </c>
      <c r="D41" s="23"/>
      <c r="E41" s="23"/>
      <c r="F41" s="23"/>
      <c r="G41" s="23"/>
      <c r="H41" s="23"/>
      <c r="I41" s="23"/>
      <c r="J41" s="23"/>
      <c r="K41" s="41"/>
      <c r="L41" s="1" t="s">
        <v>977</v>
      </c>
      <c r="M41" s="23"/>
      <c r="N41" s="23"/>
      <c r="O41" s="23"/>
      <c r="P41" s="23"/>
      <c r="Q41" s="23"/>
      <c r="R41" s="23"/>
      <c r="S41" s="23"/>
      <c r="T41" s="23"/>
      <c r="U41" s="683"/>
      <c r="V41" s="682"/>
      <c r="W41" s="684"/>
      <c r="X41" s="685"/>
      <c r="Y41" s="250" t="s">
        <v>17</v>
      </c>
      <c r="Z41" s="251"/>
      <c r="AA41" s="251"/>
      <c r="AB41" s="251"/>
      <c r="AC41" s="252"/>
      <c r="AD41" s="253"/>
      <c r="AE41" s="254"/>
      <c r="AF41" s="253"/>
      <c r="AG41" s="254"/>
      <c r="AH41" s="330" t="s">
        <v>1259</v>
      </c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41"/>
      <c r="BB41" s="23"/>
      <c r="BC41" s="23"/>
      <c r="BD41" s="23"/>
      <c r="BE41" s="23"/>
      <c r="BF41" s="23"/>
      <c r="BG41" s="43"/>
      <c r="BK41" s="272" t="s">
        <v>111</v>
      </c>
      <c r="BL41" s="51" t="s">
        <v>223</v>
      </c>
    </row>
    <row r="42" spans="1:64">
      <c r="A42" s="681">
        <v>35</v>
      </c>
      <c r="B42" s="682"/>
      <c r="C42" s="59" t="str">
        <f t="shared" si="1"/>
        <v>流程实例ID</v>
      </c>
      <c r="D42" s="23"/>
      <c r="E42" s="23"/>
      <c r="F42" s="23"/>
      <c r="G42" s="23"/>
      <c r="H42" s="23"/>
      <c r="I42" s="23"/>
      <c r="J42" s="23"/>
      <c r="K42" s="41"/>
      <c r="L42" s="36" t="s">
        <v>71</v>
      </c>
      <c r="M42" s="23"/>
      <c r="N42" s="23"/>
      <c r="O42" s="23"/>
      <c r="P42" s="23"/>
      <c r="Q42" s="23"/>
      <c r="R42" s="23"/>
      <c r="S42" s="23"/>
      <c r="T42" s="23"/>
      <c r="U42" s="683"/>
      <c r="V42" s="682"/>
      <c r="W42" s="684"/>
      <c r="X42" s="685"/>
      <c r="Y42" s="250" t="s">
        <v>16</v>
      </c>
      <c r="Z42" s="251"/>
      <c r="AA42" s="251"/>
      <c r="AB42" s="251"/>
      <c r="AC42" s="252"/>
      <c r="AD42" s="253">
        <v>100</v>
      </c>
      <c r="AE42" s="254"/>
      <c r="AF42" s="253">
        <v>0</v>
      </c>
      <c r="AG42" s="254"/>
      <c r="AH42" s="42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41"/>
      <c r="BB42" s="23"/>
      <c r="BC42" s="23"/>
      <c r="BD42" s="23"/>
      <c r="BE42" s="23"/>
      <c r="BF42" s="23"/>
      <c r="BG42" s="43"/>
      <c r="BK42" s="272" t="s">
        <v>112</v>
      </c>
      <c r="BL42" s="51" t="s">
        <v>224</v>
      </c>
    </row>
    <row r="43" spans="1:64">
      <c r="A43" s="681">
        <v>36</v>
      </c>
      <c r="B43" s="682"/>
      <c r="C43" s="59" t="str">
        <f t="shared" si="1"/>
        <v>公文任务ID</v>
      </c>
      <c r="D43" s="23"/>
      <c r="E43" s="23"/>
      <c r="F43" s="23"/>
      <c r="G43" s="23"/>
      <c r="H43" s="23"/>
      <c r="I43" s="23"/>
      <c r="J43" s="23"/>
      <c r="K43" s="41"/>
      <c r="L43" s="36" t="s">
        <v>72</v>
      </c>
      <c r="M43" s="23"/>
      <c r="N43" s="23"/>
      <c r="O43" s="23"/>
      <c r="P43" s="23"/>
      <c r="Q43" s="23"/>
      <c r="R43" s="23"/>
      <c r="S43" s="23"/>
      <c r="T43" s="23"/>
      <c r="U43" s="683"/>
      <c r="V43" s="682"/>
      <c r="W43" s="684"/>
      <c r="X43" s="685"/>
      <c r="Y43" s="250" t="s">
        <v>16</v>
      </c>
      <c r="Z43" s="251"/>
      <c r="AA43" s="251"/>
      <c r="AB43" s="251"/>
      <c r="AC43" s="252"/>
      <c r="AD43" s="253">
        <v>128</v>
      </c>
      <c r="AE43" s="254"/>
      <c r="AF43" s="253">
        <v>0</v>
      </c>
      <c r="AG43" s="254"/>
      <c r="AH43" s="42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41"/>
      <c r="BB43" s="23"/>
      <c r="BC43" s="23"/>
      <c r="BD43" s="23"/>
      <c r="BE43" s="23"/>
      <c r="BF43" s="23"/>
      <c r="BG43" s="43"/>
      <c r="BK43" s="272" t="s">
        <v>113</v>
      </c>
      <c r="BL43" s="51" t="s">
        <v>225</v>
      </c>
    </row>
    <row r="44" spans="1:64">
      <c r="A44" s="681">
        <v>37</v>
      </c>
      <c r="B44" s="682"/>
      <c r="C44" s="59" t="str">
        <f t="shared" si="1"/>
        <v>name</v>
      </c>
      <c r="D44" s="23"/>
      <c r="E44" s="23"/>
      <c r="F44" s="23"/>
      <c r="G44" s="23"/>
      <c r="H44" s="23"/>
      <c r="I44" s="23"/>
      <c r="J44" s="23"/>
      <c r="K44" s="41"/>
      <c r="L44" s="36" t="s">
        <v>73</v>
      </c>
      <c r="M44" s="23"/>
      <c r="N44" s="23"/>
      <c r="O44" s="23"/>
      <c r="P44" s="23"/>
      <c r="Q44" s="23"/>
      <c r="R44" s="23"/>
      <c r="S44" s="23"/>
      <c r="T44" s="23"/>
      <c r="U44" s="683"/>
      <c r="V44" s="682"/>
      <c r="W44" s="684"/>
      <c r="X44" s="685"/>
      <c r="Y44" s="250" t="s">
        <v>16</v>
      </c>
      <c r="Z44" s="251"/>
      <c r="AA44" s="251"/>
      <c r="AB44" s="251"/>
      <c r="AC44" s="252"/>
      <c r="AD44" s="253">
        <v>200</v>
      </c>
      <c r="AE44" s="254"/>
      <c r="AF44" s="253">
        <v>0</v>
      </c>
      <c r="AG44" s="254"/>
      <c r="AH44" s="42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41"/>
      <c r="BB44" s="23"/>
      <c r="BC44" s="23"/>
      <c r="BD44" s="23"/>
      <c r="BE44" s="23"/>
      <c r="BF44" s="23"/>
      <c r="BG44" s="43"/>
      <c r="BK44" s="272" t="s">
        <v>123</v>
      </c>
      <c r="BL44" s="51" t="s">
        <v>226</v>
      </c>
    </row>
    <row r="45" spans="1:64">
      <c r="A45" s="681">
        <v>38</v>
      </c>
      <c r="B45" s="682"/>
      <c r="C45" s="59" t="str">
        <f t="shared" si="1"/>
        <v>机构编码</v>
      </c>
      <c r="D45" s="23"/>
      <c r="E45" s="23"/>
      <c r="F45" s="23"/>
      <c r="G45" s="23"/>
      <c r="H45" s="23"/>
      <c r="I45" s="23"/>
      <c r="J45" s="23"/>
      <c r="K45" s="41"/>
      <c r="L45" s="36" t="s">
        <v>74</v>
      </c>
      <c r="M45" s="23"/>
      <c r="N45" s="23"/>
      <c r="O45" s="23"/>
      <c r="P45" s="23"/>
      <c r="Q45" s="23"/>
      <c r="R45" s="23"/>
      <c r="S45" s="23"/>
      <c r="T45" s="23"/>
      <c r="U45" s="683"/>
      <c r="V45" s="682"/>
      <c r="W45" s="684"/>
      <c r="X45" s="685"/>
      <c r="Y45" s="250" t="s">
        <v>16</v>
      </c>
      <c r="Z45" s="251"/>
      <c r="AA45" s="251"/>
      <c r="AB45" s="251"/>
      <c r="AC45" s="252"/>
      <c r="AD45" s="253">
        <v>128</v>
      </c>
      <c r="AE45" s="254"/>
      <c r="AF45" s="253">
        <v>0</v>
      </c>
      <c r="AG45" s="254"/>
      <c r="AH45" s="42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41"/>
      <c r="BB45" s="23"/>
      <c r="BC45" s="23"/>
      <c r="BD45" s="23"/>
      <c r="BE45" s="23"/>
      <c r="BF45" s="23"/>
      <c r="BG45" s="43"/>
      <c r="BK45" s="272" t="s">
        <v>124</v>
      </c>
      <c r="BL45" s="51" t="s">
        <v>227</v>
      </c>
    </row>
    <row r="46" spans="1:64">
      <c r="A46" s="681">
        <v>39</v>
      </c>
      <c r="B46" s="682"/>
      <c r="C46" s="59" t="str">
        <f t="shared" si="1"/>
        <v>承建单位简称</v>
      </c>
      <c r="D46" s="23"/>
      <c r="E46" s="23"/>
      <c r="F46" s="23"/>
      <c r="G46" s="23"/>
      <c r="H46" s="23"/>
      <c r="I46" s="23"/>
      <c r="J46" s="23"/>
      <c r="K46" s="41"/>
      <c r="L46" s="36" t="s">
        <v>75</v>
      </c>
      <c r="M46" s="23"/>
      <c r="N46" s="23"/>
      <c r="O46" s="23"/>
      <c r="P46" s="23"/>
      <c r="Q46" s="23"/>
      <c r="R46" s="23"/>
      <c r="S46" s="23"/>
      <c r="T46" s="23"/>
      <c r="U46" s="683"/>
      <c r="V46" s="682"/>
      <c r="W46" s="684"/>
      <c r="X46" s="685"/>
      <c r="Y46" s="250" t="s">
        <v>16</v>
      </c>
      <c r="Z46" s="251"/>
      <c r="AA46" s="251"/>
      <c r="AB46" s="251"/>
      <c r="AC46" s="252"/>
      <c r="AD46" s="253">
        <v>40</v>
      </c>
      <c r="AE46" s="254"/>
      <c r="AF46" s="253">
        <v>0</v>
      </c>
      <c r="AG46" s="254"/>
      <c r="AH46" s="42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41"/>
      <c r="BB46" s="23"/>
      <c r="BC46" s="23"/>
      <c r="BD46" s="23"/>
      <c r="BE46" s="23"/>
      <c r="BF46" s="23"/>
      <c r="BG46" s="43"/>
      <c r="BK46" s="272" t="s">
        <v>125</v>
      </c>
      <c r="BL46" s="51" t="s">
        <v>228</v>
      </c>
    </row>
    <row r="47" spans="1:64">
      <c r="A47" s="681">
        <v>40</v>
      </c>
      <c r="B47" s="682"/>
      <c r="C47" s="59" t="str">
        <f t="shared" si="1"/>
        <v>中标单位简称</v>
      </c>
      <c r="D47" s="23"/>
      <c r="E47" s="23"/>
      <c r="F47" s="23"/>
      <c r="G47" s="23"/>
      <c r="H47" s="23"/>
      <c r="I47" s="23"/>
      <c r="J47" s="23"/>
      <c r="K47" s="41"/>
      <c r="L47" s="36" t="s">
        <v>76</v>
      </c>
      <c r="M47" s="23"/>
      <c r="N47" s="23"/>
      <c r="O47" s="23"/>
      <c r="P47" s="23"/>
      <c r="Q47" s="23"/>
      <c r="R47" s="23"/>
      <c r="S47" s="23"/>
      <c r="T47" s="23"/>
      <c r="U47" s="683"/>
      <c r="V47" s="682"/>
      <c r="W47" s="684"/>
      <c r="X47" s="685"/>
      <c r="Y47" s="250" t="s">
        <v>16</v>
      </c>
      <c r="Z47" s="251"/>
      <c r="AA47" s="251"/>
      <c r="AB47" s="251"/>
      <c r="AC47" s="252"/>
      <c r="AD47" s="253">
        <v>40</v>
      </c>
      <c r="AE47" s="254"/>
      <c r="AF47" s="253">
        <v>0</v>
      </c>
      <c r="AG47" s="254"/>
      <c r="AH47" s="42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41"/>
      <c r="BB47" s="23"/>
      <c r="BC47" s="23"/>
      <c r="BD47" s="23"/>
      <c r="BE47" s="23"/>
      <c r="BF47" s="23"/>
      <c r="BG47" s="43"/>
      <c r="BK47" s="272" t="s">
        <v>163</v>
      </c>
      <c r="BL47" s="51" t="s">
        <v>229</v>
      </c>
    </row>
    <row r="48" spans="1:64">
      <c r="A48" s="681">
        <v>41</v>
      </c>
      <c r="B48" s="682"/>
      <c r="C48" s="457" t="str">
        <f t="shared" si="1"/>
        <v>项目所在省份简称</v>
      </c>
      <c r="D48" s="460"/>
      <c r="E48" s="460"/>
      <c r="F48" s="460"/>
      <c r="G48" s="460"/>
      <c r="H48" s="460"/>
      <c r="I48" s="460"/>
      <c r="J48" s="460"/>
      <c r="K48" s="461"/>
      <c r="L48" s="36" t="s">
        <v>77</v>
      </c>
      <c r="M48" s="23"/>
      <c r="N48" s="23"/>
      <c r="O48" s="23"/>
      <c r="P48" s="23"/>
      <c r="Q48" s="23"/>
      <c r="R48" s="23"/>
      <c r="S48" s="23"/>
      <c r="T48" s="23"/>
      <c r="U48" s="683"/>
      <c r="V48" s="682"/>
      <c r="W48" s="684"/>
      <c r="X48" s="685"/>
      <c r="Y48" s="250" t="s">
        <v>16</v>
      </c>
      <c r="Z48" s="251"/>
      <c r="AA48" s="251"/>
      <c r="AB48" s="251"/>
      <c r="AC48" s="252"/>
      <c r="AD48" s="253">
        <v>40</v>
      </c>
      <c r="AE48" s="254"/>
      <c r="AF48" s="253">
        <v>0</v>
      </c>
      <c r="AG48" s="254"/>
      <c r="AH48" s="42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41"/>
      <c r="BB48" s="23"/>
      <c r="BC48" s="23"/>
      <c r="BD48" s="23"/>
      <c r="BE48" s="23"/>
      <c r="BF48" s="23"/>
      <c r="BG48" s="43"/>
      <c r="BK48" s="272" t="s">
        <v>164</v>
      </c>
      <c r="BL48" s="51" t="s">
        <v>230</v>
      </c>
    </row>
    <row r="49" spans="1:64">
      <c r="A49" s="681">
        <v>42</v>
      </c>
      <c r="B49" s="682"/>
      <c r="C49" s="59" t="str">
        <f t="shared" si="1"/>
        <v>项目简称</v>
      </c>
      <c r="D49" s="23"/>
      <c r="E49" s="23"/>
      <c r="F49" s="23"/>
      <c r="G49" s="23"/>
      <c r="H49" s="23"/>
      <c r="I49" s="23"/>
      <c r="J49" s="23"/>
      <c r="K49" s="41"/>
      <c r="L49" s="36" t="s">
        <v>78</v>
      </c>
      <c r="M49" s="23"/>
      <c r="N49" s="23"/>
      <c r="O49" s="23"/>
      <c r="P49" s="23"/>
      <c r="Q49" s="23"/>
      <c r="R49" s="23"/>
      <c r="S49" s="23"/>
      <c r="T49" s="23"/>
      <c r="U49" s="683"/>
      <c r="V49" s="682"/>
      <c r="W49" s="684"/>
      <c r="X49" s="685"/>
      <c r="Y49" s="250" t="s">
        <v>16</v>
      </c>
      <c r="Z49" s="251"/>
      <c r="AA49" s="251"/>
      <c r="AB49" s="251"/>
      <c r="AC49" s="252"/>
      <c r="AD49" s="253">
        <v>40</v>
      </c>
      <c r="AE49" s="254"/>
      <c r="AF49" s="253">
        <v>0</v>
      </c>
      <c r="AG49" s="254"/>
      <c r="AH49" s="42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41"/>
      <c r="BB49" s="23"/>
      <c r="BC49" s="23"/>
      <c r="BD49" s="23"/>
      <c r="BE49" s="23"/>
      <c r="BF49" s="23"/>
      <c r="BG49" s="43"/>
      <c r="BK49" s="272" t="s">
        <v>165</v>
      </c>
      <c r="BL49" s="51" t="s">
        <v>231</v>
      </c>
    </row>
    <row r="50" spans="1:64">
      <c r="A50" s="681">
        <v>43</v>
      </c>
      <c r="B50" s="682"/>
      <c r="C50" s="59" t="str">
        <f t="shared" si="1"/>
        <v>标段号</v>
      </c>
      <c r="D50" s="23"/>
      <c r="E50" s="23"/>
      <c r="F50" s="23"/>
      <c r="G50" s="23"/>
      <c r="H50" s="23"/>
      <c r="I50" s="23"/>
      <c r="J50" s="23"/>
      <c r="K50" s="41"/>
      <c r="L50" s="36" t="s">
        <v>79</v>
      </c>
      <c r="M50" s="23"/>
      <c r="N50" s="23"/>
      <c r="O50" s="23"/>
      <c r="P50" s="23"/>
      <c r="Q50" s="23"/>
      <c r="R50" s="23"/>
      <c r="S50" s="23"/>
      <c r="T50" s="23"/>
      <c r="U50" s="683"/>
      <c r="V50" s="682"/>
      <c r="W50" s="684"/>
      <c r="X50" s="685"/>
      <c r="Y50" s="250" t="s">
        <v>16</v>
      </c>
      <c r="Z50" s="251"/>
      <c r="AA50" s="251"/>
      <c r="AB50" s="251"/>
      <c r="AC50" s="252"/>
      <c r="AD50" s="253">
        <v>40</v>
      </c>
      <c r="AE50" s="254"/>
      <c r="AF50" s="253">
        <v>0</v>
      </c>
      <c r="AG50" s="254"/>
      <c r="AH50" s="42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41"/>
      <c r="BB50" s="23"/>
      <c r="BC50" s="23"/>
      <c r="BD50" s="23"/>
      <c r="BE50" s="23"/>
      <c r="BF50" s="23"/>
      <c r="BG50" s="43"/>
      <c r="BK50" s="272" t="s">
        <v>166</v>
      </c>
      <c r="BL50" s="51" t="s">
        <v>232</v>
      </c>
    </row>
    <row r="51" spans="1:64">
      <c r="A51" s="681">
        <v>44</v>
      </c>
      <c r="B51" s="682"/>
      <c r="C51" s="59" t="str">
        <f t="shared" si="1"/>
        <v>合同类别</v>
      </c>
      <c r="D51" s="23"/>
      <c r="E51" s="23"/>
      <c r="F51" s="23"/>
      <c r="G51" s="23"/>
      <c r="H51" s="23"/>
      <c r="I51" s="23"/>
      <c r="J51" s="23"/>
      <c r="K51" s="41"/>
      <c r="L51" s="36" t="s">
        <v>80</v>
      </c>
      <c r="M51" s="23"/>
      <c r="N51" s="23"/>
      <c r="O51" s="23"/>
      <c r="P51" s="23"/>
      <c r="Q51" s="23"/>
      <c r="R51" s="23"/>
      <c r="S51" s="23"/>
      <c r="T51" s="23"/>
      <c r="U51" s="683"/>
      <c r="V51" s="682"/>
      <c r="W51" s="684"/>
      <c r="X51" s="685"/>
      <c r="Y51" s="250" t="s">
        <v>16</v>
      </c>
      <c r="Z51" s="251"/>
      <c r="AA51" s="251"/>
      <c r="AB51" s="251"/>
      <c r="AC51" s="252"/>
      <c r="AD51" s="253">
        <v>40</v>
      </c>
      <c r="AE51" s="254"/>
      <c r="AF51" s="253">
        <v>0</v>
      </c>
      <c r="AG51" s="254"/>
      <c r="AH51" s="42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41"/>
      <c r="BB51" s="23"/>
      <c r="BC51" s="23"/>
      <c r="BD51" s="23"/>
      <c r="BE51" s="23"/>
      <c r="BF51" s="23"/>
      <c r="BG51" s="43"/>
      <c r="BK51" s="272" t="s">
        <v>167</v>
      </c>
      <c r="BL51" s="51" t="s">
        <v>233</v>
      </c>
    </row>
    <row r="52" spans="1:64">
      <c r="A52" s="681">
        <v>45</v>
      </c>
      <c r="B52" s="682"/>
      <c r="C52" s="59" t="str">
        <f t="shared" si="1"/>
        <v>合同序号</v>
      </c>
      <c r="D52" s="23"/>
      <c r="E52" s="23"/>
      <c r="F52" s="23"/>
      <c r="G52" s="23"/>
      <c r="H52" s="23"/>
      <c r="I52" s="23"/>
      <c r="J52" s="23"/>
      <c r="K52" s="41"/>
      <c r="L52" s="36" t="s">
        <v>81</v>
      </c>
      <c r="M52" s="23"/>
      <c r="N52" s="23"/>
      <c r="O52" s="23"/>
      <c r="P52" s="23"/>
      <c r="Q52" s="23"/>
      <c r="R52" s="23"/>
      <c r="S52" s="23"/>
      <c r="T52" s="23"/>
      <c r="U52" s="683"/>
      <c r="V52" s="682"/>
      <c r="W52" s="684"/>
      <c r="X52" s="685"/>
      <c r="Y52" s="250" t="s">
        <v>16</v>
      </c>
      <c r="Z52" s="251"/>
      <c r="AA52" s="251"/>
      <c r="AB52" s="251"/>
      <c r="AC52" s="252"/>
      <c r="AD52" s="253">
        <v>40</v>
      </c>
      <c r="AE52" s="254"/>
      <c r="AF52" s="253">
        <v>0</v>
      </c>
      <c r="AG52" s="254"/>
      <c r="AH52" s="42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41"/>
      <c r="BB52" s="23"/>
      <c r="BC52" s="23"/>
      <c r="BD52" s="23"/>
      <c r="BE52" s="23"/>
      <c r="BF52" s="23"/>
      <c r="BG52" s="43"/>
      <c r="BK52" s="272" t="s">
        <v>162</v>
      </c>
      <c r="BL52" s="51" t="s">
        <v>234</v>
      </c>
    </row>
    <row r="53" spans="1:64">
      <c r="A53" s="681">
        <v>46</v>
      </c>
      <c r="B53" s="682"/>
      <c r="C53" s="59" t="str">
        <f t="shared" si="1"/>
        <v>业主合同编码</v>
      </c>
      <c r="D53" s="334"/>
      <c r="E53" s="334"/>
      <c r="F53" s="334"/>
      <c r="G53" s="334"/>
      <c r="H53" s="334"/>
      <c r="I53" s="334"/>
      <c r="J53" s="334"/>
      <c r="K53" s="335"/>
      <c r="L53" s="1" t="s">
        <v>1409</v>
      </c>
      <c r="M53" s="23"/>
      <c r="N53" s="23"/>
      <c r="O53" s="23"/>
      <c r="P53" s="23"/>
      <c r="Q53" s="23"/>
      <c r="R53" s="23"/>
      <c r="S53" s="23"/>
      <c r="T53" s="23"/>
      <c r="U53" s="683"/>
      <c r="V53" s="682"/>
      <c r="W53" s="684"/>
      <c r="X53" s="685"/>
      <c r="Y53" s="250" t="s">
        <v>16</v>
      </c>
      <c r="Z53" s="251"/>
      <c r="AA53" s="251"/>
      <c r="AB53" s="251"/>
      <c r="AC53" s="252"/>
      <c r="AD53" s="253">
        <v>200</v>
      </c>
      <c r="AE53" s="254"/>
      <c r="AF53" s="253">
        <v>0</v>
      </c>
      <c r="AG53" s="254"/>
      <c r="AH53" s="330" t="s">
        <v>1410</v>
      </c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41"/>
      <c r="BB53" s="23"/>
      <c r="BC53" s="23"/>
      <c r="BD53" s="23"/>
      <c r="BE53" s="23"/>
      <c r="BF53" s="23"/>
      <c r="BG53" s="43"/>
      <c r="BK53" s="272" t="s">
        <v>172</v>
      </c>
      <c r="BL53" s="51" t="s">
        <v>235</v>
      </c>
    </row>
    <row r="54" spans="1:64">
      <c r="A54" s="681">
        <v>47</v>
      </c>
      <c r="B54" s="682"/>
      <c r="C54" s="59" t="str">
        <f t="shared" si="1"/>
        <v>同一公司</v>
      </c>
      <c r="D54" s="23"/>
      <c r="E54" s="23"/>
      <c r="F54" s="23"/>
      <c r="G54" s="23"/>
      <c r="H54" s="23"/>
      <c r="I54" s="23"/>
      <c r="J54" s="23"/>
      <c r="K54" s="41"/>
      <c r="L54" s="36" t="s">
        <v>83</v>
      </c>
      <c r="M54" s="23"/>
      <c r="N54" s="23"/>
      <c r="O54" s="23"/>
      <c r="P54" s="23"/>
      <c r="Q54" s="23"/>
      <c r="R54" s="23"/>
      <c r="S54" s="23"/>
      <c r="T54" s="23"/>
      <c r="U54" s="683"/>
      <c r="V54" s="682"/>
      <c r="W54" s="684"/>
      <c r="X54" s="685"/>
      <c r="Y54" s="250" t="s">
        <v>16</v>
      </c>
      <c r="Z54" s="251"/>
      <c r="AA54" s="251"/>
      <c r="AB54" s="251"/>
      <c r="AC54" s="252"/>
      <c r="AD54" s="253">
        <v>8</v>
      </c>
      <c r="AE54" s="254"/>
      <c r="AF54" s="253">
        <v>0</v>
      </c>
      <c r="AG54" s="254"/>
      <c r="AH54" s="42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41"/>
      <c r="BB54" s="23"/>
      <c r="BC54" s="23"/>
      <c r="BD54" s="23"/>
      <c r="BE54" s="23"/>
      <c r="BF54" s="23"/>
      <c r="BG54" s="43"/>
      <c r="BK54" s="272" t="s">
        <v>168</v>
      </c>
      <c r="BL54" s="51" t="s">
        <v>236</v>
      </c>
    </row>
    <row r="55" spans="1:64">
      <c r="A55" s="681">
        <v>48</v>
      </c>
      <c r="B55" s="682"/>
      <c r="C55" s="457" t="str">
        <f t="shared" si="1"/>
        <v>评审开始时间</v>
      </c>
      <c r="D55" s="460"/>
      <c r="E55" s="460"/>
      <c r="F55" s="460"/>
      <c r="G55" s="460"/>
      <c r="H55" s="460"/>
      <c r="I55" s="460"/>
      <c r="J55" s="460"/>
      <c r="K55" s="461"/>
      <c r="L55" s="475" t="s">
        <v>405</v>
      </c>
      <c r="M55" s="474"/>
      <c r="N55" s="474"/>
      <c r="O55" s="474"/>
      <c r="P55" s="474"/>
      <c r="Q55" s="474"/>
      <c r="R55" s="474"/>
      <c r="S55" s="474"/>
      <c r="T55" s="474"/>
      <c r="U55" s="683"/>
      <c r="V55" s="682"/>
      <c r="W55" s="684"/>
      <c r="X55" s="685"/>
      <c r="Y55" s="250" t="s">
        <v>17</v>
      </c>
      <c r="Z55" s="251"/>
      <c r="AA55" s="251"/>
      <c r="AB55" s="251"/>
      <c r="AC55" s="252"/>
      <c r="AD55" s="253"/>
      <c r="AE55" s="254"/>
      <c r="AF55" s="253"/>
      <c r="AG55" s="254"/>
      <c r="AH55" s="330" t="s">
        <v>1271</v>
      </c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41"/>
      <c r="BB55" s="23"/>
      <c r="BC55" s="23"/>
      <c r="BD55" s="23"/>
      <c r="BE55" s="23"/>
      <c r="BF55" s="23"/>
      <c r="BG55" s="43"/>
      <c r="BK55" s="272" t="s">
        <v>169</v>
      </c>
      <c r="BL55" s="51" t="s">
        <v>237</v>
      </c>
    </row>
    <row r="56" spans="1:64">
      <c r="A56" s="681">
        <v>49</v>
      </c>
      <c r="B56" s="682"/>
      <c r="C56" s="457" t="str">
        <f t="shared" si="1"/>
        <v>评审结束时间</v>
      </c>
      <c r="D56" s="460"/>
      <c r="E56" s="460"/>
      <c r="F56" s="460"/>
      <c r="G56" s="460"/>
      <c r="H56" s="460"/>
      <c r="I56" s="460"/>
      <c r="J56" s="460"/>
      <c r="K56" s="461"/>
      <c r="L56" s="476" t="s">
        <v>35</v>
      </c>
      <c r="M56" s="474"/>
      <c r="N56" s="474"/>
      <c r="O56" s="474"/>
      <c r="P56" s="474"/>
      <c r="Q56" s="474"/>
      <c r="R56" s="474"/>
      <c r="S56" s="474"/>
      <c r="T56" s="474"/>
      <c r="U56" s="683"/>
      <c r="V56" s="682"/>
      <c r="W56" s="684"/>
      <c r="X56" s="685"/>
      <c r="Y56" s="250" t="s">
        <v>17</v>
      </c>
      <c r="Z56" s="251"/>
      <c r="AA56" s="251"/>
      <c r="AB56" s="251"/>
      <c r="AC56" s="252"/>
      <c r="AD56" s="253"/>
      <c r="AE56" s="254"/>
      <c r="AF56" s="253"/>
      <c r="AG56" s="254"/>
      <c r="AH56" s="330" t="s">
        <v>1256</v>
      </c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41"/>
      <c r="BB56" s="23"/>
      <c r="BC56" s="23"/>
      <c r="BD56" s="23"/>
      <c r="BE56" s="23"/>
      <c r="BF56" s="23"/>
      <c r="BG56" s="43"/>
      <c r="BK56" s="272" t="s">
        <v>170</v>
      </c>
      <c r="BL56" s="51" t="s">
        <v>238</v>
      </c>
    </row>
    <row r="57" spans="1:64">
      <c r="A57" s="681">
        <v>50</v>
      </c>
      <c r="B57" s="682"/>
      <c r="C57" s="59" t="str">
        <f t="shared" si="1"/>
        <v>变更后含税金额</v>
      </c>
      <c r="D57" s="23"/>
      <c r="E57" s="23"/>
      <c r="F57" s="23"/>
      <c r="G57" s="23"/>
      <c r="H57" s="23"/>
      <c r="I57" s="23"/>
      <c r="J57" s="23"/>
      <c r="K57" s="41"/>
      <c r="L57" s="475" t="s">
        <v>1676</v>
      </c>
      <c r="M57" s="474"/>
      <c r="N57" s="474"/>
      <c r="O57" s="474"/>
      <c r="P57" s="474"/>
      <c r="Q57" s="474"/>
      <c r="R57" s="474"/>
      <c r="S57" s="474"/>
      <c r="T57" s="474"/>
      <c r="U57" s="683"/>
      <c r="V57" s="682"/>
      <c r="W57" s="684"/>
      <c r="X57" s="685"/>
      <c r="Y57" s="347" t="s">
        <v>1261</v>
      </c>
      <c r="Z57" s="251"/>
      <c r="AA57" s="251"/>
      <c r="AB57" s="251"/>
      <c r="AC57" s="252"/>
      <c r="AD57" s="253">
        <v>19</v>
      </c>
      <c r="AE57" s="254"/>
      <c r="AF57" s="253">
        <v>6</v>
      </c>
      <c r="AG57" s="254"/>
      <c r="AH57" s="330" t="s">
        <v>1257</v>
      </c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41"/>
      <c r="BB57" s="23"/>
      <c r="BC57" s="23"/>
      <c r="BD57" s="23"/>
      <c r="BE57" s="23"/>
      <c r="BF57" s="23"/>
      <c r="BG57" s="43"/>
      <c r="BK57" s="272" t="s">
        <v>161</v>
      </c>
      <c r="BL57" s="51" t="s">
        <v>239</v>
      </c>
    </row>
    <row r="58" spans="1:64">
      <c r="A58" s="681">
        <v>51</v>
      </c>
      <c r="B58" s="682"/>
      <c r="C58" s="59" t="str">
        <f t="shared" si="1"/>
        <v>是否局审批</v>
      </c>
      <c r="D58" s="23"/>
      <c r="E58" s="23"/>
      <c r="F58" s="23"/>
      <c r="G58" s="23"/>
      <c r="H58" s="23"/>
      <c r="I58" s="23"/>
      <c r="J58" s="23"/>
      <c r="K58" s="41"/>
      <c r="L58" s="36" t="s">
        <v>85</v>
      </c>
      <c r="M58" s="23"/>
      <c r="N58" s="23"/>
      <c r="O58" s="23"/>
      <c r="P58" s="23"/>
      <c r="Q58" s="23"/>
      <c r="R58" s="23"/>
      <c r="S58" s="23"/>
      <c r="T58" s="23"/>
      <c r="U58" s="683"/>
      <c r="V58" s="682"/>
      <c r="W58" s="684"/>
      <c r="X58" s="685"/>
      <c r="Y58" s="250" t="s">
        <v>16</v>
      </c>
      <c r="Z58" s="251"/>
      <c r="AA58" s="251"/>
      <c r="AB58" s="251"/>
      <c r="AC58" s="252"/>
      <c r="AD58" s="253">
        <v>10</v>
      </c>
      <c r="AE58" s="254"/>
      <c r="AF58" s="253">
        <v>0</v>
      </c>
      <c r="AG58" s="254"/>
      <c r="AH58" s="42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41"/>
      <c r="BB58" s="23"/>
      <c r="BC58" s="23"/>
      <c r="BD58" s="23"/>
      <c r="BE58" s="23"/>
      <c r="BF58" s="23"/>
      <c r="BG58" s="43"/>
      <c r="BK58" s="272" t="s">
        <v>178</v>
      </c>
      <c r="BL58" s="51" t="s">
        <v>240</v>
      </c>
    </row>
    <row r="59" spans="1:64">
      <c r="A59" s="681">
        <v>52</v>
      </c>
      <c r="B59" s="682"/>
      <c r="C59" s="59" t="str">
        <f t="shared" si="1"/>
        <v>是否发送到局机关审批</v>
      </c>
      <c r="D59" s="23"/>
      <c r="E59" s="23"/>
      <c r="F59" s="23"/>
      <c r="G59" s="23"/>
      <c r="H59" s="23"/>
      <c r="I59" s="23"/>
      <c r="J59" s="23"/>
      <c r="K59" s="41"/>
      <c r="L59" s="36" t="s">
        <v>86</v>
      </c>
      <c r="M59" s="23"/>
      <c r="N59" s="23"/>
      <c r="O59" s="23"/>
      <c r="P59" s="23"/>
      <c r="Q59" s="23"/>
      <c r="R59" s="23"/>
      <c r="S59" s="23"/>
      <c r="T59" s="23"/>
      <c r="U59" s="683"/>
      <c r="V59" s="682"/>
      <c r="W59" s="684"/>
      <c r="X59" s="685"/>
      <c r="Y59" s="250" t="s">
        <v>16</v>
      </c>
      <c r="Z59" s="251"/>
      <c r="AA59" s="251"/>
      <c r="AB59" s="251"/>
      <c r="AC59" s="252"/>
      <c r="AD59" s="253">
        <v>10</v>
      </c>
      <c r="AE59" s="254"/>
      <c r="AF59" s="253">
        <v>0</v>
      </c>
      <c r="AG59" s="254"/>
      <c r="AH59" s="42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41"/>
      <c r="BB59" s="23"/>
      <c r="BC59" s="23"/>
      <c r="BD59" s="23"/>
      <c r="BE59" s="23"/>
      <c r="BF59" s="23"/>
      <c r="BG59" s="43"/>
      <c r="BK59" s="272" t="s">
        <v>173</v>
      </c>
      <c r="BL59" s="51" t="s">
        <v>241</v>
      </c>
    </row>
    <row r="60" spans="1:64">
      <c r="A60" s="681">
        <v>53</v>
      </c>
      <c r="B60" s="682"/>
      <c r="C60" s="59" t="str">
        <f t="shared" si="1"/>
        <v>局历史流程ID</v>
      </c>
      <c r="D60" s="23"/>
      <c r="E60" s="23"/>
      <c r="F60" s="23"/>
      <c r="G60" s="23"/>
      <c r="H60" s="23"/>
      <c r="I60" s="23"/>
      <c r="J60" s="23"/>
      <c r="K60" s="41"/>
      <c r="L60" s="36" t="s">
        <v>87</v>
      </c>
      <c r="M60" s="23"/>
      <c r="N60" s="23"/>
      <c r="O60" s="23"/>
      <c r="P60" s="23"/>
      <c r="Q60" s="23"/>
      <c r="R60" s="23"/>
      <c r="S60" s="23"/>
      <c r="T60" s="23"/>
      <c r="U60" s="683"/>
      <c r="V60" s="682"/>
      <c r="W60" s="684"/>
      <c r="X60" s="685"/>
      <c r="Y60" s="250" t="s">
        <v>16</v>
      </c>
      <c r="Z60" s="251"/>
      <c r="AA60" s="251"/>
      <c r="AB60" s="251"/>
      <c r="AC60" s="252"/>
      <c r="AD60" s="253">
        <v>8000</v>
      </c>
      <c r="AE60" s="254"/>
      <c r="AF60" s="253">
        <v>0</v>
      </c>
      <c r="AG60" s="254"/>
      <c r="AH60" s="42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41"/>
      <c r="BB60" s="23"/>
      <c r="BC60" s="23"/>
      <c r="BD60" s="23"/>
      <c r="BE60" s="23"/>
      <c r="BF60" s="23"/>
      <c r="BG60" s="43"/>
      <c r="BK60" s="272" t="s">
        <v>174</v>
      </c>
      <c r="BL60" s="51" t="s">
        <v>242</v>
      </c>
    </row>
    <row r="61" spans="1:64">
      <c r="A61" s="681">
        <v>54</v>
      </c>
      <c r="B61" s="682"/>
      <c r="C61" s="59" t="str">
        <f t="shared" si="1"/>
        <v>发送局判断ID</v>
      </c>
      <c r="D61" s="23"/>
      <c r="E61" s="23"/>
      <c r="F61" s="23"/>
      <c r="G61" s="23"/>
      <c r="H61" s="23"/>
      <c r="I61" s="23"/>
      <c r="J61" s="23"/>
      <c r="K61" s="41"/>
      <c r="L61" s="36" t="s">
        <v>88</v>
      </c>
      <c r="M61" s="23"/>
      <c r="N61" s="23"/>
      <c r="O61" s="23"/>
      <c r="P61" s="23"/>
      <c r="Q61" s="23"/>
      <c r="R61" s="23"/>
      <c r="S61" s="23"/>
      <c r="T61" s="23"/>
      <c r="U61" s="683"/>
      <c r="V61" s="682"/>
      <c r="W61" s="684"/>
      <c r="X61" s="685"/>
      <c r="Y61" s="250" t="s">
        <v>16</v>
      </c>
      <c r="Z61" s="251"/>
      <c r="AA61" s="251"/>
      <c r="AB61" s="251"/>
      <c r="AC61" s="252"/>
      <c r="AD61" s="253">
        <v>100</v>
      </c>
      <c r="AE61" s="254"/>
      <c r="AF61" s="253">
        <v>0</v>
      </c>
      <c r="AG61" s="254"/>
      <c r="AH61" s="42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41"/>
      <c r="BB61" s="23"/>
      <c r="BC61" s="23"/>
      <c r="BD61" s="23"/>
      <c r="BE61" s="23"/>
      <c r="BF61" s="23"/>
      <c r="BG61" s="43"/>
      <c r="BK61" s="272" t="s">
        <v>175</v>
      </c>
      <c r="BL61" s="51" t="s">
        <v>243</v>
      </c>
    </row>
    <row r="62" spans="1:64">
      <c r="A62" s="681">
        <v>55</v>
      </c>
      <c r="B62" s="682"/>
      <c r="C62" s="59" t="str">
        <f t="shared" si="1"/>
        <v>物资来源</v>
      </c>
      <c r="D62" s="23"/>
      <c r="E62" s="23"/>
      <c r="F62" s="23"/>
      <c r="G62" s="23"/>
      <c r="H62" s="23"/>
      <c r="I62" s="23"/>
      <c r="J62" s="23"/>
      <c r="K62" s="41"/>
      <c r="L62" s="36" t="s">
        <v>89</v>
      </c>
      <c r="M62" s="23"/>
      <c r="N62" s="23"/>
      <c r="O62" s="23"/>
      <c r="P62" s="23"/>
      <c r="Q62" s="23"/>
      <c r="R62" s="23"/>
      <c r="S62" s="23"/>
      <c r="T62" s="23"/>
      <c r="U62" s="683"/>
      <c r="V62" s="682"/>
      <c r="W62" s="684"/>
      <c r="X62" s="685"/>
      <c r="Y62" s="250" t="s">
        <v>16</v>
      </c>
      <c r="Z62" s="251"/>
      <c r="AA62" s="251"/>
      <c r="AB62" s="251"/>
      <c r="AC62" s="252"/>
      <c r="AD62" s="253">
        <v>8</v>
      </c>
      <c r="AE62" s="254"/>
      <c r="AF62" s="253">
        <v>0</v>
      </c>
      <c r="AG62" s="254"/>
      <c r="AH62" s="42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41"/>
      <c r="BB62" s="23"/>
      <c r="BC62" s="23"/>
      <c r="BD62" s="23"/>
      <c r="BE62" s="23"/>
      <c r="BF62" s="23"/>
      <c r="BG62" s="43"/>
      <c r="BK62" s="272" t="s">
        <v>176</v>
      </c>
      <c r="BL62" s="51" t="s">
        <v>244</v>
      </c>
    </row>
    <row r="63" spans="1:64">
      <c r="A63" s="681">
        <v>56</v>
      </c>
      <c r="B63" s="682"/>
      <c r="C63" s="59" t="str">
        <f t="shared" si="1"/>
        <v>上期末变更后金额</v>
      </c>
      <c r="D63" s="23"/>
      <c r="E63" s="23"/>
      <c r="F63" s="23"/>
      <c r="G63" s="23"/>
      <c r="H63" s="23"/>
      <c r="I63" s="23"/>
      <c r="J63" s="23"/>
      <c r="K63" s="41"/>
      <c r="L63" s="475" t="s">
        <v>1678</v>
      </c>
      <c r="M63" s="474"/>
      <c r="N63" s="474"/>
      <c r="O63" s="474"/>
      <c r="P63" s="474"/>
      <c r="Q63" s="474"/>
      <c r="R63" s="474"/>
      <c r="S63" s="474"/>
      <c r="T63" s="474"/>
      <c r="U63" s="683"/>
      <c r="V63" s="682"/>
      <c r="W63" s="684"/>
      <c r="X63" s="685"/>
      <c r="Y63" s="350" t="s">
        <v>1266</v>
      </c>
      <c r="Z63" s="251"/>
      <c r="AA63" s="251"/>
      <c r="AB63" s="251"/>
      <c r="AC63" s="252"/>
      <c r="AD63" s="253">
        <v>19</v>
      </c>
      <c r="AE63" s="254"/>
      <c r="AF63" s="253">
        <v>6</v>
      </c>
      <c r="AG63" s="254"/>
      <c r="AH63" s="330" t="s">
        <v>1263</v>
      </c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41"/>
      <c r="BB63" s="23"/>
      <c r="BC63" s="23"/>
      <c r="BD63" s="23"/>
      <c r="BE63" s="23"/>
      <c r="BF63" s="23"/>
      <c r="BG63" s="43"/>
      <c r="BK63" s="272" t="s">
        <v>171</v>
      </c>
      <c r="BL63" s="51" t="s">
        <v>245</v>
      </c>
    </row>
    <row r="64" spans="1:64">
      <c r="A64" s="681">
        <v>57</v>
      </c>
      <c r="B64" s="682"/>
      <c r="C64" s="457" t="str">
        <f t="shared" si="1"/>
        <v>现场负责人</v>
      </c>
      <c r="D64" s="460"/>
      <c r="E64" s="460"/>
      <c r="F64" s="460"/>
      <c r="G64" s="460"/>
      <c r="H64" s="460"/>
      <c r="I64" s="460"/>
      <c r="J64" s="460"/>
      <c r="K64" s="461"/>
      <c r="L64" s="36" t="s">
        <v>91</v>
      </c>
      <c r="M64" s="23"/>
      <c r="N64" s="23"/>
      <c r="O64" s="23"/>
      <c r="P64" s="23"/>
      <c r="Q64" s="23"/>
      <c r="R64" s="23"/>
      <c r="S64" s="23"/>
      <c r="T64" s="23"/>
      <c r="U64" s="683"/>
      <c r="V64" s="682"/>
      <c r="W64" s="684"/>
      <c r="X64" s="685"/>
      <c r="Y64" s="348" t="s">
        <v>16</v>
      </c>
      <c r="Z64" s="251"/>
      <c r="AA64" s="251"/>
      <c r="AB64" s="251"/>
      <c r="AC64" s="252"/>
      <c r="AD64" s="253">
        <v>32</v>
      </c>
      <c r="AE64" s="254"/>
      <c r="AF64" s="253">
        <v>0</v>
      </c>
      <c r="AG64" s="254"/>
      <c r="AH64" s="330" t="s">
        <v>1274</v>
      </c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41"/>
      <c r="BB64" s="23"/>
      <c r="BC64" s="23"/>
      <c r="BD64" s="23"/>
      <c r="BE64" s="23"/>
      <c r="BF64" s="23"/>
      <c r="BG64" s="43"/>
      <c r="BK64" s="272" t="s">
        <v>64</v>
      </c>
      <c r="BL64" s="51" t="s">
        <v>246</v>
      </c>
    </row>
    <row r="65" spans="1:64">
      <c r="A65" s="681">
        <v>58</v>
      </c>
      <c r="B65" s="682"/>
      <c r="C65" s="457" t="str">
        <f t="shared" si="1"/>
        <v>委托代理人</v>
      </c>
      <c r="D65" s="460"/>
      <c r="E65" s="460"/>
      <c r="F65" s="460"/>
      <c r="G65" s="460"/>
      <c r="H65" s="460"/>
      <c r="I65" s="460"/>
      <c r="J65" s="460"/>
      <c r="K65" s="461"/>
      <c r="L65" s="36" t="s">
        <v>92</v>
      </c>
      <c r="M65" s="23"/>
      <c r="N65" s="23"/>
      <c r="O65" s="23"/>
      <c r="P65" s="23"/>
      <c r="Q65" s="23"/>
      <c r="R65" s="23"/>
      <c r="S65" s="23"/>
      <c r="T65" s="23"/>
      <c r="U65" s="683"/>
      <c r="V65" s="682"/>
      <c r="W65" s="684"/>
      <c r="X65" s="685"/>
      <c r="Y65" s="350" t="s">
        <v>1276</v>
      </c>
      <c r="Z65" s="251"/>
      <c r="AA65" s="251"/>
      <c r="AB65" s="251"/>
      <c r="AC65" s="252"/>
      <c r="AD65" s="253">
        <v>32</v>
      </c>
      <c r="AE65" s="254"/>
      <c r="AF65" s="253">
        <v>0</v>
      </c>
      <c r="AG65" s="254"/>
      <c r="AH65" s="330" t="s">
        <v>1274</v>
      </c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41"/>
      <c r="BB65" s="23"/>
      <c r="BC65" s="23"/>
      <c r="BD65" s="23"/>
      <c r="BE65" s="23"/>
      <c r="BF65" s="23"/>
      <c r="BG65" s="43"/>
      <c r="BK65" s="272" t="s">
        <v>31</v>
      </c>
      <c r="BL65" s="51" t="s">
        <v>31</v>
      </c>
    </row>
    <row r="66" spans="1:64" ht="16.2" thickBot="1">
      <c r="A66" s="681">
        <v>59</v>
      </c>
      <c r="B66" s="682"/>
      <c r="C66" s="457" t="str">
        <f t="shared" si="1"/>
        <v>法定代表人</v>
      </c>
      <c r="D66" s="460"/>
      <c r="E66" s="460"/>
      <c r="F66" s="460"/>
      <c r="G66" s="460"/>
      <c r="H66" s="460"/>
      <c r="I66" s="460"/>
      <c r="J66" s="460"/>
      <c r="K66" s="461"/>
      <c r="L66" s="36" t="s">
        <v>93</v>
      </c>
      <c r="M66" s="23"/>
      <c r="N66" s="23"/>
      <c r="O66" s="23"/>
      <c r="P66" s="23"/>
      <c r="Q66" s="23"/>
      <c r="R66" s="23"/>
      <c r="S66" s="23"/>
      <c r="T66" s="23"/>
      <c r="U66" s="683"/>
      <c r="V66" s="682"/>
      <c r="W66" s="684"/>
      <c r="X66" s="685"/>
      <c r="Y66" s="350" t="s">
        <v>1276</v>
      </c>
      <c r="Z66" s="251"/>
      <c r="AA66" s="251"/>
      <c r="AB66" s="251"/>
      <c r="AC66" s="252"/>
      <c r="AD66" s="253">
        <v>32</v>
      </c>
      <c r="AE66" s="254"/>
      <c r="AF66" s="253">
        <v>0</v>
      </c>
      <c r="AG66" s="254"/>
      <c r="AH66" s="330" t="s">
        <v>1273</v>
      </c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41"/>
      <c r="BB66" s="45"/>
      <c r="BC66" s="45"/>
      <c r="BD66" s="45"/>
      <c r="BE66" s="45"/>
      <c r="BF66" s="45"/>
      <c r="BG66" s="47"/>
      <c r="BK66" s="272" t="s">
        <v>34</v>
      </c>
      <c r="BL66" s="51" t="s">
        <v>34</v>
      </c>
    </row>
    <row r="67" spans="1:64">
      <c r="A67" s="681">
        <v>60</v>
      </c>
      <c r="B67" s="682"/>
      <c r="C67" s="59" t="str">
        <f t="shared" si="1"/>
        <v>是否局指审批</v>
      </c>
      <c r="D67" s="23"/>
      <c r="E67" s="23"/>
      <c r="F67" s="23"/>
      <c r="G67" s="23"/>
      <c r="H67" s="23"/>
      <c r="I67" s="23"/>
      <c r="J67" s="23"/>
      <c r="K67" s="41"/>
      <c r="L67" s="36" t="s">
        <v>94</v>
      </c>
      <c r="M67" s="23"/>
      <c r="N67" s="23"/>
      <c r="O67" s="23"/>
      <c r="P67" s="23"/>
      <c r="Q67" s="23"/>
      <c r="R67" s="23"/>
      <c r="S67" s="23"/>
      <c r="T67" s="23"/>
      <c r="U67" s="683"/>
      <c r="V67" s="682"/>
      <c r="W67" s="684"/>
      <c r="X67" s="685"/>
      <c r="Y67" s="350" t="s">
        <v>1275</v>
      </c>
      <c r="Z67" s="251"/>
      <c r="AA67" s="251"/>
      <c r="AB67" s="251"/>
      <c r="AC67" s="252"/>
      <c r="AD67" s="253">
        <v>100</v>
      </c>
      <c r="AE67" s="254"/>
      <c r="AF67" s="253">
        <v>0</v>
      </c>
      <c r="AG67" s="254"/>
      <c r="AH67" s="42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41"/>
      <c r="BK67" s="272" t="s">
        <v>180</v>
      </c>
      <c r="BL67" s="51" t="s">
        <v>180</v>
      </c>
    </row>
    <row r="68" spans="1:64">
      <c r="A68" s="681">
        <v>61</v>
      </c>
      <c r="B68" s="682"/>
      <c r="C68" s="59" t="str">
        <f t="shared" si="1"/>
        <v>是否发送到局机关审批</v>
      </c>
      <c r="D68" s="23"/>
      <c r="E68" s="23"/>
      <c r="F68" s="23"/>
      <c r="G68" s="23"/>
      <c r="H68" s="23"/>
      <c r="I68" s="23"/>
      <c r="J68" s="23"/>
      <c r="K68" s="41"/>
      <c r="L68" s="36" t="s">
        <v>95</v>
      </c>
      <c r="M68" s="23"/>
      <c r="N68" s="23"/>
      <c r="O68" s="23"/>
      <c r="P68" s="23"/>
      <c r="Q68" s="23"/>
      <c r="R68" s="23"/>
      <c r="S68" s="23"/>
      <c r="T68" s="23"/>
      <c r="U68" s="683"/>
      <c r="V68" s="682"/>
      <c r="W68" s="684"/>
      <c r="X68" s="685"/>
      <c r="Y68" s="250" t="s">
        <v>16</v>
      </c>
      <c r="Z68" s="251"/>
      <c r="AA68" s="251"/>
      <c r="AB68" s="251"/>
      <c r="AC68" s="252"/>
      <c r="AD68" s="253">
        <v>100</v>
      </c>
      <c r="AE68" s="254"/>
      <c r="AF68" s="253">
        <v>0</v>
      </c>
      <c r="AG68" s="254"/>
      <c r="AH68" s="42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41"/>
      <c r="BK68" s="272" t="s">
        <v>181</v>
      </c>
      <c r="BL68" s="51" t="s">
        <v>181</v>
      </c>
    </row>
    <row r="69" spans="1:64">
      <c r="A69" s="681">
        <v>62</v>
      </c>
      <c r="B69" s="682"/>
      <c r="C69" s="59" t="str">
        <f t="shared" si="1"/>
        <v>发送局指判断ID</v>
      </c>
      <c r="D69" s="23"/>
      <c r="E69" s="23"/>
      <c r="F69" s="23"/>
      <c r="G69" s="23"/>
      <c r="H69" s="23"/>
      <c r="I69" s="23"/>
      <c r="J69" s="23"/>
      <c r="K69" s="41"/>
      <c r="L69" s="267" t="s">
        <v>96</v>
      </c>
      <c r="M69" s="23"/>
      <c r="N69" s="23"/>
      <c r="O69" s="23"/>
      <c r="P69" s="23"/>
      <c r="Q69" s="23"/>
      <c r="R69" s="23"/>
      <c r="S69" s="23"/>
      <c r="T69" s="23"/>
      <c r="U69" s="683"/>
      <c r="V69" s="682"/>
      <c r="W69" s="683"/>
      <c r="X69" s="682"/>
      <c r="Y69" s="253" t="s">
        <v>16</v>
      </c>
      <c r="Z69" s="255"/>
      <c r="AA69" s="255"/>
      <c r="AB69" s="255"/>
      <c r="AC69" s="254"/>
      <c r="AD69" s="253">
        <v>100</v>
      </c>
      <c r="AE69" s="254"/>
      <c r="AF69" s="253">
        <v>0</v>
      </c>
      <c r="AG69" s="254"/>
      <c r="AH69" s="42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41"/>
      <c r="BK69" s="272" t="s">
        <v>98</v>
      </c>
      <c r="BL69" s="51" t="s">
        <v>247</v>
      </c>
    </row>
    <row r="70" spans="1:64">
      <c r="A70" s="681">
        <v>63</v>
      </c>
      <c r="B70" s="682"/>
      <c r="C70" s="59" t="str">
        <f t="shared" si="1"/>
        <v>局指挥部历史流程ID</v>
      </c>
      <c r="D70" s="4"/>
      <c r="E70" s="4"/>
      <c r="F70" s="4"/>
      <c r="G70" s="4"/>
      <c r="H70" s="4"/>
      <c r="I70" s="4"/>
      <c r="J70" s="4"/>
      <c r="K70" s="10"/>
      <c r="L70" s="1" t="s">
        <v>97</v>
      </c>
      <c r="M70" s="4"/>
      <c r="N70" s="4"/>
      <c r="O70" s="4"/>
      <c r="P70" s="4"/>
      <c r="Q70" s="4"/>
      <c r="R70" s="4"/>
      <c r="S70" s="4"/>
      <c r="T70" s="4"/>
      <c r="U70" s="692"/>
      <c r="V70" s="693"/>
      <c r="W70" s="694"/>
      <c r="X70" s="695"/>
      <c r="Y70" s="256" t="s">
        <v>16</v>
      </c>
      <c r="Z70" s="257"/>
      <c r="AA70" s="257"/>
      <c r="AB70" s="257"/>
      <c r="AC70" s="258"/>
      <c r="AD70" s="253">
        <v>100</v>
      </c>
      <c r="AE70" s="254"/>
      <c r="AF70" s="253">
        <v>0</v>
      </c>
      <c r="AG70" s="254"/>
      <c r="AH70" s="9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41"/>
      <c r="BB70" s="48"/>
      <c r="BC70" s="48"/>
      <c r="BD70" s="48"/>
      <c r="BE70" s="48"/>
      <c r="BF70" s="48"/>
      <c r="BG70" s="49"/>
      <c r="BK70" s="272" t="s">
        <v>108</v>
      </c>
      <c r="BL70" s="51" t="s">
        <v>248</v>
      </c>
    </row>
    <row r="71" spans="1:64">
      <c r="A71" s="681">
        <v>64</v>
      </c>
      <c r="B71" s="682"/>
      <c r="C71" s="457" t="str">
        <f t="shared" si="1"/>
        <v>不含税合同金额(万元)</v>
      </c>
      <c r="D71" s="458"/>
      <c r="E71" s="458"/>
      <c r="F71" s="458"/>
      <c r="G71" s="458"/>
      <c r="H71" s="458"/>
      <c r="I71" s="458"/>
      <c r="J71" s="458"/>
      <c r="K71" s="459"/>
      <c r="L71" s="475" t="s">
        <v>1662</v>
      </c>
      <c r="M71" s="473"/>
      <c r="N71" s="473"/>
      <c r="O71" s="473"/>
      <c r="P71" s="473"/>
      <c r="Q71" s="473"/>
      <c r="R71" s="473"/>
      <c r="S71" s="473"/>
      <c r="T71" s="473"/>
      <c r="U71" s="692"/>
      <c r="V71" s="693"/>
      <c r="W71" s="694"/>
      <c r="X71" s="695"/>
      <c r="Y71" s="256" t="s">
        <v>1266</v>
      </c>
      <c r="Z71" s="257"/>
      <c r="AA71" s="257"/>
      <c r="AB71" s="257"/>
      <c r="AC71" s="258"/>
      <c r="AD71" s="253">
        <v>19</v>
      </c>
      <c r="AE71" s="254"/>
      <c r="AF71" s="253">
        <v>6</v>
      </c>
      <c r="AG71" s="254"/>
      <c r="AH71" s="9" t="s">
        <v>1264</v>
      </c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41"/>
      <c r="BB71" s="23"/>
      <c r="BC71" s="23"/>
      <c r="BD71" s="23"/>
      <c r="BE71" s="23"/>
      <c r="BF71" s="23"/>
      <c r="BG71" s="43"/>
      <c r="BK71" s="272" t="s">
        <v>99</v>
      </c>
      <c r="BL71" s="51" t="s">
        <v>249</v>
      </c>
    </row>
    <row r="72" spans="1:64">
      <c r="A72" s="681">
        <v>65</v>
      </c>
      <c r="B72" s="682"/>
      <c r="C72" s="59" t="str">
        <f t="shared" si="1"/>
        <v>税率(%)</v>
      </c>
      <c r="D72" s="4"/>
      <c r="E72" s="4"/>
      <c r="F72" s="4"/>
      <c r="G72" s="4"/>
      <c r="H72" s="4"/>
      <c r="I72" s="4"/>
      <c r="J72" s="4"/>
      <c r="K72" s="10"/>
      <c r="L72" s="1" t="s">
        <v>99</v>
      </c>
      <c r="M72" s="4"/>
      <c r="N72" s="4"/>
      <c r="O72" s="4"/>
      <c r="P72" s="4"/>
      <c r="Q72" s="4"/>
      <c r="R72" s="4"/>
      <c r="S72" s="4"/>
      <c r="T72" s="4"/>
      <c r="U72" s="692"/>
      <c r="V72" s="693"/>
      <c r="W72" s="694"/>
      <c r="X72" s="695"/>
      <c r="Y72" s="256" t="s">
        <v>16</v>
      </c>
      <c r="Z72" s="257"/>
      <c r="AA72" s="257"/>
      <c r="AB72" s="257"/>
      <c r="AC72" s="258"/>
      <c r="AD72" s="253">
        <v>32</v>
      </c>
      <c r="AE72" s="254"/>
      <c r="AF72" s="253">
        <v>0</v>
      </c>
      <c r="AG72" s="254"/>
      <c r="AH72" s="9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41"/>
      <c r="BB72" s="23"/>
      <c r="BC72" s="23"/>
      <c r="BD72" s="23"/>
      <c r="BE72" s="23"/>
      <c r="BF72" s="23"/>
      <c r="BG72" s="43"/>
      <c r="BK72" s="272" t="s">
        <v>104</v>
      </c>
      <c r="BL72" s="51" t="s">
        <v>250</v>
      </c>
    </row>
    <row r="73" spans="1:64">
      <c r="A73" s="681">
        <v>66</v>
      </c>
      <c r="B73" s="682"/>
      <c r="C73" s="59" t="str">
        <f t="shared" ref="C73:C104" si="2">VLOOKUP(L73,$BK$7:$BL$255,2,FALSE)</f>
        <v>变更后不含税金额</v>
      </c>
      <c r="D73" s="4"/>
      <c r="E73" s="4"/>
      <c r="F73" s="4"/>
      <c r="G73" s="4"/>
      <c r="H73" s="4"/>
      <c r="I73" s="4"/>
      <c r="J73" s="4"/>
      <c r="K73" s="10"/>
      <c r="L73" s="475" t="s">
        <v>1667</v>
      </c>
      <c r="M73" s="473"/>
      <c r="N73" s="473"/>
      <c r="O73" s="473"/>
      <c r="P73" s="473"/>
      <c r="Q73" s="473"/>
      <c r="R73" s="473"/>
      <c r="S73" s="473"/>
      <c r="T73" s="473"/>
      <c r="U73" s="692"/>
      <c r="V73" s="693"/>
      <c r="W73" s="694"/>
      <c r="X73" s="695"/>
      <c r="Y73" s="256" t="s">
        <v>1267</v>
      </c>
      <c r="Z73" s="257"/>
      <c r="AA73" s="257"/>
      <c r="AB73" s="257"/>
      <c r="AC73" s="258"/>
      <c r="AD73" s="253">
        <v>19</v>
      </c>
      <c r="AE73" s="254"/>
      <c r="AF73" s="253">
        <v>6</v>
      </c>
      <c r="AG73" s="254"/>
      <c r="AH73" s="350" t="s">
        <v>198</v>
      </c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41"/>
      <c r="BB73" s="23"/>
      <c r="BC73" s="23"/>
      <c r="BD73" s="23"/>
      <c r="BE73" s="23"/>
      <c r="BF73" s="23"/>
      <c r="BG73" s="43"/>
      <c r="BK73" s="272" t="s">
        <v>88</v>
      </c>
      <c r="BL73" s="51" t="s">
        <v>251</v>
      </c>
    </row>
    <row r="74" spans="1:64">
      <c r="A74" s="681">
        <v>67</v>
      </c>
      <c r="B74" s="682"/>
      <c r="C74" s="59" t="str">
        <f t="shared" si="2"/>
        <v>变更后税额</v>
      </c>
      <c r="D74" s="4"/>
      <c r="E74" s="4"/>
      <c r="F74" s="4"/>
      <c r="G74" s="4"/>
      <c r="H74" s="4"/>
      <c r="I74" s="4"/>
      <c r="J74" s="4"/>
      <c r="K74" s="10"/>
      <c r="L74" s="475" t="s">
        <v>1679</v>
      </c>
      <c r="M74" s="473"/>
      <c r="N74" s="473"/>
      <c r="O74" s="473"/>
      <c r="P74" s="473"/>
      <c r="Q74" s="473"/>
      <c r="R74" s="473"/>
      <c r="S74" s="473"/>
      <c r="T74" s="473"/>
      <c r="U74" s="692"/>
      <c r="V74" s="693"/>
      <c r="W74" s="694"/>
      <c r="X74" s="695"/>
      <c r="Y74" s="256" t="s">
        <v>1266</v>
      </c>
      <c r="Z74" s="257"/>
      <c r="AA74" s="257"/>
      <c r="AB74" s="257"/>
      <c r="AC74" s="258"/>
      <c r="AD74" s="253">
        <v>19</v>
      </c>
      <c r="AE74" s="254"/>
      <c r="AF74" s="253">
        <v>6</v>
      </c>
      <c r="AG74" s="254"/>
      <c r="AH74" s="350" t="s">
        <v>198</v>
      </c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41"/>
      <c r="BB74" s="23"/>
      <c r="BC74" s="23"/>
      <c r="BD74" s="23"/>
      <c r="BE74" s="23"/>
      <c r="BF74" s="23"/>
      <c r="BG74" s="43"/>
      <c r="BK74" s="272" t="s">
        <v>45</v>
      </c>
      <c r="BL74" s="51" t="s">
        <v>45</v>
      </c>
    </row>
    <row r="75" spans="1:64">
      <c r="A75" s="681">
        <v>68</v>
      </c>
      <c r="B75" s="682"/>
      <c r="C75" s="59" t="str">
        <f t="shared" si="2"/>
        <v>本期不含税增减金额(万元)</v>
      </c>
      <c r="D75" s="4"/>
      <c r="E75" s="4"/>
      <c r="F75" s="4"/>
      <c r="G75" s="4"/>
      <c r="H75" s="4"/>
      <c r="I75" s="4"/>
      <c r="J75" s="4"/>
      <c r="K75" s="10"/>
      <c r="L75" s="475" t="s">
        <v>1681</v>
      </c>
      <c r="M75" s="473"/>
      <c r="N75" s="473"/>
      <c r="O75" s="473"/>
      <c r="P75" s="473"/>
      <c r="Q75" s="473"/>
      <c r="R75" s="473"/>
      <c r="S75" s="473"/>
      <c r="T75" s="473"/>
      <c r="U75" s="692"/>
      <c r="V75" s="693"/>
      <c r="W75" s="694"/>
      <c r="X75" s="695"/>
      <c r="Y75" s="256" t="s">
        <v>1266</v>
      </c>
      <c r="Z75" s="257"/>
      <c r="AA75" s="257"/>
      <c r="AB75" s="257"/>
      <c r="AC75" s="258"/>
      <c r="AD75" s="253">
        <v>19</v>
      </c>
      <c r="AE75" s="254"/>
      <c r="AF75" s="253">
        <v>6</v>
      </c>
      <c r="AG75" s="254"/>
      <c r="AH75" s="350" t="s">
        <v>198</v>
      </c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41"/>
      <c r="BB75" s="23"/>
      <c r="BC75" s="23"/>
      <c r="BD75" s="23"/>
      <c r="BE75" s="23"/>
      <c r="BF75" s="23"/>
      <c r="BG75" s="43"/>
      <c r="BK75" s="272" t="s">
        <v>47</v>
      </c>
      <c r="BL75" s="51" t="s">
        <v>252</v>
      </c>
    </row>
    <row r="76" spans="1:64">
      <c r="A76" s="681">
        <v>69</v>
      </c>
      <c r="B76" s="682"/>
      <c r="C76" s="59" t="str">
        <f t="shared" si="2"/>
        <v>本期增减税额(万元)</v>
      </c>
      <c r="D76" s="23"/>
      <c r="E76" s="23"/>
      <c r="F76" s="23"/>
      <c r="G76" s="23"/>
      <c r="H76" s="23"/>
      <c r="I76" s="23"/>
      <c r="J76" s="23"/>
      <c r="K76" s="41"/>
      <c r="L76" s="475" t="s">
        <v>1683</v>
      </c>
      <c r="M76" s="474"/>
      <c r="N76" s="474"/>
      <c r="O76" s="474"/>
      <c r="P76" s="474"/>
      <c r="Q76" s="474"/>
      <c r="R76" s="474"/>
      <c r="S76" s="474"/>
      <c r="T76" s="474"/>
      <c r="U76" s="683"/>
      <c r="V76" s="682"/>
      <c r="W76" s="684"/>
      <c r="X76" s="685"/>
      <c r="Y76" s="350" t="s">
        <v>1258</v>
      </c>
      <c r="Z76" s="251"/>
      <c r="AA76" s="251"/>
      <c r="AB76" s="251"/>
      <c r="AC76" s="252"/>
      <c r="AD76" s="253">
        <v>19</v>
      </c>
      <c r="AE76" s="254"/>
      <c r="AF76" s="253">
        <v>6</v>
      </c>
      <c r="AG76" s="254"/>
      <c r="AH76" s="348" t="s">
        <v>198</v>
      </c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41"/>
      <c r="BB76" s="23"/>
      <c r="BC76" s="23"/>
      <c r="BD76" s="23"/>
      <c r="BE76" s="23"/>
      <c r="BF76" s="23"/>
      <c r="BG76" s="43"/>
      <c r="BK76" s="272" t="s">
        <v>194</v>
      </c>
      <c r="BL76" s="51" t="s">
        <v>253</v>
      </c>
    </row>
    <row r="77" spans="1:64">
      <c r="A77" s="681">
        <v>70</v>
      </c>
      <c r="B77" s="682"/>
      <c r="C77" s="457" t="str">
        <f t="shared" si="2"/>
        <v>是否抵扣</v>
      </c>
      <c r="D77" s="460"/>
      <c r="E77" s="460"/>
      <c r="F77" s="460"/>
      <c r="G77" s="460"/>
      <c r="H77" s="460"/>
      <c r="I77" s="460"/>
      <c r="J77" s="460"/>
      <c r="K77" s="461"/>
      <c r="L77" s="476" t="s">
        <v>104</v>
      </c>
      <c r="M77" s="474"/>
      <c r="N77" s="474"/>
      <c r="O77" s="474"/>
      <c r="P77" s="474"/>
      <c r="Q77" s="474"/>
      <c r="R77" s="474"/>
      <c r="S77" s="474"/>
      <c r="T77" s="474"/>
      <c r="U77" s="683"/>
      <c r="V77" s="682"/>
      <c r="W77" s="684"/>
      <c r="X77" s="685"/>
      <c r="Y77" s="250" t="s">
        <v>16</v>
      </c>
      <c r="Z77" s="251"/>
      <c r="AA77" s="251"/>
      <c r="AB77" s="251"/>
      <c r="AC77" s="252"/>
      <c r="AD77" s="253">
        <v>8</v>
      </c>
      <c r="AE77" s="254"/>
      <c r="AF77" s="253">
        <v>0</v>
      </c>
      <c r="AG77" s="254"/>
      <c r="AH77" s="42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41"/>
      <c r="BB77" s="23"/>
      <c r="BC77" s="23"/>
      <c r="BD77" s="23"/>
      <c r="BE77" s="23"/>
      <c r="BF77" s="23"/>
      <c r="BG77" s="43"/>
      <c r="BK77" s="272" t="s">
        <v>59</v>
      </c>
      <c r="BL77" s="51" t="s">
        <v>254</v>
      </c>
    </row>
    <row r="78" spans="1:64">
      <c r="A78" s="681">
        <v>71</v>
      </c>
      <c r="B78" s="682"/>
      <c r="C78" s="59" t="str">
        <f t="shared" si="2"/>
        <v>原合同ID--附属合同应用</v>
      </c>
      <c r="D78" s="23"/>
      <c r="E78" s="23"/>
      <c r="F78" s="23"/>
      <c r="G78" s="23"/>
      <c r="H78" s="23"/>
      <c r="I78" s="23"/>
      <c r="J78" s="23"/>
      <c r="K78" s="41"/>
      <c r="L78" s="36" t="s">
        <v>105</v>
      </c>
      <c r="M78" s="23"/>
      <c r="N78" s="23"/>
      <c r="O78" s="23"/>
      <c r="P78" s="23"/>
      <c r="Q78" s="23"/>
      <c r="R78" s="23"/>
      <c r="S78" s="23"/>
      <c r="T78" s="23"/>
      <c r="U78" s="683"/>
      <c r="V78" s="682"/>
      <c r="W78" s="684"/>
      <c r="X78" s="685"/>
      <c r="Y78" s="250" t="s">
        <v>16</v>
      </c>
      <c r="Z78" s="251"/>
      <c r="AA78" s="251"/>
      <c r="AB78" s="251"/>
      <c r="AC78" s="252"/>
      <c r="AD78" s="253">
        <v>100</v>
      </c>
      <c r="AE78" s="254"/>
      <c r="AF78" s="253">
        <v>0</v>
      </c>
      <c r="AG78" s="254"/>
      <c r="AH78" s="42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41"/>
      <c r="BB78" s="23"/>
      <c r="BC78" s="23"/>
      <c r="BD78" s="23"/>
      <c r="BE78" s="23"/>
      <c r="BF78" s="23"/>
      <c r="BG78" s="43"/>
      <c r="BK78" s="272" t="s">
        <v>28</v>
      </c>
      <c r="BL78" s="51" t="s">
        <v>28</v>
      </c>
    </row>
    <row r="79" spans="1:64">
      <c r="A79" s="681">
        <v>72</v>
      </c>
      <c r="B79" s="682"/>
      <c r="C79" s="59" t="str">
        <f t="shared" si="2"/>
        <v>原合同编号--附属合同应用</v>
      </c>
      <c r="D79" s="23"/>
      <c r="E79" s="23"/>
      <c r="F79" s="23"/>
      <c r="G79" s="23"/>
      <c r="H79" s="23"/>
      <c r="I79" s="23"/>
      <c r="J79" s="23"/>
      <c r="K79" s="41"/>
      <c r="L79" s="36" t="s">
        <v>106</v>
      </c>
      <c r="M79" s="23"/>
      <c r="N79" s="23"/>
      <c r="O79" s="23"/>
      <c r="P79" s="23"/>
      <c r="Q79" s="23"/>
      <c r="R79" s="23"/>
      <c r="S79" s="23"/>
      <c r="T79" s="23"/>
      <c r="U79" s="683"/>
      <c r="V79" s="682"/>
      <c r="W79" s="684"/>
      <c r="X79" s="685"/>
      <c r="Y79" s="250" t="s">
        <v>16</v>
      </c>
      <c r="Z79" s="251"/>
      <c r="AA79" s="251"/>
      <c r="AB79" s="251"/>
      <c r="AC79" s="252"/>
      <c r="AD79" s="253">
        <v>128</v>
      </c>
      <c r="AE79" s="254"/>
      <c r="AF79" s="253">
        <v>0</v>
      </c>
      <c r="AG79" s="254"/>
      <c r="AH79" s="42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41"/>
      <c r="BB79" s="23"/>
      <c r="BC79" s="23"/>
      <c r="BD79" s="23"/>
      <c r="BE79" s="23"/>
      <c r="BF79" s="23"/>
      <c r="BG79" s="43"/>
      <c r="BK79" s="272" t="s">
        <v>27</v>
      </c>
      <c r="BL79" s="51" t="s">
        <v>255</v>
      </c>
    </row>
    <row r="80" spans="1:64">
      <c r="A80" s="681">
        <v>73</v>
      </c>
      <c r="B80" s="682"/>
      <c r="C80" s="59" t="str">
        <f t="shared" si="2"/>
        <v>原合同名称--附属合同应用</v>
      </c>
      <c r="D80" s="23"/>
      <c r="E80" s="23"/>
      <c r="F80" s="23"/>
      <c r="G80" s="23"/>
      <c r="H80" s="23"/>
      <c r="I80" s="23"/>
      <c r="J80" s="23"/>
      <c r="K80" s="41"/>
      <c r="L80" s="36" t="s">
        <v>107</v>
      </c>
      <c r="M80" s="23"/>
      <c r="N80" s="23"/>
      <c r="O80" s="23"/>
      <c r="P80" s="23"/>
      <c r="Q80" s="23"/>
      <c r="R80" s="23"/>
      <c r="S80" s="23"/>
      <c r="T80" s="23"/>
      <c r="U80" s="683"/>
      <c r="V80" s="682"/>
      <c r="W80" s="684"/>
      <c r="X80" s="685"/>
      <c r="Y80" s="250" t="s">
        <v>16</v>
      </c>
      <c r="Z80" s="251"/>
      <c r="AA80" s="251"/>
      <c r="AB80" s="251"/>
      <c r="AC80" s="252"/>
      <c r="AD80" s="253">
        <v>256</v>
      </c>
      <c r="AE80" s="254"/>
      <c r="AF80" s="253">
        <v>0</v>
      </c>
      <c r="AG80" s="254"/>
      <c r="AH80" s="42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41"/>
      <c r="BB80" s="23"/>
      <c r="BC80" s="23"/>
      <c r="BD80" s="23"/>
      <c r="BE80" s="23"/>
      <c r="BF80" s="23"/>
      <c r="BG80" s="43"/>
      <c r="BK80" s="272" t="s">
        <v>60</v>
      </c>
      <c r="BL80" s="51" t="s">
        <v>256</v>
      </c>
    </row>
    <row r="81" spans="1:64">
      <c r="A81" s="681">
        <v>74</v>
      </c>
      <c r="B81" s="682"/>
      <c r="C81" s="457" t="str">
        <f t="shared" si="2"/>
        <v>合同税额(万元)</v>
      </c>
      <c r="D81" s="460"/>
      <c r="E81" s="460"/>
      <c r="F81" s="460"/>
      <c r="G81" s="460"/>
      <c r="H81" s="460"/>
      <c r="I81" s="460"/>
      <c r="J81" s="460"/>
      <c r="K81" s="461"/>
      <c r="L81" s="475" t="s">
        <v>1666</v>
      </c>
      <c r="M81" s="474"/>
      <c r="N81" s="474"/>
      <c r="O81" s="474"/>
      <c r="P81" s="474"/>
      <c r="Q81" s="474"/>
      <c r="R81" s="474"/>
      <c r="S81" s="474"/>
      <c r="T81" s="474"/>
      <c r="U81" s="683"/>
      <c r="V81" s="682"/>
      <c r="W81" s="684"/>
      <c r="X81" s="685"/>
      <c r="Y81" s="350" t="s">
        <v>1269</v>
      </c>
      <c r="Z81" s="251"/>
      <c r="AA81" s="251"/>
      <c r="AB81" s="251"/>
      <c r="AC81" s="252"/>
      <c r="AD81" s="253">
        <v>19</v>
      </c>
      <c r="AE81" s="254"/>
      <c r="AF81" s="253">
        <v>6</v>
      </c>
      <c r="AG81" s="254"/>
      <c r="AH81" s="330" t="s">
        <v>1265</v>
      </c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41"/>
      <c r="BB81" s="23"/>
      <c r="BC81" s="23"/>
      <c r="BD81" s="23"/>
      <c r="BE81" s="23"/>
      <c r="BF81" s="23"/>
      <c r="BG81" s="43"/>
      <c r="BK81" s="272" t="s">
        <v>185</v>
      </c>
      <c r="BL81" s="51" t="s">
        <v>257</v>
      </c>
    </row>
    <row r="82" spans="1:64">
      <c r="A82" s="681">
        <v>75</v>
      </c>
      <c r="B82" s="682"/>
      <c r="C82" s="59" t="str">
        <f t="shared" si="2"/>
        <v>授权委托人姓名</v>
      </c>
      <c r="D82" s="23"/>
      <c r="E82" s="23"/>
      <c r="F82" s="23"/>
      <c r="G82" s="23"/>
      <c r="H82" s="23"/>
      <c r="I82" s="23"/>
      <c r="J82" s="23"/>
      <c r="K82" s="41"/>
      <c r="L82" s="36" t="s">
        <v>109</v>
      </c>
      <c r="M82" s="23"/>
      <c r="N82" s="23"/>
      <c r="O82" s="23"/>
      <c r="P82" s="23"/>
      <c r="Q82" s="23"/>
      <c r="R82" s="23"/>
      <c r="S82" s="23"/>
      <c r="T82" s="23"/>
      <c r="U82" s="683"/>
      <c r="V82" s="682"/>
      <c r="W82" s="684"/>
      <c r="X82" s="685"/>
      <c r="Y82" s="250" t="s">
        <v>16</v>
      </c>
      <c r="Z82" s="251"/>
      <c r="AA82" s="251"/>
      <c r="AB82" s="251"/>
      <c r="AC82" s="252"/>
      <c r="AD82" s="253">
        <v>256</v>
      </c>
      <c r="AE82" s="254"/>
      <c r="AF82" s="253">
        <v>0</v>
      </c>
      <c r="AG82" s="254"/>
      <c r="AH82" s="42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41"/>
      <c r="BB82" s="23"/>
      <c r="BC82" s="23"/>
      <c r="BD82" s="23"/>
      <c r="BE82" s="23"/>
      <c r="BF82" s="23"/>
      <c r="BG82" s="43"/>
      <c r="BK82" s="272" t="s">
        <v>186</v>
      </c>
      <c r="BL82" s="51" t="s">
        <v>258</v>
      </c>
    </row>
    <row r="83" spans="1:64">
      <c r="A83" s="681">
        <v>76</v>
      </c>
      <c r="B83" s="682"/>
      <c r="C83" s="59" t="str">
        <f t="shared" si="2"/>
        <v>授权委托人身份证号</v>
      </c>
      <c r="D83" s="23"/>
      <c r="E83" s="23"/>
      <c r="F83" s="23"/>
      <c r="G83" s="23"/>
      <c r="H83" s="23"/>
      <c r="I83" s="23"/>
      <c r="J83" s="23"/>
      <c r="K83" s="41"/>
      <c r="L83" s="36" t="s">
        <v>110</v>
      </c>
      <c r="M83" s="23"/>
      <c r="N83" s="23"/>
      <c r="O83" s="23"/>
      <c r="P83" s="23"/>
      <c r="Q83" s="23"/>
      <c r="R83" s="23"/>
      <c r="S83" s="23"/>
      <c r="T83" s="23"/>
      <c r="U83" s="683"/>
      <c r="V83" s="682"/>
      <c r="W83" s="684"/>
      <c r="X83" s="685"/>
      <c r="Y83" s="250" t="s">
        <v>16</v>
      </c>
      <c r="Z83" s="251"/>
      <c r="AA83" s="251"/>
      <c r="AB83" s="251"/>
      <c r="AC83" s="252"/>
      <c r="AD83" s="253">
        <v>256</v>
      </c>
      <c r="AE83" s="254"/>
      <c r="AF83" s="253">
        <v>0</v>
      </c>
      <c r="AG83" s="254"/>
      <c r="AH83" s="42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41"/>
      <c r="BB83" s="23"/>
      <c r="BC83" s="23"/>
      <c r="BD83" s="23"/>
      <c r="BE83" s="23"/>
      <c r="BF83" s="23"/>
      <c r="BG83" s="43"/>
      <c r="BK83" s="272" t="s">
        <v>187</v>
      </c>
      <c r="BL83" s="51" t="s">
        <v>259</v>
      </c>
    </row>
    <row r="84" spans="1:64">
      <c r="A84" s="681">
        <v>77</v>
      </c>
      <c r="B84" s="682"/>
      <c r="C84" s="59" t="str">
        <f t="shared" si="2"/>
        <v>推荐人姓名</v>
      </c>
      <c r="D84" s="23"/>
      <c r="E84" s="23"/>
      <c r="F84" s="23"/>
      <c r="G84" s="23"/>
      <c r="H84" s="23"/>
      <c r="I84" s="23"/>
      <c r="J84" s="23"/>
      <c r="K84" s="41"/>
      <c r="L84" s="36" t="s">
        <v>111</v>
      </c>
      <c r="M84" s="23"/>
      <c r="N84" s="23"/>
      <c r="O84" s="23"/>
      <c r="P84" s="23"/>
      <c r="Q84" s="23"/>
      <c r="R84" s="23"/>
      <c r="S84" s="23"/>
      <c r="T84" s="23"/>
      <c r="U84" s="683"/>
      <c r="V84" s="682"/>
      <c r="W84" s="684"/>
      <c r="X84" s="685"/>
      <c r="Y84" s="250" t="s">
        <v>16</v>
      </c>
      <c r="Z84" s="251"/>
      <c r="AA84" s="251"/>
      <c r="AB84" s="251"/>
      <c r="AC84" s="252"/>
      <c r="AD84" s="253">
        <v>256</v>
      </c>
      <c r="AE84" s="254"/>
      <c r="AF84" s="253">
        <v>0</v>
      </c>
      <c r="AG84" s="254"/>
      <c r="AH84" s="42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41"/>
      <c r="BB84" s="23"/>
      <c r="BC84" s="23"/>
      <c r="BD84" s="23"/>
      <c r="BE84" s="23"/>
      <c r="BF84" s="23"/>
      <c r="BG84" s="43"/>
      <c r="BK84" s="272" t="s">
        <v>188</v>
      </c>
      <c r="BL84" s="51" t="s">
        <v>260</v>
      </c>
    </row>
    <row r="85" spans="1:64">
      <c r="A85" s="681">
        <v>78</v>
      </c>
      <c r="B85" s="682"/>
      <c r="C85" s="59" t="str">
        <f t="shared" si="2"/>
        <v>推荐人职务</v>
      </c>
      <c r="D85" s="23"/>
      <c r="E85" s="23"/>
      <c r="F85" s="23"/>
      <c r="G85" s="23"/>
      <c r="H85" s="23"/>
      <c r="I85" s="23"/>
      <c r="J85" s="23"/>
      <c r="K85" s="41"/>
      <c r="L85" s="36" t="s">
        <v>112</v>
      </c>
      <c r="M85" s="23"/>
      <c r="N85" s="23"/>
      <c r="O85" s="23"/>
      <c r="P85" s="23"/>
      <c r="Q85" s="23"/>
      <c r="R85" s="23"/>
      <c r="S85" s="23"/>
      <c r="T85" s="23"/>
      <c r="U85" s="683"/>
      <c r="V85" s="682"/>
      <c r="W85" s="684"/>
      <c r="X85" s="685"/>
      <c r="Y85" s="250" t="s">
        <v>16</v>
      </c>
      <c r="Z85" s="251"/>
      <c r="AA85" s="251"/>
      <c r="AB85" s="251"/>
      <c r="AC85" s="252"/>
      <c r="AD85" s="253">
        <v>256</v>
      </c>
      <c r="AE85" s="254"/>
      <c r="AF85" s="253">
        <v>0</v>
      </c>
      <c r="AG85" s="254"/>
      <c r="AH85" s="42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41"/>
      <c r="BB85" s="23"/>
      <c r="BC85" s="23"/>
      <c r="BD85" s="23"/>
      <c r="BE85" s="23"/>
      <c r="BF85" s="23"/>
      <c r="BG85" s="43"/>
      <c r="BK85" s="272" t="s">
        <v>189</v>
      </c>
      <c r="BL85" s="51" t="s">
        <v>261</v>
      </c>
    </row>
    <row r="86" spans="1:64">
      <c r="A86" s="681">
        <v>79</v>
      </c>
      <c r="B86" s="682"/>
      <c r="C86" s="59" t="str">
        <f t="shared" si="2"/>
        <v>推荐人电话</v>
      </c>
      <c r="D86" s="23"/>
      <c r="E86" s="23"/>
      <c r="F86" s="23"/>
      <c r="G86" s="23"/>
      <c r="H86" s="23"/>
      <c r="I86" s="23"/>
      <c r="J86" s="23"/>
      <c r="K86" s="41"/>
      <c r="L86" s="36" t="s">
        <v>113</v>
      </c>
      <c r="M86" s="23"/>
      <c r="N86" s="23"/>
      <c r="O86" s="23"/>
      <c r="P86" s="23"/>
      <c r="Q86" s="23"/>
      <c r="R86" s="23"/>
      <c r="S86" s="23"/>
      <c r="T86" s="23"/>
      <c r="U86" s="683"/>
      <c r="V86" s="682"/>
      <c r="W86" s="684"/>
      <c r="X86" s="685"/>
      <c r="Y86" s="250" t="s">
        <v>16</v>
      </c>
      <c r="Z86" s="251"/>
      <c r="AA86" s="251"/>
      <c r="AB86" s="251"/>
      <c r="AC86" s="252"/>
      <c r="AD86" s="253">
        <v>256</v>
      </c>
      <c r="AE86" s="254"/>
      <c r="AF86" s="253">
        <v>0</v>
      </c>
      <c r="AG86" s="254"/>
      <c r="AH86" s="42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41"/>
      <c r="BB86" s="23"/>
      <c r="BC86" s="23"/>
      <c r="BD86" s="23"/>
      <c r="BE86" s="23"/>
      <c r="BF86" s="23"/>
      <c r="BG86" s="43"/>
      <c r="BK86" s="272" t="s">
        <v>190</v>
      </c>
      <c r="BL86" s="51" t="s">
        <v>262</v>
      </c>
    </row>
    <row r="87" spans="1:64">
      <c r="A87" s="681">
        <v>80</v>
      </c>
      <c r="B87" s="682"/>
      <c r="C87" s="59" t="str">
        <f t="shared" si="2"/>
        <v>上期末变更后金额不含税</v>
      </c>
      <c r="D87" s="23"/>
      <c r="E87" s="23"/>
      <c r="F87" s="23"/>
      <c r="G87" s="23"/>
      <c r="H87" s="23"/>
      <c r="I87" s="23"/>
      <c r="J87" s="23"/>
      <c r="K87" s="41"/>
      <c r="L87" s="475" t="s">
        <v>1732</v>
      </c>
      <c r="M87" s="474"/>
      <c r="N87" s="474"/>
      <c r="O87" s="474"/>
      <c r="P87" s="474"/>
      <c r="Q87" s="474"/>
      <c r="R87" s="474"/>
      <c r="S87" s="474"/>
      <c r="T87" s="474"/>
      <c r="U87" s="683"/>
      <c r="V87" s="682"/>
      <c r="W87" s="684"/>
      <c r="X87" s="685"/>
      <c r="Y87" s="350" t="s">
        <v>1270</v>
      </c>
      <c r="Z87" s="251"/>
      <c r="AA87" s="251"/>
      <c r="AB87" s="251"/>
      <c r="AC87" s="252"/>
      <c r="AD87" s="253">
        <v>19</v>
      </c>
      <c r="AE87" s="254"/>
      <c r="AF87" s="253">
        <v>6</v>
      </c>
      <c r="AG87" s="254"/>
      <c r="AH87" s="330" t="s">
        <v>1264</v>
      </c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41"/>
      <c r="BB87" s="23"/>
      <c r="BC87" s="23"/>
      <c r="BD87" s="23"/>
      <c r="BE87" s="23"/>
      <c r="BF87" s="23"/>
      <c r="BG87" s="43"/>
      <c r="BK87" s="272" t="s">
        <v>191</v>
      </c>
      <c r="BL87" s="51" t="s">
        <v>263</v>
      </c>
    </row>
    <row r="88" spans="1:64">
      <c r="A88" s="681">
        <v>81</v>
      </c>
      <c r="B88" s="682"/>
      <c r="C88" s="59" t="str">
        <f t="shared" si="2"/>
        <v>comID</v>
      </c>
      <c r="D88" s="23"/>
      <c r="E88" s="23"/>
      <c r="F88" s="23"/>
      <c r="G88" s="23"/>
      <c r="H88" s="23"/>
      <c r="I88" s="23"/>
      <c r="J88" s="23"/>
      <c r="K88" s="41"/>
      <c r="L88" s="476" t="s">
        <v>43</v>
      </c>
      <c r="M88" s="474"/>
      <c r="N88" s="474"/>
      <c r="O88" s="474"/>
      <c r="P88" s="474"/>
      <c r="Q88" s="474"/>
      <c r="R88" s="474"/>
      <c r="S88" s="474"/>
      <c r="T88" s="474"/>
      <c r="U88" s="683"/>
      <c r="V88" s="682"/>
      <c r="W88" s="684"/>
      <c r="X88" s="685"/>
      <c r="Y88" s="250" t="s">
        <v>16</v>
      </c>
      <c r="Z88" s="251"/>
      <c r="AA88" s="251"/>
      <c r="AB88" s="251"/>
      <c r="AC88" s="252"/>
      <c r="AD88" s="253">
        <v>100</v>
      </c>
      <c r="AE88" s="254"/>
      <c r="AF88" s="253">
        <v>0</v>
      </c>
      <c r="AG88" s="254"/>
      <c r="AH88" s="42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41"/>
      <c r="BB88" s="23"/>
      <c r="BC88" s="23"/>
      <c r="BD88" s="23"/>
      <c r="BE88" s="23"/>
      <c r="BF88" s="23"/>
      <c r="BG88" s="43"/>
      <c r="BK88" s="272" t="s">
        <v>192</v>
      </c>
      <c r="BL88" s="51" t="s">
        <v>264</v>
      </c>
    </row>
    <row r="89" spans="1:64">
      <c r="A89" s="681">
        <v>82</v>
      </c>
      <c r="B89" s="682"/>
      <c r="C89" s="59" t="str">
        <f t="shared" si="2"/>
        <v>上期末变更后税额</v>
      </c>
      <c r="D89" s="23"/>
      <c r="E89" s="23"/>
      <c r="F89" s="23"/>
      <c r="G89" s="23"/>
      <c r="H89" s="23"/>
      <c r="I89" s="23"/>
      <c r="J89" s="23"/>
      <c r="K89" s="41"/>
      <c r="L89" s="475" t="s">
        <v>1734</v>
      </c>
      <c r="M89" s="474"/>
      <c r="N89" s="474"/>
      <c r="O89" s="474"/>
      <c r="P89" s="474"/>
      <c r="Q89" s="474"/>
      <c r="R89" s="474"/>
      <c r="S89" s="474"/>
      <c r="T89" s="474"/>
      <c r="U89" s="683"/>
      <c r="V89" s="682"/>
      <c r="W89" s="684"/>
      <c r="X89" s="685"/>
      <c r="Y89" s="350" t="s">
        <v>1266</v>
      </c>
      <c r="Z89" s="251"/>
      <c r="AA89" s="251"/>
      <c r="AB89" s="251"/>
      <c r="AC89" s="252"/>
      <c r="AD89" s="253">
        <v>19</v>
      </c>
      <c r="AE89" s="254"/>
      <c r="AF89" s="253">
        <v>6</v>
      </c>
      <c r="AG89" s="254"/>
      <c r="AH89" s="330" t="s">
        <v>1265</v>
      </c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41"/>
      <c r="BB89" s="23"/>
      <c r="BC89" s="23"/>
      <c r="BD89" s="23"/>
      <c r="BE89" s="23"/>
      <c r="BF89" s="23"/>
      <c r="BG89" s="43"/>
      <c r="BK89" s="272" t="s">
        <v>44</v>
      </c>
      <c r="BL89" s="51" t="s">
        <v>44</v>
      </c>
    </row>
    <row r="90" spans="1:64">
      <c r="A90" s="681">
        <v>83</v>
      </c>
      <c r="B90" s="682"/>
      <c r="C90" s="59" t="str">
        <f t="shared" si="2"/>
        <v>财务系统ID</v>
      </c>
      <c r="D90" s="23"/>
      <c r="E90" s="23"/>
      <c r="F90" s="23"/>
      <c r="G90" s="23"/>
      <c r="H90" s="23"/>
      <c r="I90" s="23"/>
      <c r="J90" s="23"/>
      <c r="K90" s="41"/>
      <c r="L90" s="36" t="s">
        <v>116</v>
      </c>
      <c r="M90" s="23"/>
      <c r="N90" s="23"/>
      <c r="O90" s="23"/>
      <c r="P90" s="23"/>
      <c r="Q90" s="23"/>
      <c r="R90" s="23"/>
      <c r="S90" s="23"/>
      <c r="T90" s="23"/>
      <c r="U90" s="683"/>
      <c r="V90" s="682"/>
      <c r="W90" s="684"/>
      <c r="X90" s="685"/>
      <c r="Y90" s="250" t="s">
        <v>16</v>
      </c>
      <c r="Z90" s="251"/>
      <c r="AA90" s="251"/>
      <c r="AB90" s="251"/>
      <c r="AC90" s="252"/>
      <c r="AD90" s="253">
        <v>36</v>
      </c>
      <c r="AE90" s="254"/>
      <c r="AF90" s="253">
        <v>0</v>
      </c>
      <c r="AG90" s="254"/>
      <c r="AH90" s="42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41"/>
      <c r="BB90" s="23"/>
      <c r="BC90" s="23"/>
      <c r="BD90" s="23"/>
      <c r="BE90" s="23"/>
      <c r="BF90" s="23"/>
      <c r="BG90" s="43"/>
      <c r="BK90" s="272" t="s">
        <v>182</v>
      </c>
      <c r="BL90" s="51" t="s">
        <v>265</v>
      </c>
    </row>
    <row r="91" spans="1:64">
      <c r="A91" s="681">
        <v>84</v>
      </c>
      <c r="B91" s="682"/>
      <c r="C91" s="59" t="str">
        <f t="shared" si="2"/>
        <v>核算部门名称</v>
      </c>
      <c r="D91" s="23"/>
      <c r="E91" s="23"/>
      <c r="F91" s="23"/>
      <c r="G91" s="23"/>
      <c r="H91" s="23"/>
      <c r="I91" s="23"/>
      <c r="J91" s="23"/>
      <c r="K91" s="41"/>
      <c r="L91" s="36" t="s">
        <v>117</v>
      </c>
      <c r="M91" s="23"/>
      <c r="N91" s="23"/>
      <c r="O91" s="23"/>
      <c r="P91" s="23"/>
      <c r="Q91" s="23"/>
      <c r="R91" s="23"/>
      <c r="S91" s="23"/>
      <c r="T91" s="23"/>
      <c r="U91" s="683"/>
      <c r="V91" s="682"/>
      <c r="W91" s="684"/>
      <c r="X91" s="685"/>
      <c r="Y91" s="250" t="s">
        <v>16</v>
      </c>
      <c r="Z91" s="251"/>
      <c r="AA91" s="251"/>
      <c r="AB91" s="251"/>
      <c r="AC91" s="252"/>
      <c r="AD91" s="253">
        <v>256</v>
      </c>
      <c r="AE91" s="254"/>
      <c r="AF91" s="253">
        <v>0</v>
      </c>
      <c r="AG91" s="254"/>
      <c r="AH91" s="42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41"/>
      <c r="BB91" s="23"/>
      <c r="BC91" s="23"/>
      <c r="BD91" s="23"/>
      <c r="BE91" s="23"/>
      <c r="BF91" s="23"/>
      <c r="BG91" s="43"/>
      <c r="BK91" s="272" t="s">
        <v>66</v>
      </c>
      <c r="BL91" s="51" t="s">
        <v>266</v>
      </c>
    </row>
    <row r="92" spans="1:64">
      <c r="A92" s="681">
        <v>85</v>
      </c>
      <c r="B92" s="682"/>
      <c r="C92" s="59" t="str">
        <f t="shared" si="2"/>
        <v>核算部门名称编码</v>
      </c>
      <c r="D92" s="23"/>
      <c r="E92" s="23"/>
      <c r="F92" s="23"/>
      <c r="G92" s="23"/>
      <c r="H92" s="23"/>
      <c r="I92" s="23"/>
      <c r="J92" s="23"/>
      <c r="K92" s="41"/>
      <c r="L92" s="36" t="s">
        <v>118</v>
      </c>
      <c r="M92" s="23"/>
      <c r="N92" s="23"/>
      <c r="O92" s="23"/>
      <c r="P92" s="23"/>
      <c r="Q92" s="23"/>
      <c r="R92" s="23"/>
      <c r="S92" s="23"/>
      <c r="T92" s="23"/>
      <c r="U92" s="683"/>
      <c r="V92" s="682"/>
      <c r="W92" s="684"/>
      <c r="X92" s="685"/>
      <c r="Y92" s="250" t="s">
        <v>16</v>
      </c>
      <c r="Z92" s="251"/>
      <c r="AA92" s="251"/>
      <c r="AB92" s="251"/>
      <c r="AC92" s="252"/>
      <c r="AD92" s="253">
        <v>256</v>
      </c>
      <c r="AE92" s="254"/>
      <c r="AF92" s="253">
        <v>0</v>
      </c>
      <c r="AG92" s="254"/>
      <c r="AH92" s="42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41"/>
      <c r="BB92" s="23"/>
      <c r="BC92" s="23"/>
      <c r="BD92" s="23"/>
      <c r="BE92" s="23"/>
      <c r="BF92" s="23"/>
      <c r="BG92" s="43"/>
      <c r="BK92" s="272" t="s">
        <v>96</v>
      </c>
      <c r="BL92" s="51" t="s">
        <v>267</v>
      </c>
    </row>
    <row r="93" spans="1:64">
      <c r="A93" s="681">
        <v>86</v>
      </c>
      <c r="B93" s="682"/>
      <c r="C93" s="59" t="str">
        <f t="shared" si="2"/>
        <v>核算部门名称ID</v>
      </c>
      <c r="D93" s="23"/>
      <c r="E93" s="23"/>
      <c r="F93" s="23"/>
      <c r="G93" s="23"/>
      <c r="H93" s="23"/>
      <c r="I93" s="23"/>
      <c r="J93" s="23"/>
      <c r="K93" s="41"/>
      <c r="L93" s="36" t="s">
        <v>119</v>
      </c>
      <c r="M93" s="23"/>
      <c r="N93" s="23"/>
      <c r="O93" s="23"/>
      <c r="P93" s="23"/>
      <c r="Q93" s="23"/>
      <c r="R93" s="23"/>
      <c r="S93" s="23"/>
      <c r="T93" s="23"/>
      <c r="U93" s="683"/>
      <c r="V93" s="682"/>
      <c r="W93" s="684"/>
      <c r="X93" s="685"/>
      <c r="Y93" s="250" t="s">
        <v>16</v>
      </c>
      <c r="Z93" s="251"/>
      <c r="AA93" s="251"/>
      <c r="AB93" s="251"/>
      <c r="AC93" s="252"/>
      <c r="AD93" s="253">
        <v>100</v>
      </c>
      <c r="AE93" s="254"/>
      <c r="AF93" s="253">
        <v>0</v>
      </c>
      <c r="AG93" s="254"/>
      <c r="AH93" s="42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41"/>
      <c r="BB93" s="23"/>
      <c r="BC93" s="23"/>
      <c r="BD93" s="23"/>
      <c r="BE93" s="23"/>
      <c r="BF93" s="23"/>
      <c r="BG93" s="43"/>
      <c r="BK93" s="272" t="s">
        <v>193</v>
      </c>
      <c r="BL93" s="51" t="s">
        <v>268</v>
      </c>
    </row>
    <row r="94" spans="1:64">
      <c r="A94" s="681">
        <v>87</v>
      </c>
      <c r="B94" s="682"/>
      <c r="C94" s="59" t="str">
        <f t="shared" si="2"/>
        <v>名义投标单位ID</v>
      </c>
      <c r="D94" s="23"/>
      <c r="E94" s="23"/>
      <c r="F94" s="23"/>
      <c r="G94" s="23"/>
      <c r="H94" s="23"/>
      <c r="I94" s="23"/>
      <c r="J94" s="23"/>
      <c r="K94" s="41"/>
      <c r="L94" s="36" t="s">
        <v>120</v>
      </c>
      <c r="M94" s="23"/>
      <c r="N94" s="23"/>
      <c r="O94" s="23"/>
      <c r="P94" s="23"/>
      <c r="Q94" s="23"/>
      <c r="R94" s="23"/>
      <c r="S94" s="23"/>
      <c r="T94" s="23"/>
      <c r="U94" s="683"/>
      <c r="V94" s="682"/>
      <c r="W94" s="684"/>
      <c r="X94" s="685"/>
      <c r="Y94" s="250" t="s">
        <v>16</v>
      </c>
      <c r="Z94" s="251"/>
      <c r="AA94" s="251"/>
      <c r="AB94" s="251"/>
      <c r="AC94" s="252"/>
      <c r="AD94" s="253">
        <v>100</v>
      </c>
      <c r="AE94" s="254"/>
      <c r="AF94" s="253">
        <v>0</v>
      </c>
      <c r="AG94" s="254"/>
      <c r="AH94" s="42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41"/>
      <c r="BB94" s="23"/>
      <c r="BC94" s="23"/>
      <c r="BD94" s="23"/>
      <c r="BE94" s="23"/>
      <c r="BF94" s="23"/>
      <c r="BG94" s="43"/>
      <c r="BK94" s="272" t="s">
        <v>85</v>
      </c>
      <c r="BL94" s="51" t="s">
        <v>269</v>
      </c>
    </row>
    <row r="95" spans="1:64">
      <c r="A95" s="681">
        <v>88</v>
      </c>
      <c r="B95" s="682"/>
      <c r="C95" s="59" t="str">
        <f t="shared" si="2"/>
        <v>名义投标单位编号</v>
      </c>
      <c r="D95" s="23"/>
      <c r="E95" s="23"/>
      <c r="F95" s="23"/>
      <c r="G95" s="23"/>
      <c r="H95" s="23"/>
      <c r="I95" s="23"/>
      <c r="J95" s="23"/>
      <c r="K95" s="41"/>
      <c r="L95" s="36" t="s">
        <v>121</v>
      </c>
      <c r="M95" s="23"/>
      <c r="N95" s="23"/>
      <c r="O95" s="23"/>
      <c r="P95" s="23"/>
      <c r="Q95" s="23"/>
      <c r="R95" s="23"/>
      <c r="S95" s="23"/>
      <c r="T95" s="23"/>
      <c r="U95" s="683"/>
      <c r="V95" s="682"/>
      <c r="W95" s="684"/>
      <c r="X95" s="685"/>
      <c r="Y95" s="250" t="s">
        <v>16</v>
      </c>
      <c r="Z95" s="251"/>
      <c r="AA95" s="251"/>
      <c r="AB95" s="251"/>
      <c r="AC95" s="252"/>
      <c r="AD95" s="253">
        <v>36</v>
      </c>
      <c r="AE95" s="254"/>
      <c r="AF95" s="253">
        <v>0</v>
      </c>
      <c r="AG95" s="254"/>
      <c r="AH95" s="42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41"/>
      <c r="BB95" s="23"/>
      <c r="BC95" s="23"/>
      <c r="BD95" s="23"/>
      <c r="BE95" s="23"/>
      <c r="BF95" s="23"/>
      <c r="BG95" s="43"/>
      <c r="BK95" s="272" t="s">
        <v>94</v>
      </c>
      <c r="BL95" s="51" t="s">
        <v>270</v>
      </c>
    </row>
    <row r="96" spans="1:64">
      <c r="A96" s="681">
        <v>89</v>
      </c>
      <c r="B96" s="682"/>
      <c r="C96" s="59" t="str">
        <f t="shared" si="2"/>
        <v>名义投标单位</v>
      </c>
      <c r="D96" s="23"/>
      <c r="E96" s="23"/>
      <c r="F96" s="23"/>
      <c r="G96" s="23"/>
      <c r="H96" s="23"/>
      <c r="I96" s="23"/>
      <c r="J96" s="23"/>
      <c r="K96" s="41"/>
      <c r="L96" s="36" t="s">
        <v>122</v>
      </c>
      <c r="M96" s="23"/>
      <c r="N96" s="23"/>
      <c r="O96" s="23"/>
      <c r="P96" s="23"/>
      <c r="Q96" s="23"/>
      <c r="R96" s="23"/>
      <c r="S96" s="23"/>
      <c r="T96" s="23"/>
      <c r="U96" s="683"/>
      <c r="V96" s="682"/>
      <c r="W96" s="684"/>
      <c r="X96" s="685"/>
      <c r="Y96" s="250" t="s">
        <v>16</v>
      </c>
      <c r="Z96" s="251"/>
      <c r="AA96" s="251"/>
      <c r="AB96" s="251"/>
      <c r="AC96" s="252"/>
      <c r="AD96" s="253">
        <v>100</v>
      </c>
      <c r="AE96" s="254"/>
      <c r="AF96" s="253">
        <v>0</v>
      </c>
      <c r="AG96" s="254"/>
      <c r="AH96" s="42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41"/>
      <c r="BB96" s="23"/>
      <c r="BC96" s="23"/>
      <c r="BD96" s="23"/>
      <c r="BE96" s="23"/>
      <c r="BF96" s="23"/>
      <c r="BG96" s="43"/>
      <c r="BK96" s="272" t="s">
        <v>68</v>
      </c>
      <c r="BL96" s="51" t="s">
        <v>68</v>
      </c>
    </row>
    <row r="97" spans="1:64">
      <c r="A97" s="681">
        <v>90</v>
      </c>
      <c r="B97" s="682"/>
      <c r="C97" s="59" t="str">
        <f t="shared" si="2"/>
        <v>核算单位ID</v>
      </c>
      <c r="D97" s="23"/>
      <c r="E97" s="23"/>
      <c r="F97" s="23"/>
      <c r="G97" s="23"/>
      <c r="H97" s="23"/>
      <c r="I97" s="23"/>
      <c r="J97" s="23"/>
      <c r="K97" s="41"/>
      <c r="L97" s="36" t="s">
        <v>123</v>
      </c>
      <c r="M97" s="23"/>
      <c r="N97" s="23"/>
      <c r="O97" s="23"/>
      <c r="P97" s="23"/>
      <c r="Q97" s="23"/>
      <c r="R97" s="23"/>
      <c r="S97" s="23"/>
      <c r="T97" s="23"/>
      <c r="U97" s="683"/>
      <c r="V97" s="682"/>
      <c r="W97" s="684"/>
      <c r="X97" s="685"/>
      <c r="Y97" s="250" t="s">
        <v>16</v>
      </c>
      <c r="Z97" s="251"/>
      <c r="AA97" s="251"/>
      <c r="AB97" s="251"/>
      <c r="AC97" s="252"/>
      <c r="AD97" s="253">
        <v>100</v>
      </c>
      <c r="AE97" s="254"/>
      <c r="AF97" s="253">
        <v>0</v>
      </c>
      <c r="AG97" s="254"/>
      <c r="AH97" s="42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41"/>
      <c r="BB97" s="23"/>
      <c r="BC97" s="23"/>
      <c r="BD97" s="23"/>
      <c r="BE97" s="23"/>
      <c r="BF97" s="23"/>
      <c r="BG97" s="43"/>
      <c r="BK97" s="272" t="s">
        <v>179</v>
      </c>
      <c r="BL97" s="51" t="s">
        <v>232</v>
      </c>
    </row>
    <row r="98" spans="1:64">
      <c r="A98" s="681">
        <v>91</v>
      </c>
      <c r="B98" s="682"/>
      <c r="C98" s="59" t="str">
        <f t="shared" si="2"/>
        <v>核算单位编号</v>
      </c>
      <c r="D98" s="23"/>
      <c r="E98" s="23"/>
      <c r="F98" s="23"/>
      <c r="G98" s="23"/>
      <c r="H98" s="23"/>
      <c r="I98" s="23"/>
      <c r="J98" s="23"/>
      <c r="K98" s="41"/>
      <c r="L98" s="36" t="s">
        <v>124</v>
      </c>
      <c r="M98" s="23"/>
      <c r="N98" s="23"/>
      <c r="O98" s="23"/>
      <c r="P98" s="23"/>
      <c r="Q98" s="23"/>
      <c r="R98" s="23"/>
      <c r="S98" s="23"/>
      <c r="T98" s="23"/>
      <c r="U98" s="683"/>
      <c r="V98" s="682"/>
      <c r="W98" s="684"/>
      <c r="X98" s="685"/>
      <c r="Y98" s="250" t="s">
        <v>16</v>
      </c>
      <c r="Z98" s="251"/>
      <c r="AA98" s="251"/>
      <c r="AB98" s="251"/>
      <c r="AC98" s="252"/>
      <c r="AD98" s="253">
        <v>100</v>
      </c>
      <c r="AE98" s="254"/>
      <c r="AF98" s="253">
        <v>0</v>
      </c>
      <c r="AG98" s="254"/>
      <c r="AH98" s="42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41"/>
      <c r="BB98" s="23"/>
      <c r="BC98" s="23"/>
      <c r="BD98" s="23"/>
      <c r="BE98" s="23"/>
      <c r="BF98" s="23"/>
      <c r="BG98" s="43"/>
      <c r="BK98" s="272" t="s">
        <v>46</v>
      </c>
      <c r="BL98" s="51" t="s">
        <v>271</v>
      </c>
    </row>
    <row r="99" spans="1:64">
      <c r="A99" s="681">
        <v>92</v>
      </c>
      <c r="B99" s="682"/>
      <c r="C99" s="59" t="str">
        <f t="shared" si="2"/>
        <v>核算单位</v>
      </c>
      <c r="D99" s="23"/>
      <c r="E99" s="23"/>
      <c r="F99" s="23"/>
      <c r="G99" s="23"/>
      <c r="H99" s="23"/>
      <c r="I99" s="23"/>
      <c r="J99" s="23"/>
      <c r="K99" s="41"/>
      <c r="L99" s="36" t="s">
        <v>125</v>
      </c>
      <c r="M99" s="23"/>
      <c r="N99" s="23"/>
      <c r="O99" s="23"/>
      <c r="P99" s="23"/>
      <c r="Q99" s="23"/>
      <c r="R99" s="23"/>
      <c r="S99" s="23"/>
      <c r="T99" s="23"/>
      <c r="U99" s="683"/>
      <c r="V99" s="682"/>
      <c r="W99" s="684"/>
      <c r="X99" s="685"/>
      <c r="Y99" s="250" t="s">
        <v>16</v>
      </c>
      <c r="Z99" s="251"/>
      <c r="AA99" s="251"/>
      <c r="AB99" s="251"/>
      <c r="AC99" s="252"/>
      <c r="AD99" s="253">
        <v>100</v>
      </c>
      <c r="AE99" s="254"/>
      <c r="AF99" s="253">
        <v>0</v>
      </c>
      <c r="AG99" s="254"/>
      <c r="AH99" s="42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41"/>
      <c r="BB99" s="23"/>
      <c r="BC99" s="23"/>
      <c r="BD99" s="23"/>
      <c r="BE99" s="23"/>
      <c r="BF99" s="23"/>
      <c r="BG99" s="43"/>
      <c r="BK99" s="272" t="s">
        <v>29</v>
      </c>
      <c r="BL99" s="51" t="s">
        <v>49</v>
      </c>
    </row>
    <row r="100" spans="1:64">
      <c r="A100" s="681">
        <v>93</v>
      </c>
      <c r="B100" s="682"/>
      <c r="C100" s="59" t="str">
        <f t="shared" si="2"/>
        <v>核算项目Id</v>
      </c>
      <c r="D100" s="23"/>
      <c r="E100" s="23"/>
      <c r="F100" s="23"/>
      <c r="G100" s="23"/>
      <c r="H100" s="23"/>
      <c r="I100" s="23"/>
      <c r="J100" s="23"/>
      <c r="K100" s="41"/>
      <c r="L100" s="36" t="s">
        <v>126</v>
      </c>
      <c r="M100" s="23"/>
      <c r="N100" s="23"/>
      <c r="O100" s="23"/>
      <c r="P100" s="23"/>
      <c r="Q100" s="23"/>
      <c r="R100" s="23"/>
      <c r="S100" s="23"/>
      <c r="T100" s="23"/>
      <c r="U100" s="683"/>
      <c r="V100" s="682"/>
      <c r="W100" s="684"/>
      <c r="X100" s="685"/>
      <c r="Y100" s="250" t="s">
        <v>16</v>
      </c>
      <c r="Z100" s="251"/>
      <c r="AA100" s="251"/>
      <c r="AB100" s="251"/>
      <c r="AC100" s="252"/>
      <c r="AD100" s="253">
        <v>100</v>
      </c>
      <c r="AE100" s="254"/>
      <c r="AF100" s="253">
        <v>0</v>
      </c>
      <c r="AG100" s="254"/>
      <c r="AH100" s="42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41"/>
      <c r="BB100" s="23"/>
      <c r="BC100" s="23"/>
      <c r="BD100" s="23"/>
      <c r="BE100" s="23"/>
      <c r="BF100" s="23"/>
      <c r="BG100" s="43"/>
      <c r="BK100" s="272" t="s">
        <v>69</v>
      </c>
      <c r="BL100" s="51" t="s">
        <v>69</v>
      </c>
    </row>
    <row r="101" spans="1:64">
      <c r="A101" s="681">
        <v>94</v>
      </c>
      <c r="B101" s="682"/>
      <c r="C101" s="59" t="str">
        <f t="shared" si="2"/>
        <v>核算项目编号</v>
      </c>
      <c r="D101" s="23"/>
      <c r="E101" s="23"/>
      <c r="F101" s="23"/>
      <c r="G101" s="23"/>
      <c r="H101" s="23"/>
      <c r="I101" s="23"/>
      <c r="J101" s="23"/>
      <c r="K101" s="41"/>
      <c r="L101" s="36" t="s">
        <v>127</v>
      </c>
      <c r="M101" s="23"/>
      <c r="N101" s="23"/>
      <c r="O101" s="23"/>
      <c r="P101" s="23"/>
      <c r="Q101" s="23"/>
      <c r="R101" s="23"/>
      <c r="S101" s="23"/>
      <c r="T101" s="23"/>
      <c r="U101" s="683"/>
      <c r="V101" s="682"/>
      <c r="W101" s="684"/>
      <c r="X101" s="685"/>
      <c r="Y101" s="250" t="s">
        <v>16</v>
      </c>
      <c r="Z101" s="251"/>
      <c r="AA101" s="251"/>
      <c r="AB101" s="251"/>
      <c r="AC101" s="252"/>
      <c r="AD101" s="253">
        <v>100</v>
      </c>
      <c r="AE101" s="254"/>
      <c r="AF101" s="253">
        <v>0</v>
      </c>
      <c r="AG101" s="254"/>
      <c r="AH101" s="42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41"/>
      <c r="BB101" s="23"/>
      <c r="BC101" s="23"/>
      <c r="BD101" s="23"/>
      <c r="BE101" s="23"/>
      <c r="BF101" s="23"/>
      <c r="BG101" s="43"/>
      <c r="BK101" s="272" t="s">
        <v>61</v>
      </c>
      <c r="BL101" s="51" t="s">
        <v>272</v>
      </c>
    </row>
    <row r="102" spans="1:64">
      <c r="A102" s="681">
        <v>95</v>
      </c>
      <c r="B102" s="682"/>
      <c r="C102" s="59" t="str">
        <f t="shared" si="2"/>
        <v>核算项目名称</v>
      </c>
      <c r="D102" s="23"/>
      <c r="E102" s="23"/>
      <c r="F102" s="23"/>
      <c r="G102" s="23"/>
      <c r="H102" s="23"/>
      <c r="I102" s="23"/>
      <c r="J102" s="23"/>
      <c r="K102" s="41"/>
      <c r="L102" s="36" t="s">
        <v>128</v>
      </c>
      <c r="M102" s="23"/>
      <c r="N102" s="23"/>
      <c r="O102" s="23"/>
      <c r="P102" s="23"/>
      <c r="Q102" s="23"/>
      <c r="R102" s="23"/>
      <c r="S102" s="23"/>
      <c r="T102" s="23"/>
      <c r="U102" s="683"/>
      <c r="V102" s="682"/>
      <c r="W102" s="684"/>
      <c r="X102" s="685"/>
      <c r="Y102" s="250" t="s">
        <v>16</v>
      </c>
      <c r="Z102" s="251"/>
      <c r="AA102" s="251"/>
      <c r="AB102" s="251"/>
      <c r="AC102" s="252"/>
      <c r="AD102" s="253">
        <v>100</v>
      </c>
      <c r="AE102" s="254"/>
      <c r="AF102" s="253">
        <v>0</v>
      </c>
      <c r="AG102" s="254"/>
      <c r="AH102" s="330" t="s">
        <v>1412</v>
      </c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41"/>
      <c r="BB102" s="23"/>
      <c r="BC102" s="23"/>
      <c r="BD102" s="23"/>
      <c r="BE102" s="23"/>
      <c r="BF102" s="23"/>
      <c r="BG102" s="43"/>
      <c r="BK102" s="272" t="s">
        <v>37</v>
      </c>
      <c r="BL102" s="51" t="s">
        <v>273</v>
      </c>
    </row>
    <row r="103" spans="1:64">
      <c r="A103" s="681">
        <v>96</v>
      </c>
      <c r="B103" s="682"/>
      <c r="C103" s="59" t="str">
        <f t="shared" si="2"/>
        <v>项目属地</v>
      </c>
      <c r="D103" s="23"/>
      <c r="E103" s="23"/>
      <c r="F103" s="23"/>
      <c r="G103" s="23"/>
      <c r="H103" s="23"/>
      <c r="I103" s="23"/>
      <c r="J103" s="23"/>
      <c r="K103" s="41"/>
      <c r="L103" s="36" t="s">
        <v>129</v>
      </c>
      <c r="M103" s="23"/>
      <c r="N103" s="23"/>
      <c r="O103" s="23"/>
      <c r="P103" s="23"/>
      <c r="Q103" s="23"/>
      <c r="R103" s="23"/>
      <c r="S103" s="23"/>
      <c r="T103" s="23"/>
      <c r="U103" s="683"/>
      <c r="V103" s="682"/>
      <c r="W103" s="684"/>
      <c r="X103" s="685"/>
      <c r="Y103" s="250" t="s">
        <v>16</v>
      </c>
      <c r="Z103" s="251"/>
      <c r="AA103" s="251"/>
      <c r="AB103" s="251"/>
      <c r="AC103" s="252"/>
      <c r="AD103" s="253">
        <v>100</v>
      </c>
      <c r="AE103" s="254"/>
      <c r="AF103" s="253">
        <v>0</v>
      </c>
      <c r="AG103" s="254"/>
      <c r="AH103" s="42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41"/>
      <c r="BB103" s="23"/>
      <c r="BC103" s="23"/>
      <c r="BD103" s="23"/>
      <c r="BE103" s="23"/>
      <c r="BF103" s="23"/>
      <c r="BG103" s="43"/>
      <c r="BK103" s="272" t="s">
        <v>63</v>
      </c>
      <c r="BL103" s="51" t="s">
        <v>274</v>
      </c>
    </row>
    <row r="104" spans="1:64">
      <c r="A104" s="681">
        <v>97</v>
      </c>
      <c r="B104" s="682"/>
      <c r="C104" s="59" t="str">
        <f t="shared" si="2"/>
        <v>业务板块</v>
      </c>
      <c r="D104" s="23"/>
      <c r="E104" s="23"/>
      <c r="F104" s="23"/>
      <c r="G104" s="23"/>
      <c r="H104" s="23"/>
      <c r="I104" s="23"/>
      <c r="J104" s="23"/>
      <c r="K104" s="41"/>
      <c r="L104" s="36" t="s">
        <v>130</v>
      </c>
      <c r="M104" s="23"/>
      <c r="N104" s="23"/>
      <c r="O104" s="23"/>
      <c r="P104" s="23"/>
      <c r="Q104" s="23"/>
      <c r="R104" s="23"/>
      <c r="S104" s="23"/>
      <c r="T104" s="23"/>
      <c r="U104" s="683"/>
      <c r="V104" s="682"/>
      <c r="W104" s="684"/>
      <c r="X104" s="685"/>
      <c r="Y104" s="250" t="s">
        <v>16</v>
      </c>
      <c r="Z104" s="251"/>
      <c r="AA104" s="251"/>
      <c r="AB104" s="251"/>
      <c r="AC104" s="252"/>
      <c r="AD104" s="253">
        <v>100</v>
      </c>
      <c r="AE104" s="254"/>
      <c r="AF104" s="253">
        <v>0</v>
      </c>
      <c r="AG104" s="254"/>
      <c r="AH104" s="330" t="s">
        <v>1412</v>
      </c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41"/>
      <c r="BB104" s="23"/>
      <c r="BC104" s="23"/>
      <c r="BD104" s="23"/>
      <c r="BE104" s="23"/>
      <c r="BF104" s="23"/>
      <c r="BG104" s="43"/>
      <c r="BK104" s="272" t="s">
        <v>43</v>
      </c>
      <c r="BL104" s="51" t="s">
        <v>43</v>
      </c>
    </row>
    <row r="105" spans="1:64">
      <c r="A105" s="681">
        <v>98</v>
      </c>
      <c r="B105" s="682"/>
      <c r="C105" s="59" t="str">
        <f t="shared" ref="C105:C136" si="3">VLOOKUP(L105,$BK$7:$BL$255,2,FALSE)</f>
        <v>项目资金来源</v>
      </c>
      <c r="D105" s="23"/>
      <c r="E105" s="23"/>
      <c r="F105" s="23"/>
      <c r="G105" s="23"/>
      <c r="H105" s="23"/>
      <c r="I105" s="23"/>
      <c r="J105" s="23"/>
      <c r="K105" s="41"/>
      <c r="L105" s="36" t="s">
        <v>131</v>
      </c>
      <c r="M105" s="23"/>
      <c r="N105" s="23"/>
      <c r="O105" s="23"/>
      <c r="P105" s="23"/>
      <c r="Q105" s="23"/>
      <c r="R105" s="23"/>
      <c r="S105" s="23"/>
      <c r="T105" s="23"/>
      <c r="U105" s="683"/>
      <c r="V105" s="682"/>
      <c r="W105" s="684"/>
      <c r="X105" s="685"/>
      <c r="Y105" s="250" t="s">
        <v>16</v>
      </c>
      <c r="Z105" s="251"/>
      <c r="AA105" s="251"/>
      <c r="AB105" s="251"/>
      <c r="AC105" s="252"/>
      <c r="AD105" s="253">
        <v>100</v>
      </c>
      <c r="AE105" s="254"/>
      <c r="AF105" s="253">
        <v>0</v>
      </c>
      <c r="AG105" s="254"/>
      <c r="AH105" s="42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41"/>
      <c r="BB105" s="23"/>
      <c r="BC105" s="23"/>
      <c r="BD105" s="23"/>
      <c r="BE105" s="23"/>
      <c r="BF105" s="23"/>
      <c r="BG105" s="43"/>
      <c r="BK105" s="272" t="s">
        <v>33</v>
      </c>
      <c r="BL105" s="51" t="s">
        <v>52</v>
      </c>
    </row>
    <row r="106" spans="1:64">
      <c r="A106" s="681">
        <v>99</v>
      </c>
      <c r="B106" s="682"/>
      <c r="C106" s="59" t="str">
        <f t="shared" si="3"/>
        <v>事业部</v>
      </c>
      <c r="D106" s="334"/>
      <c r="E106" s="334"/>
      <c r="F106" s="334"/>
      <c r="G106" s="334"/>
      <c r="H106" s="334"/>
      <c r="I106" s="334"/>
      <c r="J106" s="334"/>
      <c r="K106" s="335"/>
      <c r="L106" s="36" t="s">
        <v>132</v>
      </c>
      <c r="M106" s="23"/>
      <c r="N106" s="23"/>
      <c r="O106" s="23"/>
      <c r="P106" s="23"/>
      <c r="Q106" s="23"/>
      <c r="R106" s="23"/>
      <c r="S106" s="23"/>
      <c r="T106" s="23"/>
      <c r="U106" s="683"/>
      <c r="V106" s="682"/>
      <c r="W106" s="684"/>
      <c r="X106" s="685"/>
      <c r="Y106" s="250" t="s">
        <v>16</v>
      </c>
      <c r="Z106" s="251"/>
      <c r="AA106" s="251"/>
      <c r="AB106" s="251"/>
      <c r="AC106" s="252"/>
      <c r="AD106" s="253">
        <v>100</v>
      </c>
      <c r="AE106" s="254"/>
      <c r="AF106" s="253">
        <v>0</v>
      </c>
      <c r="AG106" s="254"/>
      <c r="AH106" s="42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41"/>
      <c r="BB106" s="23"/>
      <c r="BC106" s="23"/>
      <c r="BD106" s="23"/>
      <c r="BE106" s="23"/>
      <c r="BF106" s="23"/>
      <c r="BG106" s="43"/>
      <c r="BK106" s="272" t="s">
        <v>32</v>
      </c>
      <c r="BL106" s="51" t="s">
        <v>51</v>
      </c>
    </row>
    <row r="107" spans="1:64">
      <c r="A107" s="681">
        <v>100</v>
      </c>
      <c r="B107" s="682"/>
      <c r="C107" s="59" t="str">
        <f t="shared" si="3"/>
        <v>税务备案号(名义投标单位/中标单位)</v>
      </c>
      <c r="D107" s="23"/>
      <c r="E107" s="23"/>
      <c r="F107" s="23"/>
      <c r="G107" s="23"/>
      <c r="H107" s="23"/>
      <c r="I107" s="23"/>
      <c r="J107" s="23"/>
      <c r="K107" s="41"/>
      <c r="L107" s="36" t="s">
        <v>133</v>
      </c>
      <c r="M107" s="23"/>
      <c r="N107" s="23"/>
      <c r="O107" s="23"/>
      <c r="P107" s="23"/>
      <c r="Q107" s="23"/>
      <c r="R107" s="23"/>
      <c r="S107" s="23"/>
      <c r="T107" s="23"/>
      <c r="U107" s="683"/>
      <c r="V107" s="682"/>
      <c r="W107" s="684"/>
      <c r="X107" s="685"/>
      <c r="Y107" s="250" t="s">
        <v>16</v>
      </c>
      <c r="Z107" s="251"/>
      <c r="AA107" s="251"/>
      <c r="AB107" s="251"/>
      <c r="AC107" s="252"/>
      <c r="AD107" s="253">
        <v>100</v>
      </c>
      <c r="AE107" s="254"/>
      <c r="AF107" s="253">
        <v>0</v>
      </c>
      <c r="AG107" s="254"/>
      <c r="AH107" s="42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41"/>
      <c r="BB107" s="23"/>
      <c r="BC107" s="23"/>
      <c r="BD107" s="23"/>
      <c r="BE107" s="23"/>
      <c r="BF107" s="23"/>
      <c r="BG107" s="43"/>
      <c r="BK107" s="272" t="s">
        <v>65</v>
      </c>
      <c r="BL107" s="51" t="s">
        <v>50</v>
      </c>
    </row>
    <row r="108" spans="1:64">
      <c r="A108" s="681">
        <v>101</v>
      </c>
      <c r="B108" s="682"/>
      <c r="C108" s="59" t="str">
        <f t="shared" si="3"/>
        <v>计税方法</v>
      </c>
      <c r="D108" s="23"/>
      <c r="E108" s="23"/>
      <c r="F108" s="23"/>
      <c r="G108" s="23"/>
      <c r="H108" s="23"/>
      <c r="I108" s="23"/>
      <c r="J108" s="23"/>
      <c r="K108" s="41"/>
      <c r="L108" s="36" t="s">
        <v>134</v>
      </c>
      <c r="M108" s="23"/>
      <c r="N108" s="23"/>
      <c r="O108" s="23"/>
      <c r="P108" s="23"/>
      <c r="Q108" s="23"/>
      <c r="R108" s="23"/>
      <c r="S108" s="23"/>
      <c r="T108" s="23"/>
      <c r="U108" s="683"/>
      <c r="V108" s="682"/>
      <c r="W108" s="684"/>
      <c r="X108" s="685"/>
      <c r="Y108" s="250" t="s">
        <v>16</v>
      </c>
      <c r="Z108" s="251"/>
      <c r="AA108" s="251"/>
      <c r="AB108" s="251"/>
      <c r="AC108" s="252"/>
      <c r="AD108" s="253">
        <v>100</v>
      </c>
      <c r="AE108" s="254"/>
      <c r="AF108" s="253">
        <v>0</v>
      </c>
      <c r="AG108" s="254"/>
      <c r="AH108" s="42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41"/>
      <c r="BB108" s="23"/>
      <c r="BC108" s="23"/>
      <c r="BD108" s="23"/>
      <c r="BE108" s="23"/>
      <c r="BF108" s="23"/>
      <c r="BG108" s="43"/>
      <c r="BK108" s="411"/>
      <c r="BL108" s="345"/>
    </row>
    <row r="109" spans="1:64">
      <c r="A109" s="681">
        <v>102</v>
      </c>
      <c r="B109" s="682"/>
      <c r="C109" s="59" t="str">
        <f t="shared" si="3"/>
        <v>增值税预征率(%)</v>
      </c>
      <c r="D109" s="23"/>
      <c r="E109" s="23"/>
      <c r="F109" s="23"/>
      <c r="G109" s="23"/>
      <c r="H109" s="23"/>
      <c r="I109" s="23"/>
      <c r="J109" s="23"/>
      <c r="K109" s="41"/>
      <c r="L109" s="36" t="s">
        <v>135</v>
      </c>
      <c r="M109" s="23"/>
      <c r="N109" s="23"/>
      <c r="O109" s="23"/>
      <c r="P109" s="23"/>
      <c r="Q109" s="23"/>
      <c r="R109" s="23"/>
      <c r="S109" s="23"/>
      <c r="T109" s="23"/>
      <c r="U109" s="683"/>
      <c r="V109" s="682"/>
      <c r="W109" s="684"/>
      <c r="X109" s="685"/>
      <c r="Y109" s="250" t="s">
        <v>16</v>
      </c>
      <c r="Z109" s="251"/>
      <c r="AA109" s="251"/>
      <c r="AB109" s="251"/>
      <c r="AC109" s="252"/>
      <c r="AD109" s="253">
        <v>100</v>
      </c>
      <c r="AE109" s="254"/>
      <c r="AF109" s="253">
        <v>0</v>
      </c>
      <c r="AG109" s="254"/>
      <c r="AH109" s="42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41"/>
      <c r="BB109" s="23"/>
      <c r="BC109" s="23"/>
      <c r="BD109" s="23"/>
      <c r="BE109" s="23"/>
      <c r="BF109" s="23"/>
      <c r="BG109" s="43"/>
      <c r="BK109" s="64" t="s">
        <v>43</v>
      </c>
      <c r="BL109" s="52" t="s">
        <v>43</v>
      </c>
    </row>
    <row r="110" spans="1:64">
      <c r="A110" s="681">
        <v>103</v>
      </c>
      <c r="B110" s="682"/>
      <c r="C110" s="59" t="str">
        <f t="shared" si="3"/>
        <v>增值税使用税率(%)</v>
      </c>
      <c r="D110" s="23"/>
      <c r="E110" s="23"/>
      <c r="F110" s="23"/>
      <c r="G110" s="23"/>
      <c r="H110" s="23"/>
      <c r="I110" s="23"/>
      <c r="J110" s="23"/>
      <c r="K110" s="41"/>
      <c r="L110" s="36" t="s">
        <v>136</v>
      </c>
      <c r="M110" s="23"/>
      <c r="N110" s="23"/>
      <c r="O110" s="23"/>
      <c r="P110" s="23"/>
      <c r="Q110" s="23"/>
      <c r="R110" s="23"/>
      <c r="S110" s="23"/>
      <c r="T110" s="23"/>
      <c r="U110" s="683"/>
      <c r="V110" s="682"/>
      <c r="W110" s="684"/>
      <c r="X110" s="685"/>
      <c r="Y110" s="250" t="s">
        <v>16</v>
      </c>
      <c r="Z110" s="251"/>
      <c r="AA110" s="251"/>
      <c r="AB110" s="251"/>
      <c r="AC110" s="252"/>
      <c r="AD110" s="253">
        <v>100</v>
      </c>
      <c r="AE110" s="254"/>
      <c r="AF110" s="253">
        <v>0</v>
      </c>
      <c r="AG110" s="254"/>
      <c r="AH110" s="42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41"/>
      <c r="BB110" s="23"/>
      <c r="BC110" s="23"/>
      <c r="BD110" s="23"/>
      <c r="BE110" s="23"/>
      <c r="BF110" s="23"/>
      <c r="BG110" s="43"/>
      <c r="BK110" s="64" t="s">
        <v>102</v>
      </c>
      <c r="BL110" s="52" t="s">
        <v>558</v>
      </c>
    </row>
    <row r="111" spans="1:64">
      <c r="A111" s="681">
        <v>104</v>
      </c>
      <c r="B111" s="682"/>
      <c r="C111" s="59" t="str">
        <f t="shared" si="3"/>
        <v>是否属地预缴</v>
      </c>
      <c r="D111" s="23"/>
      <c r="E111" s="23"/>
      <c r="F111" s="23"/>
      <c r="G111" s="23"/>
      <c r="H111" s="23"/>
      <c r="I111" s="23"/>
      <c r="J111" s="23"/>
      <c r="K111" s="41"/>
      <c r="L111" s="36" t="s">
        <v>137</v>
      </c>
      <c r="M111" s="23"/>
      <c r="N111" s="23"/>
      <c r="O111" s="23"/>
      <c r="P111" s="23"/>
      <c r="Q111" s="23"/>
      <c r="R111" s="23"/>
      <c r="S111" s="23"/>
      <c r="T111" s="23"/>
      <c r="U111" s="683"/>
      <c r="V111" s="682"/>
      <c r="W111" s="684"/>
      <c r="X111" s="685"/>
      <c r="Y111" s="250" t="s">
        <v>16</v>
      </c>
      <c r="Z111" s="251"/>
      <c r="AA111" s="251"/>
      <c r="AB111" s="251"/>
      <c r="AC111" s="252"/>
      <c r="AD111" s="253">
        <v>100</v>
      </c>
      <c r="AE111" s="254"/>
      <c r="AF111" s="253">
        <v>0</v>
      </c>
      <c r="AG111" s="254"/>
      <c r="AH111" s="42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41"/>
      <c r="BB111" s="23"/>
      <c r="BC111" s="23"/>
      <c r="BD111" s="23"/>
      <c r="BE111" s="23"/>
      <c r="BF111" s="23"/>
      <c r="BG111" s="43"/>
      <c r="BK111" s="64" t="s">
        <v>98</v>
      </c>
      <c r="BL111" s="52" t="s">
        <v>247</v>
      </c>
    </row>
    <row r="112" spans="1:64">
      <c r="A112" s="681">
        <v>105</v>
      </c>
      <c r="B112" s="682"/>
      <c r="C112" s="59" t="str">
        <f t="shared" si="3"/>
        <v>预缴国税机关</v>
      </c>
      <c r="D112" s="23"/>
      <c r="E112" s="23"/>
      <c r="F112" s="23"/>
      <c r="G112" s="23"/>
      <c r="H112" s="23"/>
      <c r="I112" s="23"/>
      <c r="J112" s="23"/>
      <c r="K112" s="41"/>
      <c r="L112" s="36" t="s">
        <v>138</v>
      </c>
      <c r="M112" s="23"/>
      <c r="N112" s="23"/>
      <c r="O112" s="23"/>
      <c r="P112" s="23"/>
      <c r="Q112" s="23"/>
      <c r="R112" s="23"/>
      <c r="S112" s="23"/>
      <c r="T112" s="23"/>
      <c r="U112" s="683"/>
      <c r="V112" s="682"/>
      <c r="W112" s="684"/>
      <c r="X112" s="685"/>
      <c r="Y112" s="250" t="s">
        <v>16</v>
      </c>
      <c r="Z112" s="251"/>
      <c r="AA112" s="251"/>
      <c r="AB112" s="251"/>
      <c r="AC112" s="252"/>
      <c r="AD112" s="253">
        <v>100</v>
      </c>
      <c r="AE112" s="254"/>
      <c r="AF112" s="253">
        <v>0</v>
      </c>
      <c r="AG112" s="254"/>
      <c r="AH112" s="42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41"/>
      <c r="BB112" s="23"/>
      <c r="BC112" s="23"/>
      <c r="BD112" s="23"/>
      <c r="BE112" s="23"/>
      <c r="BF112" s="23"/>
      <c r="BG112" s="43"/>
      <c r="BK112" s="64" t="s">
        <v>108</v>
      </c>
      <c r="BL112" s="52" t="s">
        <v>751</v>
      </c>
    </row>
    <row r="113" spans="1:64">
      <c r="A113" s="681">
        <v>106</v>
      </c>
      <c r="B113" s="682"/>
      <c r="C113" s="59" t="str">
        <f t="shared" si="3"/>
        <v>预缴国税机关联系方式</v>
      </c>
      <c r="D113" s="23"/>
      <c r="E113" s="23"/>
      <c r="F113" s="23"/>
      <c r="G113" s="23"/>
      <c r="H113" s="23"/>
      <c r="I113" s="23"/>
      <c r="J113" s="23"/>
      <c r="K113" s="41"/>
      <c r="L113" s="36" t="s">
        <v>139</v>
      </c>
      <c r="M113" s="23"/>
      <c r="N113" s="23"/>
      <c r="O113" s="23"/>
      <c r="P113" s="23"/>
      <c r="Q113" s="23"/>
      <c r="R113" s="23"/>
      <c r="S113" s="23"/>
      <c r="T113" s="23"/>
      <c r="U113" s="683"/>
      <c r="V113" s="682"/>
      <c r="W113" s="684"/>
      <c r="X113" s="685"/>
      <c r="Y113" s="250" t="s">
        <v>16</v>
      </c>
      <c r="Z113" s="251"/>
      <c r="AA113" s="251"/>
      <c r="AB113" s="251"/>
      <c r="AC113" s="252"/>
      <c r="AD113" s="253">
        <v>100</v>
      </c>
      <c r="AE113" s="254"/>
      <c r="AF113" s="253">
        <v>0</v>
      </c>
      <c r="AG113" s="254"/>
      <c r="AH113" s="42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41"/>
      <c r="BB113" s="23"/>
      <c r="BC113" s="23"/>
      <c r="BD113" s="23"/>
      <c r="BE113" s="23"/>
      <c r="BF113" s="23"/>
      <c r="BG113" s="43"/>
      <c r="BK113" s="64" t="s">
        <v>103</v>
      </c>
      <c r="BL113" s="52" t="s">
        <v>559</v>
      </c>
    </row>
    <row r="114" spans="1:64">
      <c r="A114" s="681">
        <v>107</v>
      </c>
      <c r="B114" s="682"/>
      <c r="C114" s="59" t="str">
        <f t="shared" si="3"/>
        <v>预交国税机关地址</v>
      </c>
      <c r="D114" s="23"/>
      <c r="E114" s="23"/>
      <c r="F114" s="23"/>
      <c r="G114" s="23"/>
      <c r="H114" s="23"/>
      <c r="I114" s="23"/>
      <c r="J114" s="23"/>
      <c r="K114" s="41"/>
      <c r="L114" s="36" t="s">
        <v>140</v>
      </c>
      <c r="M114" s="23"/>
      <c r="N114" s="23"/>
      <c r="O114" s="23"/>
      <c r="P114" s="23"/>
      <c r="Q114" s="23"/>
      <c r="R114" s="23"/>
      <c r="S114" s="23"/>
      <c r="T114" s="23"/>
      <c r="U114" s="683"/>
      <c r="V114" s="682"/>
      <c r="W114" s="684"/>
      <c r="X114" s="685"/>
      <c r="Y114" s="250" t="s">
        <v>16</v>
      </c>
      <c r="Z114" s="251"/>
      <c r="AA114" s="251"/>
      <c r="AB114" s="251"/>
      <c r="AC114" s="252"/>
      <c r="AD114" s="253">
        <v>100</v>
      </c>
      <c r="AE114" s="254"/>
      <c r="AF114" s="253">
        <v>0</v>
      </c>
      <c r="AG114" s="254"/>
      <c r="AH114" s="42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41"/>
      <c r="BB114" s="23"/>
      <c r="BC114" s="23"/>
      <c r="BD114" s="23"/>
      <c r="BE114" s="23"/>
      <c r="BF114" s="23"/>
      <c r="BG114" s="43"/>
      <c r="BK114" s="64" t="s">
        <v>100</v>
      </c>
      <c r="BL114" s="52" t="s">
        <v>562</v>
      </c>
    </row>
    <row r="115" spans="1:64">
      <c r="A115" s="681">
        <v>108</v>
      </c>
      <c r="B115" s="682"/>
      <c r="C115" s="59" t="str">
        <f t="shared" si="3"/>
        <v>项目部通讯地址</v>
      </c>
      <c r="D115" s="23"/>
      <c r="E115" s="23"/>
      <c r="F115" s="23"/>
      <c r="G115" s="23"/>
      <c r="H115" s="23"/>
      <c r="I115" s="23"/>
      <c r="J115" s="23"/>
      <c r="K115" s="41"/>
      <c r="L115" s="36" t="s">
        <v>141</v>
      </c>
      <c r="M115" s="23"/>
      <c r="N115" s="23"/>
      <c r="O115" s="23"/>
      <c r="P115" s="23"/>
      <c r="Q115" s="23"/>
      <c r="R115" s="23"/>
      <c r="S115" s="23"/>
      <c r="T115" s="23"/>
      <c r="U115" s="683"/>
      <c r="V115" s="682"/>
      <c r="W115" s="684"/>
      <c r="X115" s="685"/>
      <c r="Y115" s="250" t="s">
        <v>16</v>
      </c>
      <c r="Z115" s="251"/>
      <c r="AA115" s="251"/>
      <c r="AB115" s="251"/>
      <c r="AC115" s="252"/>
      <c r="AD115" s="253">
        <v>100</v>
      </c>
      <c r="AE115" s="254"/>
      <c r="AF115" s="253">
        <v>0</v>
      </c>
      <c r="AG115" s="254"/>
      <c r="AH115" s="42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41"/>
      <c r="BB115" s="23"/>
      <c r="BC115" s="23"/>
      <c r="BD115" s="23"/>
      <c r="BE115" s="23"/>
      <c r="BF115" s="23"/>
      <c r="BG115" s="43"/>
      <c r="BK115" s="64" t="s">
        <v>101</v>
      </c>
      <c r="BL115" s="52" t="s">
        <v>563</v>
      </c>
    </row>
    <row r="116" spans="1:64">
      <c r="A116" s="681">
        <v>109</v>
      </c>
      <c r="B116" s="682"/>
      <c r="C116" s="59" t="str">
        <f t="shared" si="3"/>
        <v>项目部邮编</v>
      </c>
      <c r="D116" s="23"/>
      <c r="E116" s="23"/>
      <c r="F116" s="23"/>
      <c r="G116" s="23"/>
      <c r="H116" s="23"/>
      <c r="I116" s="23"/>
      <c r="J116" s="23"/>
      <c r="K116" s="41"/>
      <c r="L116" s="36" t="s">
        <v>142</v>
      </c>
      <c r="M116" s="23"/>
      <c r="N116" s="23"/>
      <c r="O116" s="23"/>
      <c r="P116" s="23"/>
      <c r="Q116" s="23"/>
      <c r="R116" s="23"/>
      <c r="S116" s="23"/>
      <c r="T116" s="23"/>
      <c r="U116" s="683"/>
      <c r="V116" s="682"/>
      <c r="W116" s="684"/>
      <c r="X116" s="685"/>
      <c r="Y116" s="250" t="s">
        <v>16</v>
      </c>
      <c r="Z116" s="251"/>
      <c r="AA116" s="251"/>
      <c r="AB116" s="251"/>
      <c r="AC116" s="252"/>
      <c r="AD116" s="253">
        <v>100</v>
      </c>
      <c r="AE116" s="254"/>
      <c r="AF116" s="253">
        <v>0</v>
      </c>
      <c r="AG116" s="254"/>
      <c r="AH116" s="42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41"/>
      <c r="BB116" s="23"/>
      <c r="BC116" s="23"/>
      <c r="BD116" s="23"/>
      <c r="BE116" s="23"/>
      <c r="BF116" s="23"/>
      <c r="BG116" s="43"/>
      <c r="BK116" s="64" t="s">
        <v>99</v>
      </c>
      <c r="BL116" s="51" t="s">
        <v>249</v>
      </c>
    </row>
    <row r="117" spans="1:64">
      <c r="A117" s="681">
        <v>110</v>
      </c>
      <c r="B117" s="682"/>
      <c r="C117" s="59" t="str">
        <f t="shared" si="3"/>
        <v>项目部电话</v>
      </c>
      <c r="D117" s="23"/>
      <c r="E117" s="23"/>
      <c r="F117" s="23"/>
      <c r="G117" s="23"/>
      <c r="H117" s="23"/>
      <c r="I117" s="23"/>
      <c r="J117" s="23"/>
      <c r="K117" s="41"/>
      <c r="L117" s="36" t="s">
        <v>143</v>
      </c>
      <c r="M117" s="23"/>
      <c r="N117" s="23"/>
      <c r="O117" s="23"/>
      <c r="P117" s="23"/>
      <c r="Q117" s="23"/>
      <c r="R117" s="23"/>
      <c r="S117" s="23"/>
      <c r="T117" s="23"/>
      <c r="U117" s="683"/>
      <c r="V117" s="682"/>
      <c r="W117" s="684"/>
      <c r="X117" s="685"/>
      <c r="Y117" s="250" t="s">
        <v>16</v>
      </c>
      <c r="Z117" s="251"/>
      <c r="AA117" s="251"/>
      <c r="AB117" s="251"/>
      <c r="AC117" s="252"/>
      <c r="AD117" s="253">
        <v>100</v>
      </c>
      <c r="AE117" s="254"/>
      <c r="AF117" s="253">
        <v>0</v>
      </c>
      <c r="AG117" s="254"/>
      <c r="AH117" s="42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41"/>
      <c r="BB117" s="23"/>
      <c r="BC117" s="23"/>
      <c r="BD117" s="23"/>
      <c r="BE117" s="23"/>
      <c r="BF117" s="23"/>
      <c r="BG117" s="43"/>
      <c r="BK117" s="64" t="s">
        <v>104</v>
      </c>
      <c r="BL117" s="51" t="s">
        <v>250</v>
      </c>
    </row>
    <row r="118" spans="1:64">
      <c r="A118" s="681">
        <v>111</v>
      </c>
      <c r="B118" s="682"/>
      <c r="C118" s="59" t="str">
        <f t="shared" si="3"/>
        <v>项目部传真</v>
      </c>
      <c r="D118" s="23"/>
      <c r="E118" s="23"/>
      <c r="F118" s="23"/>
      <c r="G118" s="23"/>
      <c r="H118" s="23"/>
      <c r="I118" s="23"/>
      <c r="J118" s="23"/>
      <c r="K118" s="41"/>
      <c r="L118" s="36" t="s">
        <v>144</v>
      </c>
      <c r="M118" s="23"/>
      <c r="N118" s="23"/>
      <c r="O118" s="23"/>
      <c r="P118" s="23"/>
      <c r="Q118" s="23"/>
      <c r="R118" s="23"/>
      <c r="S118" s="23"/>
      <c r="T118" s="23"/>
      <c r="U118" s="683"/>
      <c r="V118" s="682"/>
      <c r="W118" s="684"/>
      <c r="X118" s="685"/>
      <c r="Y118" s="250" t="s">
        <v>16</v>
      </c>
      <c r="Z118" s="251"/>
      <c r="AA118" s="251"/>
      <c r="AB118" s="251"/>
      <c r="AC118" s="252"/>
      <c r="AD118" s="253">
        <v>100</v>
      </c>
      <c r="AE118" s="254"/>
      <c r="AF118" s="253">
        <v>0</v>
      </c>
      <c r="AG118" s="254"/>
      <c r="AH118" s="42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41"/>
      <c r="BB118" s="23"/>
      <c r="BC118" s="23"/>
      <c r="BD118" s="23"/>
      <c r="BE118" s="23"/>
      <c r="BF118" s="23"/>
      <c r="BG118" s="43"/>
      <c r="BK118" s="64" t="s">
        <v>31</v>
      </c>
      <c r="BL118" s="52" t="s">
        <v>31</v>
      </c>
    </row>
    <row r="119" spans="1:64">
      <c r="A119" s="681">
        <v>112</v>
      </c>
      <c r="B119" s="682"/>
      <c r="C119" s="59" t="str">
        <f t="shared" si="3"/>
        <v>项目阶段</v>
      </c>
      <c r="D119" s="23"/>
      <c r="E119" s="23"/>
      <c r="F119" s="23"/>
      <c r="G119" s="23"/>
      <c r="H119" s="23"/>
      <c r="I119" s="23"/>
      <c r="J119" s="23"/>
      <c r="K119" s="41"/>
      <c r="L119" s="36" t="s">
        <v>145</v>
      </c>
      <c r="M119" s="23"/>
      <c r="N119" s="23"/>
      <c r="O119" s="23"/>
      <c r="P119" s="23"/>
      <c r="Q119" s="23"/>
      <c r="R119" s="23"/>
      <c r="S119" s="23"/>
      <c r="T119" s="23"/>
      <c r="U119" s="683"/>
      <c r="V119" s="682"/>
      <c r="W119" s="684"/>
      <c r="X119" s="685"/>
      <c r="Y119" s="250" t="s">
        <v>16</v>
      </c>
      <c r="Z119" s="251"/>
      <c r="AA119" s="251"/>
      <c r="AB119" s="251"/>
      <c r="AC119" s="252"/>
      <c r="AD119" s="253">
        <v>100</v>
      </c>
      <c r="AE119" s="254"/>
      <c r="AF119" s="253">
        <v>0</v>
      </c>
      <c r="AG119" s="254"/>
      <c r="AH119" s="42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41"/>
      <c r="BB119" s="23"/>
      <c r="BC119" s="23"/>
      <c r="BD119" s="23"/>
      <c r="BE119" s="23"/>
      <c r="BF119" s="23"/>
      <c r="BG119" s="43"/>
      <c r="BK119" s="64" t="s">
        <v>68</v>
      </c>
      <c r="BL119" s="52" t="s">
        <v>1444</v>
      </c>
    </row>
    <row r="120" spans="1:64" ht="16.2" thickBot="1">
      <c r="A120" s="681">
        <v>113</v>
      </c>
      <c r="B120" s="682"/>
      <c r="C120" s="59" t="str">
        <f t="shared" si="3"/>
        <v>项目经理固话</v>
      </c>
      <c r="D120" s="23"/>
      <c r="E120" s="23"/>
      <c r="F120" s="23"/>
      <c r="G120" s="23"/>
      <c r="H120" s="23"/>
      <c r="I120" s="23"/>
      <c r="J120" s="23"/>
      <c r="K120" s="41"/>
      <c r="L120" s="36" t="s">
        <v>146</v>
      </c>
      <c r="M120" s="23"/>
      <c r="N120" s="23"/>
      <c r="O120" s="23"/>
      <c r="P120" s="23"/>
      <c r="Q120" s="23"/>
      <c r="R120" s="23"/>
      <c r="S120" s="23"/>
      <c r="T120" s="23"/>
      <c r="U120" s="683"/>
      <c r="V120" s="682"/>
      <c r="W120" s="684"/>
      <c r="X120" s="685"/>
      <c r="Y120" s="250" t="s">
        <v>16</v>
      </c>
      <c r="Z120" s="251"/>
      <c r="AA120" s="251"/>
      <c r="AB120" s="251"/>
      <c r="AC120" s="252"/>
      <c r="AD120" s="253">
        <v>100</v>
      </c>
      <c r="AE120" s="254"/>
      <c r="AF120" s="253">
        <v>0</v>
      </c>
      <c r="AG120" s="254"/>
      <c r="AH120" s="42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41"/>
      <c r="BB120" s="45"/>
      <c r="BC120" s="45"/>
      <c r="BD120" s="45"/>
      <c r="BE120" s="45"/>
      <c r="BF120" s="45"/>
      <c r="BG120" s="47"/>
      <c r="BK120" s="64" t="s">
        <v>39</v>
      </c>
      <c r="BL120" s="52" t="s">
        <v>53</v>
      </c>
    </row>
    <row r="121" spans="1:64">
      <c r="A121" s="681">
        <v>114</v>
      </c>
      <c r="B121" s="682"/>
      <c r="C121" s="59" t="str">
        <f t="shared" si="3"/>
        <v>项目经理邮箱</v>
      </c>
      <c r="D121" s="23"/>
      <c r="E121" s="23"/>
      <c r="F121" s="23"/>
      <c r="G121" s="23"/>
      <c r="H121" s="23"/>
      <c r="I121" s="23"/>
      <c r="J121" s="23"/>
      <c r="K121" s="41"/>
      <c r="L121" s="36" t="s">
        <v>147</v>
      </c>
      <c r="M121" s="23"/>
      <c r="N121" s="23"/>
      <c r="O121" s="23"/>
      <c r="P121" s="23"/>
      <c r="Q121" s="23"/>
      <c r="R121" s="23"/>
      <c r="S121" s="23"/>
      <c r="T121" s="23"/>
      <c r="U121" s="683"/>
      <c r="V121" s="682"/>
      <c r="W121" s="684"/>
      <c r="X121" s="685"/>
      <c r="Y121" s="250" t="s">
        <v>16</v>
      </c>
      <c r="Z121" s="251"/>
      <c r="AA121" s="251"/>
      <c r="AB121" s="251"/>
      <c r="AC121" s="252"/>
      <c r="AD121" s="253">
        <v>100</v>
      </c>
      <c r="AE121" s="254"/>
      <c r="AF121" s="253">
        <v>0</v>
      </c>
      <c r="AG121" s="254"/>
      <c r="AH121" s="42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41"/>
      <c r="BK121" s="64" t="s">
        <v>59</v>
      </c>
      <c r="BL121" s="52" t="s">
        <v>254</v>
      </c>
    </row>
    <row r="122" spans="1:64">
      <c r="A122" s="681">
        <v>115</v>
      </c>
      <c r="B122" s="682"/>
      <c r="C122" s="59" t="str">
        <f t="shared" si="3"/>
        <v>财务负责人</v>
      </c>
      <c r="D122" s="23"/>
      <c r="E122" s="23"/>
      <c r="F122" s="23"/>
      <c r="G122" s="23"/>
      <c r="H122" s="23"/>
      <c r="I122" s="23"/>
      <c r="J122" s="23"/>
      <c r="K122" s="41"/>
      <c r="L122" s="36" t="s">
        <v>148</v>
      </c>
      <c r="M122" s="23"/>
      <c r="N122" s="23"/>
      <c r="O122" s="23"/>
      <c r="P122" s="23"/>
      <c r="Q122" s="23"/>
      <c r="R122" s="23"/>
      <c r="S122" s="23"/>
      <c r="T122" s="23"/>
      <c r="U122" s="683"/>
      <c r="V122" s="682"/>
      <c r="W122" s="684"/>
      <c r="X122" s="685"/>
      <c r="Y122" s="250" t="s">
        <v>16</v>
      </c>
      <c r="Z122" s="251"/>
      <c r="AA122" s="251"/>
      <c r="AB122" s="251"/>
      <c r="AC122" s="252"/>
      <c r="AD122" s="253">
        <v>100</v>
      </c>
      <c r="AE122" s="254"/>
      <c r="AF122" s="253">
        <v>0</v>
      </c>
      <c r="AG122" s="254"/>
      <c r="AH122" s="42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41"/>
      <c r="BK122" s="64" t="s">
        <v>28</v>
      </c>
      <c r="BL122" s="52" t="s">
        <v>28</v>
      </c>
    </row>
    <row r="123" spans="1:64">
      <c r="A123" s="681">
        <v>116</v>
      </c>
      <c r="B123" s="682"/>
      <c r="C123" s="59" t="str">
        <f t="shared" si="3"/>
        <v>财务负责人手机</v>
      </c>
      <c r="D123" s="23"/>
      <c r="E123" s="23"/>
      <c r="F123" s="23"/>
      <c r="G123" s="23"/>
      <c r="H123" s="23"/>
      <c r="I123" s="23"/>
      <c r="J123" s="23"/>
      <c r="K123" s="41"/>
      <c r="L123" s="267" t="s">
        <v>149</v>
      </c>
      <c r="M123" s="23"/>
      <c r="N123" s="23"/>
      <c r="O123" s="23"/>
      <c r="P123" s="23"/>
      <c r="Q123" s="23"/>
      <c r="R123" s="23"/>
      <c r="S123" s="23"/>
      <c r="T123" s="23"/>
      <c r="U123" s="683"/>
      <c r="V123" s="682"/>
      <c r="W123" s="683"/>
      <c r="X123" s="682"/>
      <c r="Y123" s="253" t="s">
        <v>16</v>
      </c>
      <c r="Z123" s="255"/>
      <c r="AA123" s="255"/>
      <c r="AB123" s="255"/>
      <c r="AC123" s="254"/>
      <c r="AD123" s="253">
        <v>100</v>
      </c>
      <c r="AE123" s="254"/>
      <c r="AF123" s="253">
        <v>0</v>
      </c>
      <c r="AG123" s="254"/>
      <c r="AH123" s="42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41"/>
      <c r="BK123" s="64" t="s">
        <v>27</v>
      </c>
      <c r="BL123" s="52" t="s">
        <v>255</v>
      </c>
    </row>
    <row r="124" spans="1:64">
      <c r="A124" s="681">
        <v>117</v>
      </c>
      <c r="B124" s="682"/>
      <c r="C124" s="59" t="str">
        <f t="shared" si="3"/>
        <v>财务负责人固话</v>
      </c>
      <c r="D124" s="23"/>
      <c r="E124" s="23"/>
      <c r="F124" s="23"/>
      <c r="G124" s="23"/>
      <c r="H124" s="23"/>
      <c r="I124" s="23"/>
      <c r="J124" s="23"/>
      <c r="K124" s="41"/>
      <c r="L124" s="267" t="s">
        <v>150</v>
      </c>
      <c r="M124" s="23"/>
      <c r="N124" s="23"/>
      <c r="O124" s="23"/>
      <c r="P124" s="23"/>
      <c r="Q124" s="23"/>
      <c r="R124" s="23"/>
      <c r="S124" s="23"/>
      <c r="T124" s="23"/>
      <c r="U124" s="683"/>
      <c r="V124" s="682"/>
      <c r="W124" s="683"/>
      <c r="X124" s="682"/>
      <c r="Y124" s="253" t="s">
        <v>16</v>
      </c>
      <c r="Z124" s="255"/>
      <c r="AA124" s="255"/>
      <c r="AB124" s="255"/>
      <c r="AC124" s="254"/>
      <c r="AD124" s="253">
        <v>100</v>
      </c>
      <c r="AE124" s="254"/>
      <c r="AF124" s="253">
        <v>0</v>
      </c>
      <c r="AG124" s="254"/>
      <c r="AH124" s="42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41"/>
      <c r="BK124" s="64" t="s">
        <v>33</v>
      </c>
      <c r="BL124" s="52" t="s">
        <v>52</v>
      </c>
    </row>
    <row r="125" spans="1:64">
      <c r="A125" s="681">
        <v>118</v>
      </c>
      <c r="B125" s="682"/>
      <c r="C125" s="59" t="str">
        <f t="shared" si="3"/>
        <v>财务负责人邮箱</v>
      </c>
      <c r="D125" s="23"/>
      <c r="E125" s="23"/>
      <c r="F125" s="23"/>
      <c r="G125" s="23"/>
      <c r="H125" s="23"/>
      <c r="I125" s="23"/>
      <c r="J125" s="23"/>
      <c r="K125" s="41"/>
      <c r="L125" s="36" t="s">
        <v>151</v>
      </c>
      <c r="M125" s="23"/>
      <c r="N125" s="23"/>
      <c r="O125" s="23"/>
      <c r="P125" s="23"/>
      <c r="Q125" s="23"/>
      <c r="R125" s="23"/>
      <c r="S125" s="23"/>
      <c r="T125" s="23"/>
      <c r="U125" s="683"/>
      <c r="V125" s="682"/>
      <c r="W125" s="684"/>
      <c r="X125" s="685"/>
      <c r="Y125" s="250" t="s">
        <v>16</v>
      </c>
      <c r="Z125" s="251"/>
      <c r="AA125" s="251"/>
      <c r="AB125" s="251"/>
      <c r="AC125" s="252"/>
      <c r="AD125" s="253">
        <v>100</v>
      </c>
      <c r="AE125" s="254"/>
      <c r="AF125" s="253">
        <v>0</v>
      </c>
      <c r="AG125" s="254"/>
      <c r="AH125" s="42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41"/>
      <c r="BB125" s="23"/>
      <c r="BC125" s="23"/>
      <c r="BD125" s="23"/>
      <c r="BE125" s="23"/>
      <c r="BF125" s="23"/>
      <c r="BG125" s="43"/>
      <c r="BK125" s="64" t="s">
        <v>46</v>
      </c>
      <c r="BL125" s="51" t="s">
        <v>271</v>
      </c>
    </row>
    <row r="126" spans="1:64">
      <c r="A126" s="681">
        <v>119</v>
      </c>
      <c r="B126" s="682"/>
      <c r="C126" s="59" t="str">
        <f t="shared" si="3"/>
        <v>合约负责人</v>
      </c>
      <c r="D126" s="23"/>
      <c r="E126" s="23"/>
      <c r="F126" s="23"/>
      <c r="G126" s="23"/>
      <c r="H126" s="23"/>
      <c r="I126" s="23"/>
      <c r="J126" s="23"/>
      <c r="K126" s="41"/>
      <c r="L126" s="36" t="s">
        <v>152</v>
      </c>
      <c r="M126" s="23"/>
      <c r="N126" s="23"/>
      <c r="O126" s="23"/>
      <c r="P126" s="23"/>
      <c r="Q126" s="23"/>
      <c r="R126" s="23"/>
      <c r="S126" s="23"/>
      <c r="T126" s="23"/>
      <c r="U126" s="683"/>
      <c r="V126" s="682"/>
      <c r="W126" s="684"/>
      <c r="X126" s="685"/>
      <c r="Y126" s="250" t="s">
        <v>16</v>
      </c>
      <c r="Z126" s="251"/>
      <c r="AA126" s="251"/>
      <c r="AB126" s="251"/>
      <c r="AC126" s="252"/>
      <c r="AD126" s="253">
        <v>100</v>
      </c>
      <c r="AE126" s="254"/>
      <c r="AF126" s="253">
        <v>0</v>
      </c>
      <c r="AG126" s="254"/>
      <c r="AH126" s="42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41"/>
      <c r="BB126" s="23"/>
      <c r="BC126" s="23"/>
      <c r="BD126" s="23"/>
      <c r="BE126" s="23"/>
      <c r="BF126" s="23"/>
      <c r="BG126" s="43"/>
      <c r="BK126" s="64" t="s">
        <v>84</v>
      </c>
      <c r="BL126" s="51" t="s">
        <v>561</v>
      </c>
    </row>
    <row r="127" spans="1:64">
      <c r="A127" s="681">
        <v>120</v>
      </c>
      <c r="B127" s="682"/>
      <c r="C127" s="59" t="str">
        <f t="shared" si="3"/>
        <v>合约负责人手机</v>
      </c>
      <c r="D127" s="23"/>
      <c r="E127" s="23"/>
      <c r="F127" s="23"/>
      <c r="G127" s="23"/>
      <c r="H127" s="23"/>
      <c r="I127" s="23"/>
      <c r="J127" s="23"/>
      <c r="K127" s="41"/>
      <c r="L127" s="36" t="s">
        <v>153</v>
      </c>
      <c r="M127" s="23"/>
      <c r="N127" s="23"/>
      <c r="O127" s="23"/>
      <c r="P127" s="23"/>
      <c r="Q127" s="23"/>
      <c r="R127" s="23"/>
      <c r="S127" s="23"/>
      <c r="T127" s="23"/>
      <c r="U127" s="683"/>
      <c r="V127" s="682"/>
      <c r="W127" s="684"/>
      <c r="X127" s="685"/>
      <c r="Y127" s="250" t="s">
        <v>16</v>
      </c>
      <c r="Z127" s="251"/>
      <c r="AA127" s="251"/>
      <c r="AB127" s="251"/>
      <c r="AC127" s="252"/>
      <c r="AD127" s="253">
        <v>100</v>
      </c>
      <c r="AE127" s="254"/>
      <c r="AF127" s="253">
        <v>0</v>
      </c>
      <c r="AG127" s="254"/>
      <c r="AH127" s="42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41"/>
      <c r="BB127" s="23"/>
      <c r="BC127" s="23"/>
      <c r="BD127" s="23"/>
      <c r="BE127" s="23"/>
      <c r="BF127" s="23"/>
      <c r="BG127" s="43"/>
      <c r="BK127" s="64" t="s">
        <v>63</v>
      </c>
      <c r="BL127" s="51" t="s">
        <v>274</v>
      </c>
    </row>
    <row r="128" spans="1:64">
      <c r="A128" s="681">
        <v>121</v>
      </c>
      <c r="B128" s="682"/>
      <c r="C128" s="59" t="str">
        <f t="shared" si="3"/>
        <v>合约负责人固话</v>
      </c>
      <c r="D128" s="23"/>
      <c r="E128" s="23"/>
      <c r="F128" s="23"/>
      <c r="G128" s="23"/>
      <c r="H128" s="23"/>
      <c r="I128" s="23"/>
      <c r="J128" s="23"/>
      <c r="K128" s="41"/>
      <c r="L128" s="36" t="s">
        <v>154</v>
      </c>
      <c r="M128" s="23"/>
      <c r="N128" s="23"/>
      <c r="O128" s="23"/>
      <c r="P128" s="23"/>
      <c r="Q128" s="23"/>
      <c r="R128" s="23"/>
      <c r="S128" s="23"/>
      <c r="T128" s="23"/>
      <c r="U128" s="683"/>
      <c r="V128" s="682"/>
      <c r="W128" s="684"/>
      <c r="X128" s="685"/>
      <c r="Y128" s="250" t="s">
        <v>16</v>
      </c>
      <c r="Z128" s="251"/>
      <c r="AA128" s="251"/>
      <c r="AB128" s="251"/>
      <c r="AC128" s="252"/>
      <c r="AD128" s="253">
        <v>100</v>
      </c>
      <c r="AE128" s="254"/>
      <c r="AF128" s="253">
        <v>0</v>
      </c>
      <c r="AG128" s="254"/>
      <c r="AH128" s="42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41"/>
      <c r="BB128" s="23"/>
      <c r="BC128" s="23"/>
      <c r="BD128" s="23"/>
      <c r="BE128" s="23"/>
      <c r="BF128" s="23"/>
      <c r="BG128" s="43"/>
      <c r="BK128" s="64" t="s">
        <v>85</v>
      </c>
      <c r="BL128" s="52" t="s">
        <v>269</v>
      </c>
    </row>
    <row r="129" spans="1:64">
      <c r="A129" s="681">
        <v>122</v>
      </c>
      <c r="B129" s="682"/>
      <c r="C129" s="59" t="str">
        <f t="shared" si="3"/>
        <v>合约负责人邮箱</v>
      </c>
      <c r="D129" s="23"/>
      <c r="E129" s="23"/>
      <c r="F129" s="23"/>
      <c r="G129" s="23"/>
      <c r="H129" s="23"/>
      <c r="I129" s="23"/>
      <c r="J129" s="23"/>
      <c r="K129" s="41"/>
      <c r="L129" s="36" t="s">
        <v>155</v>
      </c>
      <c r="M129" s="23"/>
      <c r="N129" s="23"/>
      <c r="O129" s="23"/>
      <c r="P129" s="23"/>
      <c r="Q129" s="23"/>
      <c r="R129" s="23"/>
      <c r="S129" s="23"/>
      <c r="T129" s="23"/>
      <c r="U129" s="683"/>
      <c r="V129" s="682"/>
      <c r="W129" s="684"/>
      <c r="X129" s="685"/>
      <c r="Y129" s="250" t="s">
        <v>16</v>
      </c>
      <c r="Z129" s="251"/>
      <c r="AA129" s="251"/>
      <c r="AB129" s="251"/>
      <c r="AC129" s="252"/>
      <c r="AD129" s="253">
        <v>100</v>
      </c>
      <c r="AE129" s="254"/>
      <c r="AF129" s="253">
        <v>0</v>
      </c>
      <c r="AG129" s="254"/>
      <c r="AH129" s="42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41"/>
      <c r="BB129" s="23"/>
      <c r="BC129" s="23"/>
      <c r="BD129" s="23"/>
      <c r="BE129" s="23"/>
      <c r="BF129" s="23"/>
      <c r="BG129" s="43"/>
      <c r="BK129" s="64" t="s">
        <v>94</v>
      </c>
      <c r="BL129" s="52" t="s">
        <v>270</v>
      </c>
    </row>
    <row r="130" spans="1:64">
      <c r="A130" s="681">
        <v>123</v>
      </c>
      <c r="B130" s="682"/>
      <c r="C130" s="59" t="str">
        <f t="shared" si="3"/>
        <v>债权清收负责人</v>
      </c>
      <c r="D130" s="23"/>
      <c r="E130" s="23"/>
      <c r="F130" s="23"/>
      <c r="G130" s="23"/>
      <c r="H130" s="23"/>
      <c r="I130" s="23"/>
      <c r="J130" s="23"/>
      <c r="K130" s="41"/>
      <c r="L130" s="36" t="s">
        <v>156</v>
      </c>
      <c r="M130" s="23"/>
      <c r="N130" s="23"/>
      <c r="O130" s="23"/>
      <c r="P130" s="23"/>
      <c r="Q130" s="23"/>
      <c r="R130" s="23"/>
      <c r="S130" s="23"/>
      <c r="T130" s="23"/>
      <c r="U130" s="683"/>
      <c r="V130" s="682"/>
      <c r="W130" s="684"/>
      <c r="X130" s="685"/>
      <c r="Y130" s="250" t="s">
        <v>16</v>
      </c>
      <c r="Z130" s="251"/>
      <c r="AA130" s="251"/>
      <c r="AB130" s="251"/>
      <c r="AC130" s="252"/>
      <c r="AD130" s="253">
        <v>100</v>
      </c>
      <c r="AE130" s="254"/>
      <c r="AF130" s="253">
        <v>0</v>
      </c>
      <c r="AG130" s="254"/>
      <c r="AH130" s="42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41"/>
      <c r="BB130" s="23"/>
      <c r="BC130" s="23"/>
      <c r="BD130" s="23"/>
      <c r="BE130" s="23"/>
      <c r="BF130" s="23"/>
      <c r="BG130" s="43"/>
      <c r="BK130" s="64" t="s">
        <v>45</v>
      </c>
      <c r="BL130" s="52" t="s">
        <v>1446</v>
      </c>
    </row>
    <row r="131" spans="1:64">
      <c r="A131" s="681">
        <v>124</v>
      </c>
      <c r="B131" s="682"/>
      <c r="C131" s="59" t="str">
        <f t="shared" si="3"/>
        <v>债权清收负责人手机</v>
      </c>
      <c r="D131" s="23"/>
      <c r="E131" s="23"/>
      <c r="F131" s="23"/>
      <c r="G131" s="23"/>
      <c r="H131" s="23"/>
      <c r="I131" s="23"/>
      <c r="J131" s="23"/>
      <c r="K131" s="41"/>
      <c r="L131" s="36" t="s">
        <v>157</v>
      </c>
      <c r="M131" s="23"/>
      <c r="N131" s="23"/>
      <c r="O131" s="23"/>
      <c r="P131" s="23"/>
      <c r="Q131" s="23"/>
      <c r="R131" s="23"/>
      <c r="S131" s="23"/>
      <c r="T131" s="23"/>
      <c r="U131" s="683"/>
      <c r="V131" s="682"/>
      <c r="W131" s="684"/>
      <c r="X131" s="685"/>
      <c r="Y131" s="250" t="s">
        <v>16</v>
      </c>
      <c r="Z131" s="251"/>
      <c r="AA131" s="251"/>
      <c r="AB131" s="251"/>
      <c r="AC131" s="252"/>
      <c r="AD131" s="253">
        <v>100</v>
      </c>
      <c r="AE131" s="254"/>
      <c r="AF131" s="253">
        <v>0</v>
      </c>
      <c r="AG131" s="254"/>
      <c r="AH131" s="42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41"/>
      <c r="BB131" s="23"/>
      <c r="BC131" s="23"/>
      <c r="BD131" s="23"/>
      <c r="BE131" s="23"/>
      <c r="BF131" s="23"/>
      <c r="BG131" s="43"/>
      <c r="BK131" s="64" t="s">
        <v>69</v>
      </c>
      <c r="BL131" s="52" t="s">
        <v>69</v>
      </c>
    </row>
    <row r="132" spans="1:64">
      <c r="A132" s="681">
        <v>125</v>
      </c>
      <c r="B132" s="682"/>
      <c r="C132" s="59" t="str">
        <f t="shared" si="3"/>
        <v>债权清收负责人固话</v>
      </c>
      <c r="D132" s="23"/>
      <c r="E132" s="23"/>
      <c r="F132" s="23"/>
      <c r="G132" s="23"/>
      <c r="H132" s="23"/>
      <c r="I132" s="23"/>
      <c r="J132" s="23"/>
      <c r="K132" s="41"/>
      <c r="L132" s="36" t="s">
        <v>158</v>
      </c>
      <c r="M132" s="23"/>
      <c r="N132" s="23"/>
      <c r="O132" s="23"/>
      <c r="P132" s="23"/>
      <c r="Q132" s="23"/>
      <c r="R132" s="23"/>
      <c r="S132" s="23"/>
      <c r="T132" s="23"/>
      <c r="U132" s="683"/>
      <c r="V132" s="682"/>
      <c r="W132" s="684"/>
      <c r="X132" s="685"/>
      <c r="Y132" s="250" t="s">
        <v>16</v>
      </c>
      <c r="Z132" s="251"/>
      <c r="AA132" s="251"/>
      <c r="AB132" s="251"/>
      <c r="AC132" s="252"/>
      <c r="AD132" s="253">
        <v>100</v>
      </c>
      <c r="AE132" s="254"/>
      <c r="AF132" s="253">
        <v>0</v>
      </c>
      <c r="AG132" s="254"/>
      <c r="AH132" s="42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41"/>
      <c r="BB132" s="23"/>
      <c r="BC132" s="23"/>
      <c r="BD132" s="23"/>
      <c r="BE132" s="23"/>
      <c r="BF132" s="23"/>
      <c r="BG132" s="43"/>
      <c r="BK132" s="64" t="s">
        <v>72</v>
      </c>
      <c r="BL132" s="52" t="s">
        <v>220</v>
      </c>
    </row>
    <row r="133" spans="1:64">
      <c r="A133" s="681">
        <v>126</v>
      </c>
      <c r="B133" s="682"/>
      <c r="C133" s="59" t="str">
        <f t="shared" si="3"/>
        <v>债权清收负责人邮箱</v>
      </c>
      <c r="D133" s="23"/>
      <c r="E133" s="23"/>
      <c r="F133" s="23"/>
      <c r="G133" s="23"/>
      <c r="H133" s="23"/>
      <c r="I133" s="23"/>
      <c r="J133" s="23"/>
      <c r="K133" s="41"/>
      <c r="L133" s="36" t="s">
        <v>159</v>
      </c>
      <c r="M133" s="23"/>
      <c r="N133" s="23"/>
      <c r="O133" s="23"/>
      <c r="P133" s="23"/>
      <c r="Q133" s="23"/>
      <c r="R133" s="23"/>
      <c r="S133" s="23"/>
      <c r="T133" s="23"/>
      <c r="U133" s="683"/>
      <c r="V133" s="682"/>
      <c r="W133" s="684"/>
      <c r="X133" s="685"/>
      <c r="Y133" s="250" t="s">
        <v>16</v>
      </c>
      <c r="Z133" s="251"/>
      <c r="AA133" s="251"/>
      <c r="AB133" s="251"/>
      <c r="AC133" s="252"/>
      <c r="AD133" s="253">
        <v>100</v>
      </c>
      <c r="AE133" s="254"/>
      <c r="AF133" s="253">
        <v>0</v>
      </c>
      <c r="AG133" s="254"/>
      <c r="AH133" s="42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41"/>
      <c r="BB133" s="23"/>
      <c r="BC133" s="23"/>
      <c r="BD133" s="23"/>
      <c r="BE133" s="23"/>
      <c r="BF133" s="23"/>
      <c r="BG133" s="43"/>
      <c r="BK133" s="64" t="s">
        <v>40</v>
      </c>
      <c r="BL133" s="52" t="s">
        <v>556</v>
      </c>
    </row>
    <row r="134" spans="1:64">
      <c r="A134" s="681">
        <v>127</v>
      </c>
      <c r="B134" s="682"/>
      <c r="C134" s="414" t="str">
        <f t="shared" si="3"/>
        <v>创建时间</v>
      </c>
      <c r="D134" s="415"/>
      <c r="E134" s="415"/>
      <c r="F134" s="415"/>
      <c r="G134" s="415"/>
      <c r="H134" s="415"/>
      <c r="I134" s="415"/>
      <c r="J134" s="415"/>
      <c r="K134" s="416"/>
      <c r="L134" s="36" t="s">
        <v>160</v>
      </c>
      <c r="M134" s="23"/>
      <c r="N134" s="23"/>
      <c r="O134" s="23"/>
      <c r="P134" s="23"/>
      <c r="Q134" s="23"/>
      <c r="R134" s="23"/>
      <c r="S134" s="23"/>
      <c r="T134" s="23"/>
      <c r="U134" s="683"/>
      <c r="V134" s="682"/>
      <c r="W134" s="684"/>
      <c r="X134" s="685"/>
      <c r="Y134" s="250" t="s">
        <v>17</v>
      </c>
      <c r="Z134" s="251"/>
      <c r="AA134" s="251"/>
      <c r="AB134" s="251"/>
      <c r="AC134" s="252"/>
      <c r="AD134" s="253"/>
      <c r="AE134" s="254"/>
      <c r="AF134" s="253"/>
      <c r="AG134" s="254"/>
      <c r="AH134" s="330" t="s">
        <v>1272</v>
      </c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41"/>
      <c r="BB134" s="23"/>
      <c r="BC134" s="23"/>
      <c r="BD134" s="23"/>
      <c r="BE134" s="23"/>
      <c r="BF134" s="23"/>
      <c r="BG134" s="43"/>
      <c r="BK134" s="64" t="s">
        <v>42</v>
      </c>
      <c r="BL134" s="52" t="s">
        <v>55</v>
      </c>
    </row>
    <row r="135" spans="1:64">
      <c r="A135" s="681">
        <v>128</v>
      </c>
      <c r="B135" s="682"/>
      <c r="C135" s="59" t="str">
        <f t="shared" si="3"/>
        <v>复核日期</v>
      </c>
      <c r="D135" s="23"/>
      <c r="E135" s="23"/>
      <c r="F135" s="23"/>
      <c r="G135" s="23"/>
      <c r="H135" s="23"/>
      <c r="I135" s="23"/>
      <c r="J135" s="23"/>
      <c r="K135" s="41"/>
      <c r="L135" s="36" t="s">
        <v>161</v>
      </c>
      <c r="M135" s="23"/>
      <c r="N135" s="23"/>
      <c r="O135" s="23"/>
      <c r="P135" s="23"/>
      <c r="Q135" s="23"/>
      <c r="R135" s="23"/>
      <c r="S135" s="23"/>
      <c r="T135" s="23"/>
      <c r="U135" s="683"/>
      <c r="V135" s="682"/>
      <c r="W135" s="684"/>
      <c r="X135" s="685"/>
      <c r="Y135" s="250" t="s">
        <v>17</v>
      </c>
      <c r="Z135" s="251"/>
      <c r="AA135" s="251"/>
      <c r="AB135" s="251"/>
      <c r="AC135" s="252"/>
      <c r="AD135" s="253"/>
      <c r="AE135" s="254"/>
      <c r="AF135" s="253"/>
      <c r="AG135" s="254"/>
      <c r="AH135" s="330" t="s">
        <v>1272</v>
      </c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41"/>
      <c r="BB135" s="23"/>
      <c r="BC135" s="23"/>
      <c r="BD135" s="23"/>
      <c r="BE135" s="23"/>
      <c r="BF135" s="23"/>
      <c r="BG135" s="43"/>
      <c r="BK135" s="64" t="s">
        <v>32</v>
      </c>
      <c r="BL135" s="52" t="s">
        <v>51</v>
      </c>
    </row>
    <row r="136" spans="1:64">
      <c r="A136" s="681">
        <v>129</v>
      </c>
      <c r="B136" s="682"/>
      <c r="C136" s="59" t="str">
        <f t="shared" si="3"/>
        <v>录入日期</v>
      </c>
      <c r="D136" s="23"/>
      <c r="E136" s="23"/>
      <c r="F136" s="23"/>
      <c r="G136" s="23"/>
      <c r="H136" s="23"/>
      <c r="I136" s="23"/>
      <c r="J136" s="23"/>
      <c r="K136" s="41"/>
      <c r="L136" s="36" t="s">
        <v>162</v>
      </c>
      <c r="M136" s="23"/>
      <c r="N136" s="23"/>
      <c r="O136" s="23"/>
      <c r="P136" s="23"/>
      <c r="Q136" s="23"/>
      <c r="R136" s="23"/>
      <c r="S136" s="23"/>
      <c r="T136" s="23"/>
      <c r="U136" s="683"/>
      <c r="V136" s="682"/>
      <c r="W136" s="684"/>
      <c r="X136" s="685"/>
      <c r="Y136" s="250" t="s">
        <v>17</v>
      </c>
      <c r="Z136" s="251"/>
      <c r="AA136" s="251"/>
      <c r="AB136" s="251"/>
      <c r="AC136" s="252"/>
      <c r="AD136" s="253"/>
      <c r="AE136" s="254"/>
      <c r="AF136" s="253"/>
      <c r="AG136" s="254"/>
      <c r="AH136" s="330" t="s">
        <v>1272</v>
      </c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41"/>
      <c r="BB136" s="23"/>
      <c r="BC136" s="23"/>
      <c r="BD136" s="23"/>
      <c r="BE136" s="23"/>
      <c r="BF136" s="23"/>
      <c r="BG136" s="43"/>
      <c r="BK136" s="64" t="s">
        <v>60</v>
      </c>
      <c r="BL136" s="52" t="s">
        <v>256</v>
      </c>
    </row>
    <row r="137" spans="1:64">
      <c r="A137" s="681">
        <v>130</v>
      </c>
      <c r="B137" s="682"/>
      <c r="C137" s="59" t="str">
        <f t="shared" ref="C137:C173" si="4">VLOOKUP(L137,$BK$7:$BL$255,2,FALSE)</f>
        <v>核算部门id</v>
      </c>
      <c r="D137" s="23"/>
      <c r="E137" s="23"/>
      <c r="F137" s="23"/>
      <c r="G137" s="23"/>
      <c r="H137" s="23"/>
      <c r="I137" s="23"/>
      <c r="J137" s="23"/>
      <c r="K137" s="41"/>
      <c r="L137" s="36" t="s">
        <v>163</v>
      </c>
      <c r="M137" s="23"/>
      <c r="N137" s="23"/>
      <c r="O137" s="23"/>
      <c r="P137" s="23"/>
      <c r="Q137" s="23"/>
      <c r="R137" s="23"/>
      <c r="S137" s="23"/>
      <c r="T137" s="23"/>
      <c r="U137" s="683"/>
      <c r="V137" s="682"/>
      <c r="W137" s="684"/>
      <c r="X137" s="685"/>
      <c r="Y137" s="250" t="s">
        <v>16</v>
      </c>
      <c r="Z137" s="251"/>
      <c r="AA137" s="251"/>
      <c r="AB137" s="251"/>
      <c r="AC137" s="252"/>
      <c r="AD137" s="253">
        <v>100</v>
      </c>
      <c r="AE137" s="254"/>
      <c r="AF137" s="253">
        <v>0</v>
      </c>
      <c r="AG137" s="254"/>
      <c r="AH137" s="42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41"/>
      <c r="BB137" s="23"/>
      <c r="BC137" s="23"/>
      <c r="BD137" s="23"/>
      <c r="BE137" s="23"/>
      <c r="BF137" s="23"/>
      <c r="BG137" s="43"/>
      <c r="BK137" s="64" t="s">
        <v>64</v>
      </c>
      <c r="BL137" s="52" t="s">
        <v>246</v>
      </c>
    </row>
    <row r="138" spans="1:64">
      <c r="A138" s="681">
        <v>131</v>
      </c>
      <c r="B138" s="682"/>
      <c r="C138" s="59" t="str">
        <f t="shared" si="4"/>
        <v>核算部门编号</v>
      </c>
      <c r="D138" s="23"/>
      <c r="E138" s="23"/>
      <c r="F138" s="23"/>
      <c r="G138" s="23"/>
      <c r="H138" s="23"/>
      <c r="I138" s="23"/>
      <c r="J138" s="23"/>
      <c r="K138" s="41"/>
      <c r="L138" s="36" t="s">
        <v>164</v>
      </c>
      <c r="M138" s="23"/>
      <c r="N138" s="23"/>
      <c r="O138" s="23"/>
      <c r="P138" s="23"/>
      <c r="Q138" s="23"/>
      <c r="R138" s="23"/>
      <c r="S138" s="23"/>
      <c r="T138" s="23"/>
      <c r="U138" s="683"/>
      <c r="V138" s="682"/>
      <c r="W138" s="684"/>
      <c r="X138" s="685"/>
      <c r="Y138" s="250" t="s">
        <v>16</v>
      </c>
      <c r="Z138" s="251"/>
      <c r="AA138" s="251"/>
      <c r="AB138" s="251"/>
      <c r="AC138" s="252"/>
      <c r="AD138" s="253">
        <v>100</v>
      </c>
      <c r="AE138" s="254"/>
      <c r="AF138" s="253">
        <v>0</v>
      </c>
      <c r="AG138" s="254"/>
      <c r="AH138" s="42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41"/>
      <c r="BB138" s="23"/>
      <c r="BC138" s="23"/>
      <c r="BD138" s="23"/>
      <c r="BE138" s="23"/>
      <c r="BF138" s="23"/>
      <c r="BG138" s="43"/>
      <c r="BK138" s="64" t="s">
        <v>44</v>
      </c>
      <c r="BL138" s="52" t="s">
        <v>1445</v>
      </c>
    </row>
    <row r="139" spans="1:64">
      <c r="A139" s="681">
        <v>132</v>
      </c>
      <c r="B139" s="682"/>
      <c r="C139" s="59" t="str">
        <f t="shared" si="4"/>
        <v>核算部门</v>
      </c>
      <c r="D139" s="23"/>
      <c r="E139" s="23"/>
      <c r="F139" s="23"/>
      <c r="G139" s="23"/>
      <c r="H139" s="23"/>
      <c r="I139" s="23"/>
      <c r="J139" s="23"/>
      <c r="K139" s="41"/>
      <c r="L139" s="36" t="s">
        <v>165</v>
      </c>
      <c r="M139" s="23"/>
      <c r="N139" s="23"/>
      <c r="O139" s="23"/>
      <c r="P139" s="23"/>
      <c r="Q139" s="23"/>
      <c r="R139" s="23"/>
      <c r="S139" s="23"/>
      <c r="T139" s="23"/>
      <c r="U139" s="683"/>
      <c r="V139" s="682"/>
      <c r="W139" s="684"/>
      <c r="X139" s="685"/>
      <c r="Y139" s="250" t="s">
        <v>16</v>
      </c>
      <c r="Z139" s="251"/>
      <c r="AA139" s="251"/>
      <c r="AB139" s="251"/>
      <c r="AC139" s="252"/>
      <c r="AD139" s="253">
        <v>100</v>
      </c>
      <c r="AE139" s="254"/>
      <c r="AF139" s="253">
        <v>0</v>
      </c>
      <c r="AG139" s="254"/>
      <c r="AH139" s="42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41"/>
      <c r="BB139" s="23"/>
      <c r="BC139" s="23"/>
      <c r="BD139" s="23"/>
      <c r="BE139" s="23"/>
      <c r="BF139" s="23"/>
      <c r="BG139" s="43"/>
      <c r="BK139" s="64" t="s">
        <v>90</v>
      </c>
      <c r="BL139" s="52" t="s">
        <v>560</v>
      </c>
    </row>
    <row r="140" spans="1:64">
      <c r="A140" s="681">
        <v>133</v>
      </c>
      <c r="B140" s="682"/>
      <c r="C140" s="59" t="str">
        <f t="shared" si="4"/>
        <v>往来单位编号</v>
      </c>
      <c r="D140" s="23"/>
      <c r="E140" s="23"/>
      <c r="F140" s="23"/>
      <c r="G140" s="23"/>
      <c r="H140" s="23"/>
      <c r="I140" s="23"/>
      <c r="J140" s="23"/>
      <c r="K140" s="41"/>
      <c r="L140" s="36" t="s">
        <v>166</v>
      </c>
      <c r="M140" s="23"/>
      <c r="N140" s="23"/>
      <c r="O140" s="23"/>
      <c r="P140" s="23"/>
      <c r="Q140" s="23"/>
      <c r="R140" s="23"/>
      <c r="S140" s="23"/>
      <c r="T140" s="23"/>
      <c r="U140" s="683"/>
      <c r="V140" s="682"/>
      <c r="W140" s="684"/>
      <c r="X140" s="685"/>
      <c r="Y140" s="250" t="s">
        <v>16</v>
      </c>
      <c r="Z140" s="251"/>
      <c r="AA140" s="251"/>
      <c r="AB140" s="251"/>
      <c r="AC140" s="252"/>
      <c r="AD140" s="253">
        <v>100</v>
      </c>
      <c r="AE140" s="254"/>
      <c r="AF140" s="253">
        <v>0</v>
      </c>
      <c r="AG140" s="254"/>
      <c r="AH140" s="42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41"/>
      <c r="BB140" s="23"/>
      <c r="BC140" s="23"/>
      <c r="BD140" s="23"/>
      <c r="BE140" s="23"/>
      <c r="BF140" s="23"/>
      <c r="BG140" s="43"/>
      <c r="BK140" s="64" t="s">
        <v>114</v>
      </c>
      <c r="BL140" s="52" t="s">
        <v>218</v>
      </c>
    </row>
    <row r="141" spans="1:64">
      <c r="A141" s="681">
        <v>134</v>
      </c>
      <c r="B141" s="682"/>
      <c r="C141" s="59" t="str">
        <f t="shared" si="4"/>
        <v>录入人</v>
      </c>
      <c r="D141" s="23"/>
      <c r="E141" s="23"/>
      <c r="F141" s="23"/>
      <c r="G141" s="23"/>
      <c r="H141" s="23"/>
      <c r="I141" s="23"/>
      <c r="J141" s="23"/>
      <c r="K141" s="41"/>
      <c r="L141" s="36" t="s">
        <v>167</v>
      </c>
      <c r="M141" s="23"/>
      <c r="N141" s="23"/>
      <c r="O141" s="23"/>
      <c r="P141" s="23"/>
      <c r="Q141" s="23"/>
      <c r="R141" s="23"/>
      <c r="S141" s="23"/>
      <c r="T141" s="23"/>
      <c r="U141" s="683"/>
      <c r="V141" s="682"/>
      <c r="W141" s="684"/>
      <c r="X141" s="685"/>
      <c r="Y141" s="250" t="s">
        <v>16</v>
      </c>
      <c r="Z141" s="251"/>
      <c r="AA141" s="251"/>
      <c r="AB141" s="251"/>
      <c r="AC141" s="252"/>
      <c r="AD141" s="253">
        <v>100</v>
      </c>
      <c r="AE141" s="254"/>
      <c r="AF141" s="253">
        <v>0</v>
      </c>
      <c r="AG141" s="254"/>
      <c r="AH141" s="42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41"/>
      <c r="BB141" s="23"/>
      <c r="BC141" s="23"/>
      <c r="BD141" s="23"/>
      <c r="BE141" s="23"/>
      <c r="BF141" s="23"/>
      <c r="BG141" s="43"/>
      <c r="BK141" s="64" t="s">
        <v>115</v>
      </c>
      <c r="BL141" s="52" t="s">
        <v>219</v>
      </c>
    </row>
    <row r="142" spans="1:64">
      <c r="A142" s="681">
        <v>135</v>
      </c>
      <c r="B142" s="682"/>
      <c r="C142" s="59" t="str">
        <f t="shared" si="4"/>
        <v>系统编号</v>
      </c>
      <c r="D142" s="23"/>
      <c r="E142" s="23"/>
      <c r="F142" s="23"/>
      <c r="G142" s="23"/>
      <c r="H142" s="23"/>
      <c r="I142" s="23"/>
      <c r="J142" s="23"/>
      <c r="K142" s="41"/>
      <c r="L142" s="36" t="s">
        <v>168</v>
      </c>
      <c r="M142" s="23"/>
      <c r="N142" s="23"/>
      <c r="O142" s="23"/>
      <c r="P142" s="23"/>
      <c r="Q142" s="23"/>
      <c r="R142" s="23"/>
      <c r="S142" s="23"/>
      <c r="T142" s="23"/>
      <c r="U142" s="683"/>
      <c r="V142" s="682"/>
      <c r="W142" s="684"/>
      <c r="X142" s="685"/>
      <c r="Y142" s="250" t="s">
        <v>16</v>
      </c>
      <c r="Z142" s="251"/>
      <c r="AA142" s="251"/>
      <c r="AB142" s="251"/>
      <c r="AC142" s="252"/>
      <c r="AD142" s="253">
        <v>100</v>
      </c>
      <c r="AE142" s="254"/>
      <c r="AF142" s="253">
        <v>0</v>
      </c>
      <c r="AG142" s="254"/>
      <c r="AH142" s="42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41"/>
      <c r="BB142" s="23"/>
      <c r="BC142" s="23"/>
      <c r="BD142" s="23"/>
      <c r="BE142" s="23"/>
      <c r="BF142" s="23"/>
      <c r="BG142" s="43"/>
      <c r="BK142" s="64" t="s">
        <v>61</v>
      </c>
      <c r="BL142" s="52" t="s">
        <v>272</v>
      </c>
    </row>
    <row r="143" spans="1:64">
      <c r="A143" s="681">
        <v>136</v>
      </c>
      <c r="B143" s="682"/>
      <c r="C143" s="59" t="str">
        <f t="shared" si="4"/>
        <v>币种编号</v>
      </c>
      <c r="D143" s="23"/>
      <c r="E143" s="23"/>
      <c r="F143" s="23"/>
      <c r="G143" s="23"/>
      <c r="H143" s="23"/>
      <c r="I143" s="23"/>
      <c r="J143" s="23"/>
      <c r="K143" s="41"/>
      <c r="L143" s="36" t="s">
        <v>169</v>
      </c>
      <c r="M143" s="23"/>
      <c r="N143" s="23"/>
      <c r="O143" s="23"/>
      <c r="P143" s="23"/>
      <c r="Q143" s="23"/>
      <c r="R143" s="23"/>
      <c r="S143" s="23"/>
      <c r="T143" s="23"/>
      <c r="U143" s="683"/>
      <c r="V143" s="682"/>
      <c r="W143" s="684"/>
      <c r="X143" s="685"/>
      <c r="Y143" s="250" t="s">
        <v>16</v>
      </c>
      <c r="Z143" s="251"/>
      <c r="AA143" s="251"/>
      <c r="AB143" s="251"/>
      <c r="AC143" s="252"/>
      <c r="AD143" s="253">
        <v>100</v>
      </c>
      <c r="AE143" s="254"/>
      <c r="AF143" s="253">
        <v>0</v>
      </c>
      <c r="AG143" s="254"/>
      <c r="AH143" s="42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41"/>
      <c r="BB143" s="23"/>
      <c r="BC143" s="23"/>
      <c r="BD143" s="23"/>
      <c r="BE143" s="23"/>
      <c r="BF143" s="23"/>
      <c r="BG143" s="43"/>
      <c r="BK143" s="64" t="s">
        <v>62</v>
      </c>
      <c r="BL143" s="52" t="s">
        <v>48</v>
      </c>
    </row>
    <row r="144" spans="1:64">
      <c r="A144" s="681">
        <v>137</v>
      </c>
      <c r="B144" s="682"/>
      <c r="C144" s="59" t="str">
        <f t="shared" si="4"/>
        <v>合同性质</v>
      </c>
      <c r="D144" s="23"/>
      <c r="E144" s="23"/>
      <c r="F144" s="23"/>
      <c r="G144" s="23"/>
      <c r="H144" s="23"/>
      <c r="I144" s="23"/>
      <c r="J144" s="23"/>
      <c r="K144" s="41"/>
      <c r="L144" s="36" t="s">
        <v>170</v>
      </c>
      <c r="M144" s="23"/>
      <c r="N144" s="23"/>
      <c r="O144" s="23"/>
      <c r="P144" s="23"/>
      <c r="Q144" s="23"/>
      <c r="R144" s="23"/>
      <c r="S144" s="23"/>
      <c r="T144" s="23"/>
      <c r="U144" s="683"/>
      <c r="V144" s="682"/>
      <c r="W144" s="684"/>
      <c r="X144" s="685"/>
      <c r="Y144" s="250" t="s">
        <v>16</v>
      </c>
      <c r="Z144" s="251"/>
      <c r="AA144" s="251"/>
      <c r="AB144" s="251"/>
      <c r="AC144" s="252"/>
      <c r="AD144" s="253">
        <v>100</v>
      </c>
      <c r="AE144" s="254"/>
      <c r="AF144" s="253">
        <v>0</v>
      </c>
      <c r="AG144" s="254"/>
      <c r="AH144" s="42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41"/>
      <c r="BB144" s="23"/>
      <c r="BC144" s="23"/>
      <c r="BD144" s="23"/>
      <c r="BE144" s="23"/>
      <c r="BF144" s="23"/>
      <c r="BG144" s="43"/>
      <c r="BK144" s="64" t="s">
        <v>47</v>
      </c>
      <c r="BL144" s="52" t="s">
        <v>252</v>
      </c>
    </row>
    <row r="145" spans="1:64" ht="16.2" thickBot="1">
      <c r="A145" s="681">
        <v>138</v>
      </c>
      <c r="B145" s="682"/>
      <c r="C145" s="59" t="str">
        <f t="shared" si="4"/>
        <v>合同更新状态</v>
      </c>
      <c r="D145" s="23"/>
      <c r="E145" s="23"/>
      <c r="F145" s="23"/>
      <c r="G145" s="23"/>
      <c r="H145" s="23"/>
      <c r="I145" s="23"/>
      <c r="J145" s="23"/>
      <c r="K145" s="41"/>
      <c r="L145" s="36" t="s">
        <v>171</v>
      </c>
      <c r="M145" s="23"/>
      <c r="N145" s="23"/>
      <c r="O145" s="23"/>
      <c r="P145" s="23"/>
      <c r="Q145" s="23"/>
      <c r="R145" s="23"/>
      <c r="S145" s="23"/>
      <c r="T145" s="23"/>
      <c r="U145" s="683"/>
      <c r="V145" s="682"/>
      <c r="W145" s="684"/>
      <c r="X145" s="685"/>
      <c r="Y145" s="250" t="s">
        <v>16</v>
      </c>
      <c r="Z145" s="251"/>
      <c r="AA145" s="251"/>
      <c r="AB145" s="251"/>
      <c r="AC145" s="252"/>
      <c r="AD145" s="253">
        <v>100</v>
      </c>
      <c r="AE145" s="254"/>
      <c r="AF145" s="253">
        <v>0</v>
      </c>
      <c r="AG145" s="254"/>
      <c r="AH145" s="42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41"/>
      <c r="BB145" s="45"/>
      <c r="BC145" s="45"/>
      <c r="BD145" s="45"/>
      <c r="BE145" s="45"/>
      <c r="BF145" s="45"/>
      <c r="BG145" s="47"/>
      <c r="BK145" s="64" t="s">
        <v>29</v>
      </c>
      <c r="BL145" s="52" t="s">
        <v>49</v>
      </c>
    </row>
    <row r="146" spans="1:64">
      <c r="A146" s="681">
        <v>139</v>
      </c>
      <c r="B146" s="682"/>
      <c r="C146" s="59" t="str">
        <f t="shared" si="4"/>
        <v>财务合同状态</v>
      </c>
      <c r="D146" s="23"/>
      <c r="E146" s="23"/>
      <c r="F146" s="23"/>
      <c r="G146" s="23"/>
      <c r="H146" s="23"/>
      <c r="I146" s="23"/>
      <c r="J146" s="23"/>
      <c r="K146" s="41"/>
      <c r="L146" s="36" t="s">
        <v>172</v>
      </c>
      <c r="M146" s="23"/>
      <c r="N146" s="23"/>
      <c r="O146" s="23"/>
      <c r="P146" s="23"/>
      <c r="Q146" s="23"/>
      <c r="R146" s="23"/>
      <c r="S146" s="23"/>
      <c r="T146" s="23"/>
      <c r="U146" s="683"/>
      <c r="V146" s="682"/>
      <c r="W146" s="684"/>
      <c r="X146" s="685"/>
      <c r="Y146" s="250" t="s">
        <v>199</v>
      </c>
      <c r="Z146" s="251"/>
      <c r="AA146" s="251"/>
      <c r="AB146" s="251"/>
      <c r="AC146" s="252"/>
      <c r="AD146" s="253">
        <v>1</v>
      </c>
      <c r="AE146" s="254"/>
      <c r="AF146" s="253">
        <v>0</v>
      </c>
      <c r="AG146" s="254"/>
      <c r="AH146" s="42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41"/>
      <c r="BK146" s="64" t="s">
        <v>65</v>
      </c>
      <c r="BL146" s="52" t="s">
        <v>50</v>
      </c>
    </row>
    <row r="147" spans="1:64">
      <c r="A147" s="681">
        <v>140</v>
      </c>
      <c r="B147" s="682"/>
      <c r="C147" s="59" t="str">
        <f t="shared" si="4"/>
        <v>收支方向</v>
      </c>
      <c r="D147" s="23"/>
      <c r="E147" s="23"/>
      <c r="F147" s="23"/>
      <c r="G147" s="23"/>
      <c r="H147" s="23"/>
      <c r="I147" s="23"/>
      <c r="J147" s="23"/>
      <c r="K147" s="41"/>
      <c r="L147" s="36" t="s">
        <v>173</v>
      </c>
      <c r="M147" s="23"/>
      <c r="N147" s="23"/>
      <c r="O147" s="23"/>
      <c r="P147" s="23"/>
      <c r="Q147" s="23"/>
      <c r="R147" s="23"/>
      <c r="S147" s="23"/>
      <c r="T147" s="23"/>
      <c r="U147" s="683"/>
      <c r="V147" s="682"/>
      <c r="W147" s="684"/>
      <c r="X147" s="685"/>
      <c r="Y147" s="250" t="s">
        <v>199</v>
      </c>
      <c r="Z147" s="251"/>
      <c r="AA147" s="251"/>
      <c r="AB147" s="251"/>
      <c r="AC147" s="252"/>
      <c r="AD147" s="253">
        <v>2</v>
      </c>
      <c r="AE147" s="254"/>
      <c r="AF147" s="253">
        <v>0</v>
      </c>
      <c r="AG147" s="254"/>
      <c r="AH147" s="42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41"/>
      <c r="BK147" s="64" t="s">
        <v>66</v>
      </c>
      <c r="BL147" s="52" t="s">
        <v>266</v>
      </c>
    </row>
    <row r="148" spans="1:64">
      <c r="A148" s="681">
        <v>141</v>
      </c>
      <c r="B148" s="682"/>
      <c r="C148" s="59" t="str">
        <f t="shared" si="4"/>
        <v>发票类型</v>
      </c>
      <c r="D148" s="23"/>
      <c r="E148" s="23"/>
      <c r="F148" s="23"/>
      <c r="G148" s="23"/>
      <c r="H148" s="23"/>
      <c r="I148" s="23"/>
      <c r="J148" s="23"/>
      <c r="K148" s="41"/>
      <c r="L148" s="267" t="s">
        <v>174</v>
      </c>
      <c r="M148" s="23"/>
      <c r="N148" s="23"/>
      <c r="O148" s="23"/>
      <c r="P148" s="23"/>
      <c r="Q148" s="23"/>
      <c r="R148" s="23"/>
      <c r="S148" s="23"/>
      <c r="T148" s="23"/>
      <c r="U148" s="683"/>
      <c r="V148" s="682"/>
      <c r="W148" s="683"/>
      <c r="X148" s="682"/>
      <c r="Y148" s="253" t="s">
        <v>199</v>
      </c>
      <c r="Z148" s="255"/>
      <c r="AA148" s="255"/>
      <c r="AB148" s="255"/>
      <c r="AC148" s="254"/>
      <c r="AD148" s="253">
        <v>1</v>
      </c>
      <c r="AE148" s="254"/>
      <c r="AF148" s="253">
        <v>0</v>
      </c>
      <c r="AG148" s="254"/>
      <c r="AH148" s="42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41"/>
      <c r="BK148" s="64" t="s">
        <v>89</v>
      </c>
      <c r="BL148" s="52" t="s">
        <v>534</v>
      </c>
    </row>
    <row r="149" spans="1:64">
      <c r="A149" s="681">
        <v>142</v>
      </c>
      <c r="B149" s="682"/>
      <c r="C149" s="59" t="str">
        <f t="shared" si="4"/>
        <v>制式合同</v>
      </c>
      <c r="D149" s="23"/>
      <c r="E149" s="23"/>
      <c r="F149" s="23"/>
      <c r="G149" s="23"/>
      <c r="H149" s="23"/>
      <c r="I149" s="23"/>
      <c r="J149" s="23"/>
      <c r="K149" s="41"/>
      <c r="L149" s="267" t="s">
        <v>175</v>
      </c>
      <c r="M149" s="23"/>
      <c r="N149" s="23"/>
      <c r="O149" s="23"/>
      <c r="P149" s="23"/>
      <c r="Q149" s="23"/>
      <c r="R149" s="23"/>
      <c r="S149" s="23"/>
      <c r="T149" s="23"/>
      <c r="U149" s="683"/>
      <c r="V149" s="682"/>
      <c r="W149" s="683"/>
      <c r="X149" s="682"/>
      <c r="Y149" s="253" t="s">
        <v>199</v>
      </c>
      <c r="Z149" s="255"/>
      <c r="AA149" s="255"/>
      <c r="AB149" s="255"/>
      <c r="AC149" s="254"/>
      <c r="AD149" s="253">
        <v>1</v>
      </c>
      <c r="AE149" s="254"/>
      <c r="AF149" s="253">
        <v>0</v>
      </c>
      <c r="AG149" s="254"/>
      <c r="AH149" s="42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41"/>
      <c r="BK149" s="64" t="s">
        <v>36</v>
      </c>
      <c r="BL149" s="52" t="s">
        <v>36</v>
      </c>
    </row>
    <row r="150" spans="1:64">
      <c r="A150" s="681">
        <v>143</v>
      </c>
      <c r="B150" s="682"/>
      <c r="C150" s="59" t="str">
        <f t="shared" si="4"/>
        <v>重点合同</v>
      </c>
      <c r="D150" s="23"/>
      <c r="E150" s="23"/>
      <c r="F150" s="23"/>
      <c r="G150" s="23"/>
      <c r="H150" s="23"/>
      <c r="I150" s="23"/>
      <c r="J150" s="23"/>
      <c r="K150" s="41"/>
      <c r="L150" s="36" t="s">
        <v>176</v>
      </c>
      <c r="M150" s="23"/>
      <c r="N150" s="23"/>
      <c r="O150" s="23"/>
      <c r="P150" s="23"/>
      <c r="Q150" s="23"/>
      <c r="R150" s="23"/>
      <c r="S150" s="23"/>
      <c r="T150" s="23"/>
      <c r="U150" s="683"/>
      <c r="V150" s="682"/>
      <c r="W150" s="684"/>
      <c r="X150" s="685"/>
      <c r="Y150" s="250" t="s">
        <v>199</v>
      </c>
      <c r="Z150" s="251"/>
      <c r="AA150" s="251"/>
      <c r="AB150" s="251"/>
      <c r="AC150" s="252"/>
      <c r="AD150" s="253">
        <v>1</v>
      </c>
      <c r="AE150" s="254"/>
      <c r="AF150" s="253">
        <v>0</v>
      </c>
      <c r="AG150" s="254"/>
      <c r="AH150" s="42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41"/>
      <c r="BB150" s="23"/>
      <c r="BC150" s="23"/>
      <c r="BD150" s="23"/>
      <c r="BE150" s="23"/>
      <c r="BF150" s="23"/>
      <c r="BG150" s="43"/>
      <c r="BK150" s="64" t="s">
        <v>67</v>
      </c>
      <c r="BL150" s="52" t="s">
        <v>67</v>
      </c>
    </row>
    <row r="151" spans="1:64">
      <c r="A151" s="681">
        <v>144</v>
      </c>
      <c r="B151" s="682"/>
      <c r="C151" s="59" t="str">
        <f t="shared" si="4"/>
        <v>orgID</v>
      </c>
      <c r="D151" s="23"/>
      <c r="E151" s="23"/>
      <c r="F151" s="23"/>
      <c r="G151" s="23"/>
      <c r="H151" s="23"/>
      <c r="I151" s="23"/>
      <c r="J151" s="23"/>
      <c r="K151" s="41"/>
      <c r="L151" s="475" t="s">
        <v>1617</v>
      </c>
      <c r="M151" s="474"/>
      <c r="N151" s="474"/>
      <c r="O151" s="474"/>
      <c r="P151" s="474"/>
      <c r="Q151" s="474"/>
      <c r="R151" s="474"/>
      <c r="S151" s="474"/>
      <c r="T151" s="474"/>
      <c r="U151" s="683"/>
      <c r="V151" s="682"/>
      <c r="W151" s="684"/>
      <c r="X151" s="685"/>
      <c r="Y151" s="250" t="s">
        <v>16</v>
      </c>
      <c r="Z151" s="251"/>
      <c r="AA151" s="251"/>
      <c r="AB151" s="251"/>
      <c r="AC151" s="252"/>
      <c r="AD151" s="253">
        <v>512</v>
      </c>
      <c r="AE151" s="254"/>
      <c r="AF151" s="253">
        <v>0</v>
      </c>
      <c r="AG151" s="254"/>
      <c r="AH151" s="42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41"/>
      <c r="BB151" s="23"/>
      <c r="BC151" s="23"/>
      <c r="BD151" s="23"/>
      <c r="BE151" s="23"/>
      <c r="BF151" s="23"/>
      <c r="BG151" s="43"/>
      <c r="BK151" s="64" t="s">
        <v>38</v>
      </c>
      <c r="BL151" s="52" t="s">
        <v>1447</v>
      </c>
    </row>
    <row r="152" spans="1:64">
      <c r="A152" s="681">
        <v>145</v>
      </c>
      <c r="B152" s="682"/>
      <c r="C152" s="59" t="str">
        <f t="shared" si="4"/>
        <v>notDisplay</v>
      </c>
      <c r="D152" s="23"/>
      <c r="E152" s="23"/>
      <c r="F152" s="23"/>
      <c r="G152" s="23"/>
      <c r="H152" s="23"/>
      <c r="I152" s="23"/>
      <c r="J152" s="23"/>
      <c r="K152" s="41"/>
      <c r="L152" s="36" t="s">
        <v>177</v>
      </c>
      <c r="M152" s="23"/>
      <c r="N152" s="23"/>
      <c r="O152" s="23"/>
      <c r="P152" s="23"/>
      <c r="Q152" s="23"/>
      <c r="R152" s="23"/>
      <c r="S152" s="23"/>
      <c r="T152" s="23"/>
      <c r="U152" s="683"/>
      <c r="V152" s="682"/>
      <c r="W152" s="684"/>
      <c r="X152" s="685"/>
      <c r="Y152" s="250" t="s">
        <v>16</v>
      </c>
      <c r="Z152" s="251"/>
      <c r="AA152" s="251"/>
      <c r="AB152" s="251"/>
      <c r="AC152" s="252"/>
      <c r="AD152" s="253">
        <v>8</v>
      </c>
      <c r="AE152" s="254"/>
      <c r="AF152" s="253">
        <v>0</v>
      </c>
      <c r="AG152" s="254"/>
      <c r="AH152" s="42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41"/>
      <c r="BB152" s="23"/>
      <c r="BC152" s="23"/>
      <c r="BD152" s="23"/>
      <c r="BE152" s="23"/>
      <c r="BF152" s="23"/>
      <c r="BG152" s="43"/>
      <c r="BK152" s="64" t="s">
        <v>34</v>
      </c>
      <c r="BL152" s="51" t="s">
        <v>34</v>
      </c>
    </row>
    <row r="153" spans="1:64">
      <c r="A153" s="681">
        <v>146</v>
      </c>
      <c r="B153" s="682"/>
      <c r="C153" s="59" t="str">
        <f t="shared" si="4"/>
        <v>复核人</v>
      </c>
      <c r="D153" s="23"/>
      <c r="E153" s="23"/>
      <c r="F153" s="23"/>
      <c r="G153" s="23"/>
      <c r="H153" s="23"/>
      <c r="I153" s="23"/>
      <c r="J153" s="23"/>
      <c r="K153" s="41"/>
      <c r="L153" s="36" t="s">
        <v>178</v>
      </c>
      <c r="M153" s="23"/>
      <c r="N153" s="23"/>
      <c r="O153" s="23"/>
      <c r="P153" s="23"/>
      <c r="Q153" s="23"/>
      <c r="R153" s="23"/>
      <c r="S153" s="23"/>
      <c r="T153" s="23"/>
      <c r="U153" s="683"/>
      <c r="V153" s="682"/>
      <c r="W153" s="684"/>
      <c r="X153" s="685"/>
      <c r="Y153" s="250" t="s">
        <v>16</v>
      </c>
      <c r="Z153" s="251"/>
      <c r="AA153" s="251"/>
      <c r="AB153" s="251"/>
      <c r="AC153" s="252"/>
      <c r="AD153" s="253">
        <v>50</v>
      </c>
      <c r="AE153" s="254"/>
      <c r="AF153" s="253">
        <v>0</v>
      </c>
      <c r="AG153" s="254"/>
      <c r="AH153" s="42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41"/>
      <c r="BB153" s="23"/>
      <c r="BC153" s="23"/>
      <c r="BD153" s="23"/>
      <c r="BE153" s="23"/>
      <c r="BF153" s="23"/>
      <c r="BG153" s="43"/>
      <c r="BK153" s="64" t="s">
        <v>37</v>
      </c>
      <c r="BL153" s="52" t="s">
        <v>273</v>
      </c>
    </row>
    <row r="154" spans="1:64">
      <c r="A154" s="681">
        <v>147</v>
      </c>
      <c r="B154" s="682"/>
      <c r="C154" s="59" t="str">
        <f t="shared" si="4"/>
        <v>往来单位编号</v>
      </c>
      <c r="D154" s="23"/>
      <c r="E154" s="23"/>
      <c r="F154" s="23"/>
      <c r="G154" s="23"/>
      <c r="H154" s="23"/>
      <c r="I154" s="23"/>
      <c r="J154" s="23"/>
      <c r="K154" s="41"/>
      <c r="L154" s="36" t="s">
        <v>179</v>
      </c>
      <c r="M154" s="23"/>
      <c r="N154" s="23"/>
      <c r="O154" s="23"/>
      <c r="P154" s="23"/>
      <c r="Q154" s="23"/>
      <c r="R154" s="23"/>
      <c r="S154" s="23"/>
      <c r="T154" s="23"/>
      <c r="U154" s="683"/>
      <c r="V154" s="682"/>
      <c r="W154" s="684"/>
      <c r="X154" s="685"/>
      <c r="Y154" s="250" t="s">
        <v>16</v>
      </c>
      <c r="Z154" s="251"/>
      <c r="AA154" s="251"/>
      <c r="AB154" s="251"/>
      <c r="AC154" s="252"/>
      <c r="AD154" s="253">
        <v>128</v>
      </c>
      <c r="AE154" s="254"/>
      <c r="AF154" s="253">
        <v>0</v>
      </c>
      <c r="AG154" s="254"/>
      <c r="AH154" s="42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41"/>
      <c r="BB154" s="23"/>
      <c r="BC154" s="23"/>
      <c r="BD154" s="23"/>
      <c r="BE154" s="23"/>
      <c r="BF154" s="23"/>
      <c r="BG154" s="43"/>
      <c r="BK154" s="65" t="s">
        <v>70</v>
      </c>
      <c r="BL154" s="52" t="s">
        <v>70</v>
      </c>
    </row>
    <row r="155" spans="1:64">
      <c r="A155" s="681">
        <v>148</v>
      </c>
      <c r="B155" s="682"/>
      <c r="C155" s="59" t="str">
        <f t="shared" si="4"/>
        <v>auditWorkitemID</v>
      </c>
      <c r="D155" s="23"/>
      <c r="E155" s="23"/>
      <c r="F155" s="23"/>
      <c r="G155" s="23"/>
      <c r="H155" s="23"/>
      <c r="I155" s="23"/>
      <c r="J155" s="23"/>
      <c r="K155" s="41"/>
      <c r="L155" s="36" t="s">
        <v>180</v>
      </c>
      <c r="M155" s="23"/>
      <c r="N155" s="23"/>
      <c r="O155" s="23"/>
      <c r="P155" s="23"/>
      <c r="Q155" s="23"/>
      <c r="R155" s="23"/>
      <c r="S155" s="23"/>
      <c r="T155" s="23"/>
      <c r="U155" s="683"/>
      <c r="V155" s="682"/>
      <c r="W155" s="684"/>
      <c r="X155" s="685"/>
      <c r="Y155" s="250" t="s">
        <v>16</v>
      </c>
      <c r="Z155" s="251"/>
      <c r="AA155" s="251"/>
      <c r="AB155" s="251"/>
      <c r="AC155" s="252"/>
      <c r="AD155" s="253">
        <v>100</v>
      </c>
      <c r="AE155" s="254"/>
      <c r="AF155" s="253">
        <v>0</v>
      </c>
      <c r="AG155" s="254"/>
      <c r="AH155" s="42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41"/>
      <c r="BB155" s="23"/>
      <c r="BC155" s="23"/>
      <c r="BD155" s="23"/>
      <c r="BE155" s="23"/>
      <c r="BF155" s="23"/>
      <c r="BG155" s="43"/>
      <c r="BK155" s="65" t="s">
        <v>41</v>
      </c>
      <c r="BL155" s="52" t="s">
        <v>41</v>
      </c>
    </row>
    <row r="156" spans="1:64">
      <c r="A156" s="681">
        <v>149</v>
      </c>
      <c r="B156" s="682"/>
      <c r="C156" s="59" t="str">
        <f t="shared" si="4"/>
        <v>auditSys</v>
      </c>
      <c r="D156" s="23"/>
      <c r="E156" s="23"/>
      <c r="F156" s="23"/>
      <c r="G156" s="23"/>
      <c r="H156" s="23"/>
      <c r="I156" s="23"/>
      <c r="J156" s="23"/>
      <c r="K156" s="41"/>
      <c r="L156" s="36" t="s">
        <v>181</v>
      </c>
      <c r="M156" s="23"/>
      <c r="N156" s="23"/>
      <c r="O156" s="23"/>
      <c r="P156" s="23"/>
      <c r="Q156" s="23"/>
      <c r="R156" s="23"/>
      <c r="S156" s="23"/>
      <c r="T156" s="23"/>
      <c r="U156" s="683"/>
      <c r="V156" s="682"/>
      <c r="W156" s="684"/>
      <c r="X156" s="685"/>
      <c r="Y156" s="250" t="s">
        <v>16</v>
      </c>
      <c r="Z156" s="251"/>
      <c r="AA156" s="251"/>
      <c r="AB156" s="251"/>
      <c r="AC156" s="252"/>
      <c r="AD156" s="253">
        <v>100</v>
      </c>
      <c r="AE156" s="254"/>
      <c r="AF156" s="253">
        <v>0</v>
      </c>
      <c r="AG156" s="254"/>
      <c r="AH156" s="42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41"/>
      <c r="BB156" s="23"/>
      <c r="BC156" s="23"/>
      <c r="BD156" s="23"/>
      <c r="BE156" s="23"/>
      <c r="BF156" s="23"/>
      <c r="BG156" s="43"/>
      <c r="BK156" s="64" t="s">
        <v>71</v>
      </c>
      <c r="BL156" s="52" t="s">
        <v>210</v>
      </c>
    </row>
    <row r="157" spans="1:64">
      <c r="A157" s="681">
        <v>150</v>
      </c>
      <c r="B157" s="682"/>
      <c r="C157" s="59" t="str">
        <f t="shared" si="4"/>
        <v>往来单位名称</v>
      </c>
      <c r="D157" s="23"/>
      <c r="E157" s="23"/>
      <c r="F157" s="23"/>
      <c r="G157" s="23"/>
      <c r="H157" s="23"/>
      <c r="I157" s="23"/>
      <c r="J157" s="23"/>
      <c r="K157" s="41"/>
      <c r="L157" s="36" t="s">
        <v>182</v>
      </c>
      <c r="M157" s="23"/>
      <c r="N157" s="23"/>
      <c r="O157" s="23"/>
      <c r="P157" s="23"/>
      <c r="Q157" s="23"/>
      <c r="R157" s="23"/>
      <c r="S157" s="23"/>
      <c r="T157" s="23"/>
      <c r="U157" s="683"/>
      <c r="V157" s="682"/>
      <c r="W157" s="684"/>
      <c r="X157" s="685"/>
      <c r="Y157" s="250" t="s">
        <v>16</v>
      </c>
      <c r="Z157" s="251"/>
      <c r="AA157" s="251"/>
      <c r="AB157" s="251"/>
      <c r="AC157" s="252"/>
      <c r="AD157" s="253">
        <v>128</v>
      </c>
      <c r="AE157" s="254"/>
      <c r="AF157" s="253">
        <v>0</v>
      </c>
      <c r="AG157" s="254"/>
      <c r="AH157" s="42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41"/>
      <c r="BB157" s="23"/>
      <c r="BC157" s="23"/>
      <c r="BD157" s="23"/>
      <c r="BE157" s="23"/>
      <c r="BF157" s="23"/>
      <c r="BG157" s="43"/>
      <c r="BK157" s="64" t="s">
        <v>88</v>
      </c>
      <c r="BL157" s="52" t="s">
        <v>251</v>
      </c>
    </row>
    <row r="158" spans="1:64">
      <c r="A158" s="681">
        <v>151</v>
      </c>
      <c r="B158" s="682"/>
      <c r="C158" s="59" t="str">
        <f t="shared" si="4"/>
        <v>管理机构</v>
      </c>
      <c r="D158" s="23"/>
      <c r="E158" s="23"/>
      <c r="F158" s="23"/>
      <c r="G158" s="23"/>
      <c r="H158" s="23"/>
      <c r="I158" s="23"/>
      <c r="J158" s="23"/>
      <c r="K158" s="41"/>
      <c r="L158" s="476" t="s">
        <v>27</v>
      </c>
      <c r="M158" s="474"/>
      <c r="N158" s="474"/>
      <c r="O158" s="474"/>
      <c r="P158" s="474"/>
      <c r="Q158" s="474"/>
      <c r="R158" s="474"/>
      <c r="S158" s="474"/>
      <c r="T158" s="474"/>
      <c r="U158" s="683"/>
      <c r="V158" s="682"/>
      <c r="W158" s="684"/>
      <c r="X158" s="685"/>
      <c r="Y158" s="250" t="s">
        <v>16</v>
      </c>
      <c r="Z158" s="251"/>
      <c r="AA158" s="251"/>
      <c r="AB158" s="251"/>
      <c r="AC158" s="252"/>
      <c r="AD158" s="253">
        <v>512</v>
      </c>
      <c r="AE158" s="254"/>
      <c r="AF158" s="253">
        <v>0</v>
      </c>
      <c r="AG158" s="254"/>
      <c r="AH158" s="42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41"/>
      <c r="BB158" s="23"/>
      <c r="BC158" s="23"/>
      <c r="BD158" s="23"/>
      <c r="BE158" s="23"/>
      <c r="BF158" s="23"/>
      <c r="BG158" s="43"/>
      <c r="BK158" s="64" t="s">
        <v>96</v>
      </c>
      <c r="BL158" s="52" t="s">
        <v>267</v>
      </c>
    </row>
    <row r="159" spans="1:64">
      <c r="A159" s="681">
        <v>152</v>
      </c>
      <c r="B159" s="682"/>
      <c r="C159" s="457" t="str">
        <f t="shared" si="4"/>
        <v>协作单位类型</v>
      </c>
      <c r="D159" s="460"/>
      <c r="E159" s="460"/>
      <c r="F159" s="460"/>
      <c r="G159" s="460"/>
      <c r="H159" s="460"/>
      <c r="I159" s="460"/>
      <c r="J159" s="460"/>
      <c r="K159" s="461"/>
      <c r="L159" s="36" t="s">
        <v>183</v>
      </c>
      <c r="M159" s="23"/>
      <c r="N159" s="23"/>
      <c r="O159" s="23"/>
      <c r="P159" s="23"/>
      <c r="Q159" s="23"/>
      <c r="R159" s="23"/>
      <c r="S159" s="23"/>
      <c r="T159" s="23"/>
      <c r="U159" s="683"/>
      <c r="V159" s="682"/>
      <c r="W159" s="684"/>
      <c r="X159" s="685"/>
      <c r="Y159" s="250" t="s">
        <v>16</v>
      </c>
      <c r="Z159" s="251"/>
      <c r="AA159" s="251"/>
      <c r="AB159" s="251"/>
      <c r="AC159" s="252"/>
      <c r="AD159" s="253">
        <v>32</v>
      </c>
      <c r="AE159" s="254"/>
      <c r="AF159" s="253">
        <v>0</v>
      </c>
      <c r="AG159" s="254"/>
      <c r="AH159" s="42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41"/>
      <c r="BB159" s="23"/>
      <c r="BC159" s="23"/>
      <c r="BD159" s="23"/>
      <c r="BE159" s="23"/>
      <c r="BF159" s="23"/>
      <c r="BG159" s="43"/>
      <c r="BK159" s="64" t="s">
        <v>180</v>
      </c>
      <c r="BL159" s="52" t="s">
        <v>180</v>
      </c>
    </row>
    <row r="160" spans="1:64">
      <c r="A160" s="681">
        <v>153</v>
      </c>
      <c r="B160" s="682"/>
      <c r="C160" s="59" t="str">
        <f t="shared" si="4"/>
        <v>firstID对应OA机构ID</v>
      </c>
      <c r="D160" s="23"/>
      <c r="E160" s="23"/>
      <c r="F160" s="23"/>
      <c r="G160" s="23"/>
      <c r="H160" s="23"/>
      <c r="I160" s="23"/>
      <c r="J160" s="23"/>
      <c r="K160" s="41"/>
      <c r="L160" s="476" t="s">
        <v>184</v>
      </c>
      <c r="M160" s="474"/>
      <c r="N160" s="474"/>
      <c r="O160" s="474"/>
      <c r="P160" s="474"/>
      <c r="Q160" s="474"/>
      <c r="R160" s="474"/>
      <c r="S160" s="474"/>
      <c r="T160" s="474"/>
      <c r="U160" s="683"/>
      <c r="V160" s="682"/>
      <c r="W160" s="684"/>
      <c r="X160" s="685"/>
      <c r="Y160" s="250" t="s">
        <v>16</v>
      </c>
      <c r="Z160" s="251"/>
      <c r="AA160" s="251"/>
      <c r="AB160" s="251"/>
      <c r="AC160" s="252"/>
      <c r="AD160" s="253">
        <v>100</v>
      </c>
      <c r="AE160" s="254"/>
      <c r="AF160" s="253">
        <v>0</v>
      </c>
      <c r="AG160" s="254"/>
      <c r="AH160" s="42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41"/>
      <c r="BB160" s="23"/>
      <c r="BC160" s="23"/>
      <c r="BD160" s="23"/>
      <c r="BE160" s="23"/>
      <c r="BF160" s="23"/>
      <c r="BG160" s="43"/>
      <c r="BK160" s="64" t="s">
        <v>181</v>
      </c>
      <c r="BL160" s="52" t="s">
        <v>181</v>
      </c>
    </row>
    <row r="161" spans="1:64">
      <c r="A161" s="681">
        <v>154</v>
      </c>
      <c r="B161" s="682"/>
      <c r="C161" s="457" t="str">
        <f t="shared" si="4"/>
        <v>是否通过云电商进行招标</v>
      </c>
      <c r="D161" s="460"/>
      <c r="E161" s="460"/>
      <c r="F161" s="460"/>
      <c r="G161" s="460"/>
      <c r="H161" s="460"/>
      <c r="I161" s="460"/>
      <c r="J161" s="460"/>
      <c r="K161" s="461"/>
      <c r="L161" s="36" t="s">
        <v>185</v>
      </c>
      <c r="M161" s="23"/>
      <c r="N161" s="23"/>
      <c r="O161" s="23"/>
      <c r="P161" s="23"/>
      <c r="Q161" s="23"/>
      <c r="R161" s="23"/>
      <c r="S161" s="23"/>
      <c r="T161" s="23"/>
      <c r="U161" s="683"/>
      <c r="V161" s="682"/>
      <c r="W161" s="684"/>
      <c r="X161" s="685"/>
      <c r="Y161" s="250" t="s">
        <v>16</v>
      </c>
      <c r="Z161" s="251"/>
      <c r="AA161" s="251"/>
      <c r="AB161" s="251"/>
      <c r="AC161" s="252"/>
      <c r="AD161" s="253">
        <v>8</v>
      </c>
      <c r="AE161" s="254"/>
      <c r="AF161" s="253">
        <v>0</v>
      </c>
      <c r="AG161" s="254"/>
      <c r="AH161" s="42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41"/>
      <c r="BB161" s="23"/>
      <c r="BC161" s="23"/>
      <c r="BD161" s="23"/>
      <c r="BE161" s="23"/>
      <c r="BF161" s="23"/>
      <c r="BG161" s="43"/>
      <c r="BK161" s="411"/>
      <c r="BL161" s="411"/>
    </row>
    <row r="162" spans="1:64">
      <c r="A162" s="681">
        <v>155</v>
      </c>
      <c r="B162" s="682"/>
      <c r="C162" s="457" t="str">
        <f t="shared" si="4"/>
        <v>招标方式</v>
      </c>
      <c r="D162" s="460"/>
      <c r="E162" s="460"/>
      <c r="F162" s="460"/>
      <c r="G162" s="460"/>
      <c r="H162" s="460"/>
      <c r="I162" s="460"/>
      <c r="J162" s="460"/>
      <c r="K162" s="461"/>
      <c r="L162" s="36" t="s">
        <v>186</v>
      </c>
      <c r="M162" s="23"/>
      <c r="N162" s="23"/>
      <c r="O162" s="23"/>
      <c r="P162" s="23"/>
      <c r="Q162" s="23"/>
      <c r="R162" s="23"/>
      <c r="S162" s="23"/>
      <c r="T162" s="23"/>
      <c r="U162" s="683"/>
      <c r="V162" s="682"/>
      <c r="W162" s="684"/>
      <c r="X162" s="685"/>
      <c r="Y162" s="250" t="s">
        <v>16</v>
      </c>
      <c r="Z162" s="251"/>
      <c r="AA162" s="251"/>
      <c r="AB162" s="251"/>
      <c r="AC162" s="252"/>
      <c r="AD162" s="253">
        <v>16</v>
      </c>
      <c r="AE162" s="254"/>
      <c r="AF162" s="253">
        <v>0</v>
      </c>
      <c r="AG162" s="254"/>
      <c r="AH162" s="330" t="s">
        <v>1770</v>
      </c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41"/>
      <c r="BB162" s="23"/>
      <c r="BC162" s="23"/>
      <c r="BD162" s="23"/>
      <c r="BE162" s="23"/>
      <c r="BF162" s="23"/>
      <c r="BG162" s="43"/>
      <c r="BK162" s="410" t="s">
        <v>753</v>
      </c>
      <c r="BL162" s="410"/>
    </row>
    <row r="163" spans="1:64">
      <c r="A163" s="681">
        <v>156</v>
      </c>
      <c r="B163" s="682"/>
      <c r="C163" s="457" t="str">
        <f t="shared" si="4"/>
        <v>云电商招标方案编号</v>
      </c>
      <c r="D163" s="460"/>
      <c r="E163" s="460"/>
      <c r="F163" s="460"/>
      <c r="G163" s="460"/>
      <c r="H163" s="460"/>
      <c r="I163" s="460"/>
      <c r="J163" s="460"/>
      <c r="K163" s="461"/>
      <c r="L163" s="36" t="s">
        <v>187</v>
      </c>
      <c r="M163" s="23"/>
      <c r="N163" s="23"/>
      <c r="O163" s="23"/>
      <c r="P163" s="23"/>
      <c r="Q163" s="23"/>
      <c r="R163" s="23"/>
      <c r="S163" s="23"/>
      <c r="T163" s="23"/>
      <c r="U163" s="683"/>
      <c r="V163" s="682"/>
      <c r="W163" s="684"/>
      <c r="X163" s="685"/>
      <c r="Y163" s="250" t="s">
        <v>16</v>
      </c>
      <c r="Z163" s="251"/>
      <c r="AA163" s="251"/>
      <c r="AB163" s="251"/>
      <c r="AC163" s="252"/>
      <c r="AD163" s="253">
        <v>100</v>
      </c>
      <c r="AE163" s="254"/>
      <c r="AF163" s="253">
        <v>0</v>
      </c>
      <c r="AG163" s="254"/>
      <c r="AH163" s="42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41"/>
      <c r="BB163" s="23"/>
      <c r="BC163" s="23"/>
      <c r="BD163" s="23"/>
      <c r="BE163" s="23"/>
      <c r="BF163" s="23"/>
      <c r="BG163" s="43"/>
      <c r="BK163" s="412" t="s">
        <v>752</v>
      </c>
      <c r="BL163" s="412"/>
    </row>
    <row r="164" spans="1:64">
      <c r="A164" s="681">
        <v>157</v>
      </c>
      <c r="B164" s="682"/>
      <c r="C164" s="457" t="str">
        <f t="shared" si="4"/>
        <v>组织招标主体</v>
      </c>
      <c r="D164" s="460"/>
      <c r="E164" s="460"/>
      <c r="F164" s="460"/>
      <c r="G164" s="460"/>
      <c r="H164" s="460"/>
      <c r="I164" s="460"/>
      <c r="J164" s="460"/>
      <c r="K164" s="461"/>
      <c r="L164" s="36" t="s">
        <v>188</v>
      </c>
      <c r="M164" s="23"/>
      <c r="N164" s="23"/>
      <c r="O164" s="23"/>
      <c r="P164" s="23"/>
      <c r="Q164" s="23"/>
      <c r="R164" s="23"/>
      <c r="S164" s="23"/>
      <c r="T164" s="23"/>
      <c r="U164" s="683"/>
      <c r="V164" s="682"/>
      <c r="W164" s="684"/>
      <c r="X164" s="685"/>
      <c r="Y164" s="250" t="s">
        <v>16</v>
      </c>
      <c r="Z164" s="251"/>
      <c r="AA164" s="251"/>
      <c r="AB164" s="251"/>
      <c r="AC164" s="252"/>
      <c r="AD164" s="253">
        <v>16</v>
      </c>
      <c r="AE164" s="254"/>
      <c r="AF164" s="253">
        <v>0</v>
      </c>
      <c r="AG164" s="254"/>
      <c r="AH164" s="330" t="s">
        <v>1771</v>
      </c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41"/>
      <c r="BB164" s="23"/>
      <c r="BC164" s="23"/>
      <c r="BD164" s="23"/>
      <c r="BE164" s="23"/>
      <c r="BF164" s="23"/>
      <c r="BG164" s="43"/>
      <c r="BK164" s="409" t="s">
        <v>1067</v>
      </c>
      <c r="BL164" s="409"/>
    </row>
    <row r="165" spans="1:64">
      <c r="A165" s="681">
        <v>158</v>
      </c>
      <c r="B165" s="682"/>
      <c r="C165" s="457" t="str">
        <f t="shared" si="4"/>
        <v>各单位主管部门是否参与</v>
      </c>
      <c r="D165" s="460"/>
      <c r="E165" s="460"/>
      <c r="F165" s="460"/>
      <c r="G165" s="460"/>
      <c r="H165" s="460"/>
      <c r="I165" s="460"/>
      <c r="J165" s="460"/>
      <c r="K165" s="461"/>
      <c r="L165" s="36" t="s">
        <v>189</v>
      </c>
      <c r="M165" s="23"/>
      <c r="N165" s="23"/>
      <c r="O165" s="23"/>
      <c r="P165" s="23"/>
      <c r="Q165" s="23"/>
      <c r="R165" s="23"/>
      <c r="S165" s="23"/>
      <c r="T165" s="23"/>
      <c r="U165" s="683"/>
      <c r="V165" s="682"/>
      <c r="W165" s="684"/>
      <c r="X165" s="685"/>
      <c r="Y165" s="250" t="s">
        <v>16</v>
      </c>
      <c r="Z165" s="251"/>
      <c r="AA165" s="251"/>
      <c r="AB165" s="251"/>
      <c r="AC165" s="252"/>
      <c r="AD165" s="253">
        <v>8</v>
      </c>
      <c r="AE165" s="254"/>
      <c r="AF165" s="253">
        <v>0</v>
      </c>
      <c r="AG165" s="254"/>
      <c r="AH165" s="42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41"/>
      <c r="BB165" s="23"/>
      <c r="BC165" s="23"/>
      <c r="BD165" s="23"/>
      <c r="BE165" s="23"/>
      <c r="BF165" s="23"/>
      <c r="BG165" s="43"/>
      <c r="BK165" s="120"/>
      <c r="BL165" s="52"/>
    </row>
    <row r="166" spans="1:64">
      <c r="A166" s="681">
        <v>159</v>
      </c>
      <c r="B166" s="682"/>
      <c r="C166" s="457" t="str">
        <f t="shared" si="4"/>
        <v>参与方式</v>
      </c>
      <c r="D166" s="460"/>
      <c r="E166" s="460"/>
      <c r="F166" s="460"/>
      <c r="G166" s="460"/>
      <c r="H166" s="460"/>
      <c r="I166" s="460"/>
      <c r="J166" s="460"/>
      <c r="K166" s="461"/>
      <c r="L166" s="36" t="s">
        <v>190</v>
      </c>
      <c r="M166" s="23"/>
      <c r="N166" s="23"/>
      <c r="O166" s="23"/>
      <c r="P166" s="23"/>
      <c r="Q166" s="23"/>
      <c r="R166" s="23"/>
      <c r="S166" s="23"/>
      <c r="T166" s="23"/>
      <c r="U166" s="683"/>
      <c r="V166" s="682"/>
      <c r="W166" s="684"/>
      <c r="X166" s="685"/>
      <c r="Y166" s="250" t="s">
        <v>16</v>
      </c>
      <c r="Z166" s="251"/>
      <c r="AA166" s="251"/>
      <c r="AB166" s="251"/>
      <c r="AC166" s="252"/>
      <c r="AD166" s="253">
        <v>16</v>
      </c>
      <c r="AE166" s="254"/>
      <c r="AF166" s="253">
        <v>0</v>
      </c>
      <c r="AG166" s="254"/>
      <c r="AH166" s="330" t="s">
        <v>1769</v>
      </c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41"/>
      <c r="BB166" s="23"/>
      <c r="BC166" s="23"/>
      <c r="BD166" s="23"/>
      <c r="BE166" s="23"/>
      <c r="BF166" s="23"/>
      <c r="BG166" s="43"/>
      <c r="BK166" s="50" t="s">
        <v>904</v>
      </c>
      <c r="BL166" s="52" t="s">
        <v>905</v>
      </c>
    </row>
    <row r="167" spans="1:64">
      <c r="A167" s="681">
        <v>160</v>
      </c>
      <c r="B167" s="682"/>
      <c r="C167" s="457" t="str">
        <f t="shared" si="4"/>
        <v>各单位主管部门是否参与评标</v>
      </c>
      <c r="D167" s="460"/>
      <c r="E167" s="460"/>
      <c r="F167" s="460"/>
      <c r="G167" s="460"/>
      <c r="H167" s="460"/>
      <c r="I167" s="460"/>
      <c r="J167" s="460"/>
      <c r="K167" s="461"/>
      <c r="L167" s="36" t="s">
        <v>191</v>
      </c>
      <c r="M167" s="23"/>
      <c r="N167" s="23"/>
      <c r="O167" s="23"/>
      <c r="P167" s="23"/>
      <c r="Q167" s="23"/>
      <c r="R167" s="23"/>
      <c r="S167" s="23"/>
      <c r="T167" s="23"/>
      <c r="U167" s="683"/>
      <c r="V167" s="682"/>
      <c r="W167" s="684"/>
      <c r="X167" s="685"/>
      <c r="Y167" s="250" t="s">
        <v>16</v>
      </c>
      <c r="Z167" s="251"/>
      <c r="AA167" s="251"/>
      <c r="AB167" s="251"/>
      <c r="AC167" s="252"/>
      <c r="AD167" s="253">
        <v>8</v>
      </c>
      <c r="AE167" s="254"/>
      <c r="AF167" s="253">
        <v>0</v>
      </c>
      <c r="AG167" s="254"/>
      <c r="AH167" s="42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41"/>
      <c r="BB167" s="23"/>
      <c r="BC167" s="23"/>
      <c r="BD167" s="23"/>
      <c r="BE167" s="23"/>
      <c r="BF167" s="23"/>
      <c r="BG167" s="43"/>
      <c r="BK167" s="50" t="s">
        <v>1039</v>
      </c>
      <c r="BL167" s="52" t="s">
        <v>1041</v>
      </c>
    </row>
    <row r="168" spans="1:64">
      <c r="A168" s="681">
        <v>161</v>
      </c>
      <c r="B168" s="682"/>
      <c r="C168" s="457" t="str">
        <f t="shared" si="4"/>
        <v>合同所属事业部</v>
      </c>
      <c r="D168" s="460"/>
      <c r="E168" s="460"/>
      <c r="F168" s="460"/>
      <c r="G168" s="460"/>
      <c r="H168" s="460"/>
      <c r="I168" s="460"/>
      <c r="J168" s="460"/>
      <c r="K168" s="461"/>
      <c r="L168" s="36" t="s">
        <v>192</v>
      </c>
      <c r="M168" s="23"/>
      <c r="N168" s="23"/>
      <c r="O168" s="23"/>
      <c r="P168" s="23"/>
      <c r="Q168" s="23"/>
      <c r="R168" s="23"/>
      <c r="S168" s="23"/>
      <c r="T168" s="23"/>
      <c r="U168" s="683"/>
      <c r="V168" s="682"/>
      <c r="W168" s="684"/>
      <c r="X168" s="685"/>
      <c r="Y168" s="250" t="s">
        <v>16</v>
      </c>
      <c r="Z168" s="251"/>
      <c r="AA168" s="251"/>
      <c r="AB168" s="251"/>
      <c r="AC168" s="252"/>
      <c r="AD168" s="253">
        <v>64</v>
      </c>
      <c r="AE168" s="254"/>
      <c r="AF168" s="253">
        <v>0</v>
      </c>
      <c r="AG168" s="254"/>
      <c r="AH168" s="330" t="s">
        <v>1755</v>
      </c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41"/>
      <c r="BB168" s="23"/>
      <c r="BC168" s="23"/>
      <c r="BD168" s="23"/>
      <c r="BE168" s="23"/>
      <c r="BF168" s="23"/>
      <c r="BG168" s="43"/>
      <c r="BK168" s="50" t="s">
        <v>1042</v>
      </c>
      <c r="BL168" s="52" t="s">
        <v>1044</v>
      </c>
    </row>
    <row r="169" spans="1:64">
      <c r="A169" s="681">
        <v>162</v>
      </c>
      <c r="B169" s="682"/>
      <c r="C169" s="457" t="str">
        <f t="shared" si="4"/>
        <v>包件编号</v>
      </c>
      <c r="D169" s="460"/>
      <c r="E169" s="460"/>
      <c r="F169" s="460"/>
      <c r="G169" s="460"/>
      <c r="H169" s="460"/>
      <c r="I169" s="460"/>
      <c r="J169" s="460"/>
      <c r="K169" s="461"/>
      <c r="L169" s="36" t="s">
        <v>193</v>
      </c>
      <c r="M169" s="23"/>
      <c r="N169" s="23"/>
      <c r="O169" s="23"/>
      <c r="P169" s="23"/>
      <c r="Q169" s="23"/>
      <c r="R169" s="23"/>
      <c r="S169" s="23"/>
      <c r="T169" s="23"/>
      <c r="U169" s="683"/>
      <c r="V169" s="682"/>
      <c r="W169" s="684"/>
      <c r="X169" s="685"/>
      <c r="Y169" s="250" t="s">
        <v>16</v>
      </c>
      <c r="Z169" s="251"/>
      <c r="AA169" s="251"/>
      <c r="AB169" s="251"/>
      <c r="AC169" s="252"/>
      <c r="AD169" s="253">
        <v>128</v>
      </c>
      <c r="AE169" s="254"/>
      <c r="AF169" s="253">
        <v>0</v>
      </c>
      <c r="AG169" s="254"/>
      <c r="AH169" s="42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41"/>
      <c r="BB169" s="23"/>
      <c r="BC169" s="23"/>
      <c r="BD169" s="23"/>
      <c r="BE169" s="23"/>
      <c r="BF169" s="23"/>
      <c r="BG169" s="43"/>
      <c r="BK169" s="50" t="s">
        <v>1045</v>
      </c>
      <c r="BL169" s="52" t="s">
        <v>1046</v>
      </c>
    </row>
    <row r="170" spans="1:64">
      <c r="A170" s="681">
        <v>163</v>
      </c>
      <c r="B170" s="682"/>
      <c r="C170" s="457" t="str">
        <f t="shared" si="4"/>
        <v>包件ID</v>
      </c>
      <c r="D170" s="460"/>
      <c r="E170" s="460"/>
      <c r="F170" s="460"/>
      <c r="G170" s="460"/>
      <c r="H170" s="460"/>
      <c r="I170" s="460"/>
      <c r="J170" s="460"/>
      <c r="K170" s="461"/>
      <c r="L170" s="1" t="s">
        <v>1754</v>
      </c>
      <c r="M170" s="23"/>
      <c r="N170" s="23"/>
      <c r="O170" s="23"/>
      <c r="P170" s="23"/>
      <c r="Q170" s="23"/>
      <c r="R170" s="23"/>
      <c r="S170" s="23"/>
      <c r="T170" s="23"/>
      <c r="U170" s="683"/>
      <c r="V170" s="682"/>
      <c r="W170" s="684"/>
      <c r="X170" s="685"/>
      <c r="Y170" s="250" t="s">
        <v>16</v>
      </c>
      <c r="Z170" s="251"/>
      <c r="AA170" s="251"/>
      <c r="AB170" s="251"/>
      <c r="AC170" s="252"/>
      <c r="AD170" s="253">
        <v>100</v>
      </c>
      <c r="AE170" s="254"/>
      <c r="AF170" s="253">
        <v>0</v>
      </c>
      <c r="AG170" s="254"/>
      <c r="AH170" s="42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41"/>
      <c r="BB170" s="23"/>
      <c r="BC170" s="23"/>
      <c r="BD170" s="23"/>
      <c r="BE170" s="23"/>
      <c r="BF170" s="23"/>
      <c r="BG170" s="43"/>
      <c r="BK170" s="50" t="s">
        <v>978</v>
      </c>
      <c r="BL170" s="52" t="s">
        <v>1047</v>
      </c>
    </row>
    <row r="171" spans="1:64">
      <c r="A171" s="681">
        <v>164</v>
      </c>
      <c r="B171" s="682"/>
      <c r="C171" s="59" t="str">
        <f t="shared" si="4"/>
        <v>投资合同编号</v>
      </c>
      <c r="D171" s="23"/>
      <c r="E171" s="23"/>
      <c r="F171" s="23"/>
      <c r="G171" s="23"/>
      <c r="H171" s="23"/>
      <c r="I171" s="23"/>
      <c r="J171" s="23"/>
      <c r="K171" s="41"/>
      <c r="L171" s="1" t="s">
        <v>976</v>
      </c>
      <c r="M171" s="23"/>
      <c r="N171" s="23"/>
      <c r="O171" s="23"/>
      <c r="P171" s="23"/>
      <c r="Q171" s="23"/>
      <c r="R171" s="23"/>
      <c r="S171" s="23"/>
      <c r="T171" s="23"/>
      <c r="U171" s="683"/>
      <c r="V171" s="682"/>
      <c r="W171" s="684"/>
      <c r="X171" s="685"/>
      <c r="Y171" s="250" t="s">
        <v>16</v>
      </c>
      <c r="Z171" s="251"/>
      <c r="AA171" s="251"/>
      <c r="AB171" s="251"/>
      <c r="AC171" s="252"/>
      <c r="AD171" s="253">
        <v>64</v>
      </c>
      <c r="AE171" s="254"/>
      <c r="AF171" s="253">
        <v>0</v>
      </c>
      <c r="AG171" s="254"/>
      <c r="AH171" s="42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41"/>
      <c r="BB171" s="23"/>
      <c r="BC171" s="23"/>
      <c r="BD171" s="23"/>
      <c r="BE171" s="23"/>
      <c r="BF171" s="23"/>
      <c r="BG171" s="43"/>
      <c r="BK171" s="50" t="s">
        <v>1048</v>
      </c>
      <c r="BL171" s="52" t="s">
        <v>1046</v>
      </c>
    </row>
    <row r="172" spans="1:64">
      <c r="A172" s="681">
        <v>165</v>
      </c>
      <c r="B172" s="682"/>
      <c r="C172" s="59" t="str">
        <f t="shared" si="4"/>
        <v>物资类别ID</v>
      </c>
      <c r="D172" s="23"/>
      <c r="E172" s="23"/>
      <c r="F172" s="23"/>
      <c r="G172" s="23"/>
      <c r="H172" s="23"/>
      <c r="I172" s="23"/>
      <c r="J172" s="23"/>
      <c r="K172" s="41"/>
      <c r="L172" s="36" t="s">
        <v>196</v>
      </c>
      <c r="M172" s="23"/>
      <c r="N172" s="23"/>
      <c r="O172" s="23"/>
      <c r="P172" s="23"/>
      <c r="Q172" s="23"/>
      <c r="R172" s="23"/>
      <c r="S172" s="23"/>
      <c r="T172" s="23"/>
      <c r="U172" s="683"/>
      <c r="V172" s="682"/>
      <c r="W172" s="684"/>
      <c r="X172" s="685"/>
      <c r="Y172" s="250" t="s">
        <v>16</v>
      </c>
      <c r="Z172" s="251"/>
      <c r="AA172" s="251"/>
      <c r="AB172" s="251"/>
      <c r="AC172" s="252"/>
      <c r="AD172" s="253">
        <v>128</v>
      </c>
      <c r="AE172" s="254"/>
      <c r="AF172" s="253">
        <v>0</v>
      </c>
      <c r="AG172" s="254"/>
      <c r="AH172" s="42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41"/>
      <c r="BB172" s="23"/>
      <c r="BC172" s="23"/>
      <c r="BD172" s="23"/>
      <c r="BE172" s="23"/>
      <c r="BF172" s="23"/>
      <c r="BG172" s="43"/>
      <c r="BK172" s="50" t="s">
        <v>1049</v>
      </c>
      <c r="BL172" s="52" t="s">
        <v>1050</v>
      </c>
    </row>
    <row r="173" spans="1:64">
      <c r="A173" s="681">
        <v>166</v>
      </c>
      <c r="B173" s="682"/>
      <c r="C173" s="59" t="str">
        <f t="shared" si="4"/>
        <v>物资类别</v>
      </c>
      <c r="D173" s="23"/>
      <c r="E173" s="23"/>
      <c r="F173" s="23"/>
      <c r="G173" s="23"/>
      <c r="H173" s="23"/>
      <c r="I173" s="23"/>
      <c r="J173" s="23"/>
      <c r="K173" s="41"/>
      <c r="L173" s="36" t="s">
        <v>197</v>
      </c>
      <c r="M173" s="23"/>
      <c r="N173" s="23"/>
      <c r="O173" s="23"/>
      <c r="P173" s="23"/>
      <c r="Q173" s="23"/>
      <c r="R173" s="23"/>
      <c r="S173" s="23"/>
      <c r="T173" s="23"/>
      <c r="U173" s="683"/>
      <c r="V173" s="682"/>
      <c r="W173" s="684"/>
      <c r="X173" s="685"/>
      <c r="Y173" s="250" t="s">
        <v>16</v>
      </c>
      <c r="Z173" s="251"/>
      <c r="AA173" s="251"/>
      <c r="AB173" s="251"/>
      <c r="AC173" s="252"/>
      <c r="AD173" s="253">
        <v>256</v>
      </c>
      <c r="AE173" s="254"/>
      <c r="AF173" s="253">
        <v>0</v>
      </c>
      <c r="AG173" s="254"/>
      <c r="AH173" s="42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41"/>
      <c r="BB173" s="23"/>
      <c r="BC173" s="23"/>
      <c r="BD173" s="23"/>
      <c r="BE173" s="23"/>
      <c r="BF173" s="23"/>
      <c r="BG173" s="43"/>
      <c r="BK173" s="50" t="s">
        <v>1051</v>
      </c>
      <c r="BL173" s="52" t="s">
        <v>1610</v>
      </c>
    </row>
    <row r="174" spans="1:64">
      <c r="A174" s="681">
        <v>167</v>
      </c>
      <c r="B174" s="682"/>
      <c r="C174" s="496" t="s">
        <v>1606</v>
      </c>
      <c r="D174" s="230"/>
      <c r="E174" s="230"/>
      <c r="F174" s="230"/>
      <c r="G174" s="230"/>
      <c r="H174" s="230"/>
      <c r="I174" s="230"/>
      <c r="J174" s="230"/>
      <c r="K174" s="238"/>
      <c r="L174" s="1" t="s">
        <v>1615</v>
      </c>
      <c r="M174" s="334"/>
      <c r="N174" s="334"/>
      <c r="O174" s="334"/>
      <c r="P174" s="334"/>
      <c r="Q174" s="334"/>
      <c r="R174" s="334"/>
      <c r="S174" s="334"/>
      <c r="T174" s="334"/>
      <c r="U174" s="683"/>
      <c r="V174" s="682"/>
      <c r="W174" s="684"/>
      <c r="X174" s="685"/>
      <c r="Y174" s="493" t="s">
        <v>1620</v>
      </c>
      <c r="Z174" s="492"/>
      <c r="AA174" s="492"/>
      <c r="AB174" s="492"/>
      <c r="AC174" s="492"/>
      <c r="AD174" s="689">
        <v>32</v>
      </c>
      <c r="AE174" s="690"/>
      <c r="AF174" s="689"/>
      <c r="AG174" s="690"/>
      <c r="AH174" s="231" t="s">
        <v>1614</v>
      </c>
      <c r="AI174" s="230"/>
      <c r="AJ174" s="230"/>
      <c r="AK174" s="230"/>
      <c r="AL174" s="230"/>
      <c r="AM174" s="334"/>
      <c r="AN174" s="334"/>
      <c r="AO174" s="334"/>
      <c r="AP174" s="334"/>
      <c r="AQ174" s="334"/>
      <c r="AR174" s="334"/>
      <c r="AS174" s="334"/>
      <c r="AT174" s="334"/>
      <c r="AU174" s="334"/>
      <c r="AV174" s="334"/>
      <c r="AW174" s="334"/>
      <c r="AX174" s="334"/>
      <c r="AY174" s="334"/>
      <c r="AZ174" s="334"/>
      <c r="BA174" s="335"/>
      <c r="BB174" s="334"/>
      <c r="BC174" s="334"/>
      <c r="BD174" s="334"/>
      <c r="BE174" s="334"/>
      <c r="BF174" s="334"/>
      <c r="BG174" s="43"/>
      <c r="BK174" s="50" t="s">
        <v>1038</v>
      </c>
      <c r="BL174" s="52" t="s">
        <v>1052</v>
      </c>
    </row>
    <row r="175" spans="1:64">
      <c r="A175" s="681">
        <v>168</v>
      </c>
      <c r="B175" s="682"/>
      <c r="C175" s="496" t="s">
        <v>1607</v>
      </c>
      <c r="D175" s="230"/>
      <c r="E175" s="230"/>
      <c r="F175" s="230"/>
      <c r="G175" s="230"/>
      <c r="H175" s="230"/>
      <c r="I175" s="230"/>
      <c r="J175" s="230"/>
      <c r="K175" s="238"/>
      <c r="L175" s="1" t="s">
        <v>1611</v>
      </c>
      <c r="M175" s="334"/>
      <c r="N175" s="334"/>
      <c r="O175" s="334"/>
      <c r="P175" s="334"/>
      <c r="Q175" s="334"/>
      <c r="R175" s="334"/>
      <c r="S175" s="334"/>
      <c r="T175" s="334"/>
      <c r="U175" s="683"/>
      <c r="V175" s="682"/>
      <c r="W175" s="684"/>
      <c r="X175" s="685"/>
      <c r="Y175" s="493" t="s">
        <v>1613</v>
      </c>
      <c r="Z175" s="492"/>
      <c r="AA175" s="492"/>
      <c r="AB175" s="492"/>
      <c r="AC175" s="492"/>
      <c r="AD175" s="689">
        <v>300</v>
      </c>
      <c r="AE175" s="690"/>
      <c r="AF175" s="689"/>
      <c r="AG175" s="690"/>
      <c r="AH175" s="231" t="s">
        <v>1614</v>
      </c>
      <c r="AI175" s="230"/>
      <c r="AJ175" s="230"/>
      <c r="AK175" s="230"/>
      <c r="AL175" s="230"/>
      <c r="AM175" s="334"/>
      <c r="AN175" s="334"/>
      <c r="AO175" s="334"/>
      <c r="AP175" s="334"/>
      <c r="AQ175" s="334"/>
      <c r="AR175" s="334"/>
      <c r="AS175" s="334"/>
      <c r="AT175" s="334"/>
      <c r="AU175" s="334"/>
      <c r="AV175" s="334"/>
      <c r="AW175" s="334"/>
      <c r="AX175" s="334"/>
      <c r="AY175" s="334"/>
      <c r="AZ175" s="334"/>
      <c r="BA175" s="335"/>
      <c r="BB175" s="334"/>
      <c r="BC175" s="334"/>
      <c r="BD175" s="334"/>
      <c r="BE175" s="334"/>
      <c r="BF175" s="334"/>
      <c r="BG175" s="43"/>
      <c r="BK175" s="50" t="s">
        <v>1053</v>
      </c>
      <c r="BL175" s="52" t="s">
        <v>1054</v>
      </c>
    </row>
    <row r="176" spans="1:64">
      <c r="A176" s="681">
        <v>169</v>
      </c>
      <c r="B176" s="682"/>
      <c r="C176" s="496" t="s">
        <v>1608</v>
      </c>
      <c r="D176" s="230"/>
      <c r="E176" s="230"/>
      <c r="F176" s="230"/>
      <c r="G176" s="230"/>
      <c r="H176" s="230"/>
      <c r="I176" s="230"/>
      <c r="J176" s="230"/>
      <c r="K176" s="238"/>
      <c r="L176" s="1" t="s">
        <v>1616</v>
      </c>
      <c r="M176" s="334"/>
      <c r="N176" s="334"/>
      <c r="O176" s="334"/>
      <c r="P176" s="334"/>
      <c r="Q176" s="334"/>
      <c r="R176" s="334"/>
      <c r="S176" s="334"/>
      <c r="T176" s="334"/>
      <c r="U176" s="683"/>
      <c r="V176" s="682"/>
      <c r="W176" s="684"/>
      <c r="X176" s="685"/>
      <c r="Y176" s="493" t="s">
        <v>1621</v>
      </c>
      <c r="Z176" s="492"/>
      <c r="AA176" s="492"/>
      <c r="AB176" s="492"/>
      <c r="AC176" s="492"/>
      <c r="AD176" s="689">
        <v>32</v>
      </c>
      <c r="AE176" s="690"/>
      <c r="AF176" s="689"/>
      <c r="AG176" s="690"/>
      <c r="AH176" s="231" t="s">
        <v>1614</v>
      </c>
      <c r="AI176" s="230"/>
      <c r="AJ176" s="230"/>
      <c r="AK176" s="230"/>
      <c r="AL176" s="230"/>
      <c r="AM176" s="334"/>
      <c r="AN176" s="334"/>
      <c r="AO176" s="334"/>
      <c r="AP176" s="334"/>
      <c r="AQ176" s="334"/>
      <c r="AR176" s="334"/>
      <c r="AS176" s="334"/>
      <c r="AT176" s="334"/>
      <c r="AU176" s="334"/>
      <c r="AV176" s="334"/>
      <c r="AW176" s="334"/>
      <c r="AX176" s="334"/>
      <c r="AY176" s="334"/>
      <c r="AZ176" s="334"/>
      <c r="BA176" s="335"/>
      <c r="BB176" s="334"/>
      <c r="BC176" s="334"/>
      <c r="BD176" s="334"/>
      <c r="BE176" s="334"/>
      <c r="BF176" s="334"/>
      <c r="BG176" s="43"/>
      <c r="BK176" s="50" t="s">
        <v>1055</v>
      </c>
      <c r="BL176" s="52" t="s">
        <v>982</v>
      </c>
    </row>
    <row r="177" spans="1:65">
      <c r="A177" s="681">
        <v>170</v>
      </c>
      <c r="B177" s="682"/>
      <c r="C177" s="496" t="s">
        <v>1609</v>
      </c>
      <c r="D177" s="230"/>
      <c r="E177" s="230"/>
      <c r="F177" s="230"/>
      <c r="G177" s="230"/>
      <c r="H177" s="230"/>
      <c r="I177" s="230"/>
      <c r="J177" s="230"/>
      <c r="K177" s="238"/>
      <c r="L177" s="1" t="s">
        <v>1612</v>
      </c>
      <c r="M177" s="334"/>
      <c r="N177" s="334"/>
      <c r="O177" s="334"/>
      <c r="P177" s="334"/>
      <c r="Q177" s="334"/>
      <c r="R177" s="334"/>
      <c r="S177" s="334"/>
      <c r="T177" s="334"/>
      <c r="U177" s="683"/>
      <c r="V177" s="682"/>
      <c r="W177" s="684"/>
      <c r="X177" s="685"/>
      <c r="Y177" s="493" t="s">
        <v>1613</v>
      </c>
      <c r="Z177" s="492"/>
      <c r="AA177" s="492"/>
      <c r="AB177" s="492"/>
      <c r="AC177" s="492"/>
      <c r="AD177" s="689">
        <v>300</v>
      </c>
      <c r="AE177" s="690"/>
      <c r="AF177" s="689"/>
      <c r="AG177" s="690"/>
      <c r="AH177" s="231" t="s">
        <v>1596</v>
      </c>
      <c r="AI177" s="230"/>
      <c r="AJ177" s="230"/>
      <c r="AK177" s="230"/>
      <c r="AL177" s="230"/>
      <c r="AM177" s="334"/>
      <c r="AN177" s="334"/>
      <c r="AO177" s="334"/>
      <c r="AP177" s="334"/>
      <c r="AQ177" s="334"/>
      <c r="AR177" s="334"/>
      <c r="AS177" s="334"/>
      <c r="AT177" s="334"/>
      <c r="AU177" s="334"/>
      <c r="AV177" s="334"/>
      <c r="AW177" s="334"/>
      <c r="AX177" s="334"/>
      <c r="AY177" s="334"/>
      <c r="AZ177" s="334"/>
      <c r="BA177" s="335"/>
      <c r="BB177" s="334"/>
      <c r="BC177" s="334"/>
      <c r="BD177" s="334"/>
      <c r="BE177" s="334"/>
      <c r="BF177" s="334"/>
      <c r="BG177" s="43"/>
      <c r="BK177" s="50" t="s">
        <v>1056</v>
      </c>
      <c r="BL177" s="52" t="s">
        <v>984</v>
      </c>
    </row>
    <row r="178" spans="1:65">
      <c r="A178" s="681">
        <v>171</v>
      </c>
      <c r="B178" s="682"/>
      <c r="C178" s="496" t="s">
        <v>1766</v>
      </c>
      <c r="D178" s="230"/>
      <c r="E178" s="230"/>
      <c r="F178" s="230"/>
      <c r="G178" s="230"/>
      <c r="H178" s="230"/>
      <c r="I178" s="230"/>
      <c r="J178" s="230"/>
      <c r="K178" s="238"/>
      <c r="L178" s="1" t="s">
        <v>1764</v>
      </c>
      <c r="M178" s="334"/>
      <c r="N178" s="334"/>
      <c r="O178" s="334"/>
      <c r="P178" s="334"/>
      <c r="Q178" s="334"/>
      <c r="R178" s="334"/>
      <c r="S178" s="334"/>
      <c r="T178" s="334"/>
      <c r="U178" s="683"/>
      <c r="V178" s="682"/>
      <c r="W178" s="684"/>
      <c r="X178" s="685"/>
      <c r="Y178" s="535" t="s">
        <v>17</v>
      </c>
      <c r="Z178" s="536"/>
      <c r="AA178" s="536"/>
      <c r="AB178" s="536"/>
      <c r="AC178" s="537"/>
      <c r="AD178" s="689"/>
      <c r="AE178" s="690"/>
      <c r="AF178" s="689"/>
      <c r="AG178" s="690"/>
      <c r="AH178" s="231" t="s">
        <v>1767</v>
      </c>
      <c r="AI178" s="230"/>
      <c r="AJ178" s="230"/>
      <c r="AK178" s="230"/>
      <c r="AL178" s="230"/>
      <c r="AM178" s="230"/>
      <c r="AN178" s="230"/>
      <c r="AO178" s="230"/>
      <c r="AP178" s="230"/>
      <c r="AQ178" s="230"/>
      <c r="AR178" s="334"/>
      <c r="AS178" s="334"/>
      <c r="AT178" s="334"/>
      <c r="AU178" s="334"/>
      <c r="AV178" s="334"/>
      <c r="AW178" s="248" t="s">
        <v>1947</v>
      </c>
      <c r="AX178" s="334"/>
      <c r="AY178" s="334"/>
      <c r="AZ178" s="334"/>
      <c r="BA178" s="335"/>
      <c r="BB178" s="334"/>
      <c r="BC178" s="334"/>
      <c r="BD178" s="334"/>
      <c r="BE178" s="334"/>
      <c r="BF178" s="334"/>
      <c r="BG178" s="43"/>
      <c r="BK178" s="50"/>
      <c r="BL178" s="52"/>
    </row>
    <row r="179" spans="1:65">
      <c r="A179" s="681">
        <v>172</v>
      </c>
      <c r="B179" s="682"/>
      <c r="C179" s="496" t="s">
        <v>1949</v>
      </c>
      <c r="D179" s="230"/>
      <c r="E179" s="230"/>
      <c r="F179" s="230"/>
      <c r="G179" s="230"/>
      <c r="H179" s="230"/>
      <c r="I179" s="230"/>
      <c r="J179" s="230"/>
      <c r="K179" s="238"/>
      <c r="L179" s="1" t="s">
        <v>1765</v>
      </c>
      <c r="M179" s="334"/>
      <c r="N179" s="334"/>
      <c r="O179" s="334"/>
      <c r="P179" s="334"/>
      <c r="Q179" s="334"/>
      <c r="R179" s="334"/>
      <c r="S179" s="334"/>
      <c r="T179" s="334"/>
      <c r="U179" s="683"/>
      <c r="V179" s="682"/>
      <c r="W179" s="684"/>
      <c r="X179" s="685"/>
      <c r="Y179" s="535" t="s">
        <v>17</v>
      </c>
      <c r="Z179" s="536"/>
      <c r="AA179" s="536"/>
      <c r="AB179" s="536"/>
      <c r="AC179" s="536"/>
      <c r="AD179" s="689"/>
      <c r="AE179" s="690"/>
      <c r="AF179" s="689"/>
      <c r="AG179" s="690"/>
      <c r="AH179" s="231" t="s">
        <v>1768</v>
      </c>
      <c r="AI179" s="230"/>
      <c r="AJ179" s="230"/>
      <c r="AK179" s="230"/>
      <c r="AL179" s="230"/>
      <c r="AM179" s="230"/>
      <c r="AN179" s="230"/>
      <c r="AO179" s="230"/>
      <c r="AP179" s="230"/>
      <c r="AQ179" s="230"/>
      <c r="AR179" s="334"/>
      <c r="AS179" s="334"/>
      <c r="AT179" s="334"/>
      <c r="AU179" s="334"/>
      <c r="AV179" s="334"/>
      <c r="AW179" s="248" t="s">
        <v>1948</v>
      </c>
      <c r="AX179" s="334"/>
      <c r="AY179" s="334"/>
      <c r="AZ179" s="334"/>
      <c r="BA179" s="335"/>
      <c r="BB179" s="334"/>
      <c r="BC179" s="334"/>
      <c r="BD179" s="334"/>
      <c r="BE179" s="334"/>
      <c r="BF179" s="334"/>
      <c r="BG179" s="43"/>
      <c r="BK179" s="50"/>
      <c r="BL179" s="52"/>
    </row>
    <row r="180" spans="1:65">
      <c r="A180" s="681">
        <v>173</v>
      </c>
      <c r="B180" s="682"/>
      <c r="C180" s="376" t="s">
        <v>1938</v>
      </c>
      <c r="D180" s="377"/>
      <c r="E180" s="377"/>
      <c r="F180" s="377"/>
      <c r="G180" s="377"/>
      <c r="H180" s="377"/>
      <c r="I180" s="377"/>
      <c r="J180" s="377"/>
      <c r="K180" s="378"/>
      <c r="L180" s="379" t="s">
        <v>1332</v>
      </c>
      <c r="M180" s="379"/>
      <c r="N180" s="379"/>
      <c r="O180" s="379"/>
      <c r="P180" s="379"/>
      <c r="Q180" s="379"/>
      <c r="R180" s="379"/>
      <c r="S180" s="379"/>
      <c r="T180" s="379"/>
      <c r="U180" s="760"/>
      <c r="V180" s="761"/>
      <c r="W180" s="756"/>
      <c r="X180" s="757"/>
      <c r="Y180" s="380" t="s">
        <v>1333</v>
      </c>
      <c r="Z180" s="379"/>
      <c r="AA180" s="379"/>
      <c r="AB180" s="379"/>
      <c r="AC180" s="379"/>
      <c r="AD180" s="758">
        <v>0</v>
      </c>
      <c r="AE180" s="759"/>
      <c r="AF180" s="754"/>
      <c r="AG180" s="755"/>
      <c r="AH180" s="381"/>
      <c r="AI180" s="379"/>
      <c r="AJ180" s="379"/>
      <c r="AK180" s="334"/>
      <c r="AL180" s="334"/>
      <c r="AM180" s="334"/>
      <c r="AN180" s="334"/>
      <c r="AO180" s="334"/>
      <c r="AP180" s="334"/>
      <c r="AQ180" s="334"/>
      <c r="AR180" s="334"/>
      <c r="AS180" s="334"/>
      <c r="AT180" s="334"/>
      <c r="AU180" s="334"/>
      <c r="AV180" s="334"/>
      <c r="AW180" s="334"/>
      <c r="AX180" s="334"/>
      <c r="AY180" s="334"/>
      <c r="AZ180" s="334"/>
      <c r="BA180" s="335"/>
      <c r="BB180" s="334"/>
      <c r="BC180" s="334"/>
      <c r="BD180" s="334"/>
      <c r="BE180" s="334"/>
      <c r="BF180" s="334"/>
      <c r="BG180" s="43"/>
      <c r="BK180" s="50" t="s">
        <v>985</v>
      </c>
      <c r="BL180" s="52" t="s">
        <v>987</v>
      </c>
    </row>
    <row r="181" spans="1:65">
      <c r="A181" s="681">
        <v>174</v>
      </c>
      <c r="B181" s="682"/>
      <c r="C181" s="376" t="s">
        <v>1938</v>
      </c>
      <c r="D181" s="377"/>
      <c r="E181" s="377"/>
      <c r="F181" s="377"/>
      <c r="G181" s="377"/>
      <c r="H181" s="377"/>
      <c r="I181" s="377"/>
      <c r="J181" s="377"/>
      <c r="K181" s="378"/>
      <c r="L181" s="379" t="s">
        <v>1334</v>
      </c>
      <c r="M181" s="379"/>
      <c r="N181" s="379"/>
      <c r="O181" s="379"/>
      <c r="P181" s="379"/>
      <c r="Q181" s="379"/>
      <c r="R181" s="379"/>
      <c r="S181" s="379"/>
      <c r="T181" s="379"/>
      <c r="U181" s="760"/>
      <c r="V181" s="761"/>
      <c r="W181" s="756"/>
      <c r="X181" s="757"/>
      <c r="Y181" s="380" t="s">
        <v>1333</v>
      </c>
      <c r="Z181" s="379"/>
      <c r="AA181" s="379"/>
      <c r="AB181" s="379"/>
      <c r="AC181" s="379"/>
      <c r="AD181" s="758">
        <v>0</v>
      </c>
      <c r="AE181" s="759"/>
      <c r="AF181" s="754"/>
      <c r="AG181" s="755"/>
      <c r="AH181" s="381"/>
      <c r="AI181" s="379"/>
      <c r="AJ181" s="379"/>
      <c r="AK181" s="334"/>
      <c r="AL181" s="334"/>
      <c r="AM181" s="334"/>
      <c r="AN181" s="334"/>
      <c r="AO181" s="334"/>
      <c r="AP181" s="334"/>
      <c r="AQ181" s="334"/>
      <c r="AR181" s="334"/>
      <c r="AS181" s="334"/>
      <c r="AT181" s="334"/>
      <c r="AU181" s="334"/>
      <c r="AV181" s="334"/>
      <c r="AW181" s="334"/>
      <c r="AX181" s="334"/>
      <c r="AY181" s="334"/>
      <c r="AZ181" s="334"/>
      <c r="BA181" s="335"/>
      <c r="BB181" s="334"/>
      <c r="BC181" s="334"/>
      <c r="BD181" s="334"/>
      <c r="BE181" s="334"/>
      <c r="BF181" s="334"/>
      <c r="BG181" s="43"/>
      <c r="BK181" s="50" t="s">
        <v>979</v>
      </c>
      <c r="BL181" s="52" t="s">
        <v>1057</v>
      </c>
    </row>
    <row r="182" spans="1:65">
      <c r="A182" s="681">
        <v>175</v>
      </c>
      <c r="B182" s="682"/>
      <c r="C182" s="376" t="s">
        <v>1938</v>
      </c>
      <c r="D182" s="377"/>
      <c r="E182" s="377"/>
      <c r="F182" s="377"/>
      <c r="G182" s="377"/>
      <c r="H182" s="377"/>
      <c r="I182" s="377"/>
      <c r="J182" s="377"/>
      <c r="K182" s="378"/>
      <c r="L182" s="379" t="s">
        <v>1335</v>
      </c>
      <c r="M182" s="379"/>
      <c r="N182" s="379"/>
      <c r="O182" s="379"/>
      <c r="P182" s="379"/>
      <c r="Q182" s="379"/>
      <c r="R182" s="379"/>
      <c r="S182" s="379"/>
      <c r="T182" s="379"/>
      <c r="U182" s="760"/>
      <c r="V182" s="761"/>
      <c r="W182" s="756"/>
      <c r="X182" s="757"/>
      <c r="Y182" s="380" t="s">
        <v>1333</v>
      </c>
      <c r="Z182" s="379"/>
      <c r="AA182" s="379"/>
      <c r="AB182" s="379"/>
      <c r="AC182" s="379"/>
      <c r="AD182" s="758">
        <v>0</v>
      </c>
      <c r="AE182" s="759"/>
      <c r="AF182" s="754"/>
      <c r="AG182" s="755"/>
      <c r="AH182" s="381"/>
      <c r="AI182" s="379"/>
      <c r="AJ182" s="379"/>
      <c r="AK182" s="334"/>
      <c r="AL182" s="334"/>
      <c r="AM182" s="334"/>
      <c r="AN182" s="334"/>
      <c r="AO182" s="334"/>
      <c r="AP182" s="334"/>
      <c r="AQ182" s="334"/>
      <c r="AR182" s="334"/>
      <c r="AS182" s="334"/>
      <c r="AT182" s="334"/>
      <c r="AU182" s="334"/>
      <c r="AV182" s="334"/>
      <c r="AW182" s="334"/>
      <c r="AX182" s="334"/>
      <c r="AY182" s="334"/>
      <c r="AZ182" s="334"/>
      <c r="BA182" s="335"/>
      <c r="BB182" s="334"/>
      <c r="BC182" s="334"/>
      <c r="BD182" s="334"/>
      <c r="BE182" s="334"/>
      <c r="BF182" s="334"/>
      <c r="BG182" s="43"/>
      <c r="BK182" s="50" t="s">
        <v>980</v>
      </c>
      <c r="BL182" s="52" t="s">
        <v>1058</v>
      </c>
    </row>
    <row r="183" spans="1:65">
      <c r="A183" s="681">
        <v>176</v>
      </c>
      <c r="B183" s="682"/>
      <c r="C183" s="376" t="s">
        <v>1938</v>
      </c>
      <c r="D183" s="377"/>
      <c r="E183" s="377"/>
      <c r="F183" s="377"/>
      <c r="G183" s="377"/>
      <c r="H183" s="377"/>
      <c r="I183" s="377"/>
      <c r="J183" s="377"/>
      <c r="K183" s="378"/>
      <c r="L183" s="379" t="s">
        <v>1336</v>
      </c>
      <c r="M183" s="379"/>
      <c r="N183" s="379"/>
      <c r="O183" s="379"/>
      <c r="P183" s="379"/>
      <c r="Q183" s="379"/>
      <c r="R183" s="379"/>
      <c r="S183" s="379"/>
      <c r="T183" s="379"/>
      <c r="U183" s="760"/>
      <c r="V183" s="761"/>
      <c r="W183" s="756"/>
      <c r="X183" s="757"/>
      <c r="Y183" s="380" t="s">
        <v>1333</v>
      </c>
      <c r="Z183" s="379"/>
      <c r="AA183" s="379"/>
      <c r="AB183" s="379"/>
      <c r="AC183" s="379"/>
      <c r="AD183" s="758">
        <v>0</v>
      </c>
      <c r="AE183" s="759"/>
      <c r="AF183" s="754"/>
      <c r="AG183" s="755"/>
      <c r="AH183" s="381"/>
      <c r="AI183" s="379"/>
      <c r="AJ183" s="379"/>
      <c r="AK183" s="334"/>
      <c r="AL183" s="334"/>
      <c r="AM183" s="334"/>
      <c r="AN183" s="334"/>
      <c r="AO183" s="334"/>
      <c r="AP183" s="334"/>
      <c r="AQ183" s="334"/>
      <c r="AR183" s="334"/>
      <c r="AS183" s="334"/>
      <c r="AT183" s="334"/>
      <c r="AU183" s="334"/>
      <c r="AV183" s="334"/>
      <c r="AW183" s="334"/>
      <c r="AX183" s="334"/>
      <c r="AY183" s="334"/>
      <c r="AZ183" s="334"/>
      <c r="BA183" s="335"/>
      <c r="BB183" s="334"/>
      <c r="BC183" s="334"/>
      <c r="BD183" s="334"/>
      <c r="BE183" s="334"/>
      <c r="BF183" s="334"/>
      <c r="BG183" s="43"/>
      <c r="BK183" s="50" t="s">
        <v>1036</v>
      </c>
      <c r="BL183" s="52" t="s">
        <v>1037</v>
      </c>
    </row>
    <row r="184" spans="1:65">
      <c r="A184" s="681">
        <v>177</v>
      </c>
      <c r="B184" s="682"/>
      <c r="C184" s="376" t="s">
        <v>1938</v>
      </c>
      <c r="D184" s="377"/>
      <c r="E184" s="377"/>
      <c r="F184" s="377"/>
      <c r="G184" s="377"/>
      <c r="H184" s="377"/>
      <c r="I184" s="377"/>
      <c r="J184" s="377"/>
      <c r="K184" s="378"/>
      <c r="L184" s="379" t="s">
        <v>1348</v>
      </c>
      <c r="M184" s="379"/>
      <c r="N184" s="379"/>
      <c r="O184" s="379"/>
      <c r="P184" s="379"/>
      <c r="Q184" s="379"/>
      <c r="R184" s="379"/>
      <c r="S184" s="379"/>
      <c r="T184" s="379"/>
      <c r="U184" s="760"/>
      <c r="V184" s="761"/>
      <c r="W184" s="756"/>
      <c r="X184" s="757"/>
      <c r="Y184" s="380" t="s">
        <v>1333</v>
      </c>
      <c r="Z184" s="379"/>
      <c r="AA184" s="379"/>
      <c r="AB184" s="379"/>
      <c r="AC184" s="379"/>
      <c r="AD184" s="758">
        <v>0</v>
      </c>
      <c r="AE184" s="759"/>
      <c r="AF184" s="754"/>
      <c r="AG184" s="755"/>
      <c r="AH184" s="381"/>
      <c r="AI184" s="379"/>
      <c r="AJ184" s="379"/>
      <c r="AK184" s="334"/>
      <c r="AL184" s="334"/>
      <c r="AM184" s="334"/>
      <c r="AN184" s="334"/>
      <c r="AO184" s="334"/>
      <c r="AP184" s="334"/>
      <c r="AQ184" s="334"/>
      <c r="AR184" s="334"/>
      <c r="AS184" s="334"/>
      <c r="AT184" s="334"/>
      <c r="AU184" s="334"/>
      <c r="AV184" s="334"/>
      <c r="AW184" s="334"/>
      <c r="AX184" s="334"/>
      <c r="AY184" s="334"/>
      <c r="AZ184" s="334"/>
      <c r="BA184" s="335"/>
      <c r="BB184" s="334"/>
      <c r="BC184" s="334"/>
      <c r="BD184" s="334"/>
      <c r="BE184" s="334"/>
      <c r="BF184" s="334"/>
      <c r="BG184" s="43"/>
      <c r="BK184" s="50" t="s">
        <v>1059</v>
      </c>
      <c r="BL184" s="52" t="s">
        <v>989</v>
      </c>
    </row>
    <row r="185" spans="1:65">
      <c r="A185" s="681">
        <v>178</v>
      </c>
      <c r="B185" s="682"/>
      <c r="C185" s="376" t="s">
        <v>1938</v>
      </c>
      <c r="D185" s="377"/>
      <c r="E185" s="377"/>
      <c r="F185" s="377"/>
      <c r="G185" s="377"/>
      <c r="H185" s="377"/>
      <c r="I185" s="377"/>
      <c r="J185" s="377"/>
      <c r="K185" s="378"/>
      <c r="L185" s="379" t="s">
        <v>1349</v>
      </c>
      <c r="M185" s="379"/>
      <c r="N185" s="379"/>
      <c r="O185" s="379"/>
      <c r="P185" s="379"/>
      <c r="Q185" s="379"/>
      <c r="R185" s="379"/>
      <c r="S185" s="379"/>
      <c r="T185" s="379"/>
      <c r="U185" s="760"/>
      <c r="V185" s="761"/>
      <c r="W185" s="756"/>
      <c r="X185" s="757"/>
      <c r="Y185" s="380" t="s">
        <v>1333</v>
      </c>
      <c r="Z185" s="379"/>
      <c r="AA185" s="379"/>
      <c r="AB185" s="379"/>
      <c r="AC185" s="379"/>
      <c r="AD185" s="758">
        <v>0</v>
      </c>
      <c r="AE185" s="759"/>
      <c r="AF185" s="754"/>
      <c r="AG185" s="755"/>
      <c r="AH185" s="382"/>
      <c r="AI185" s="383"/>
      <c r="AJ185" s="383"/>
      <c r="AK185" s="334"/>
      <c r="AL185" s="334"/>
      <c r="AM185" s="334"/>
      <c r="AN185" s="334"/>
      <c r="AO185" s="334"/>
      <c r="AP185" s="334"/>
      <c r="AQ185" s="334"/>
      <c r="AR185" s="334"/>
      <c r="AS185" s="334"/>
      <c r="AT185" s="334"/>
      <c r="AU185" s="334"/>
      <c r="AV185" s="334"/>
      <c r="AW185" s="334"/>
      <c r="AX185" s="334"/>
      <c r="AY185" s="334"/>
      <c r="AZ185" s="334"/>
      <c r="BA185" s="335"/>
      <c r="BB185" s="334"/>
      <c r="BC185" s="334"/>
      <c r="BD185" s="334"/>
      <c r="BE185" s="334"/>
      <c r="BF185" s="334"/>
      <c r="BG185" s="43"/>
      <c r="BK185" s="50" t="s">
        <v>1060</v>
      </c>
      <c r="BL185" s="52" t="s">
        <v>991</v>
      </c>
    </row>
    <row r="186" spans="1:65" ht="16.2" thickBot="1">
      <c r="A186" s="681">
        <v>179</v>
      </c>
      <c r="B186" s="682"/>
      <c r="C186" s="376" t="s">
        <v>1938</v>
      </c>
      <c r="D186" s="377"/>
      <c r="E186" s="377"/>
      <c r="F186" s="377"/>
      <c r="G186" s="377"/>
      <c r="H186" s="377"/>
      <c r="I186" s="377"/>
      <c r="J186" s="377"/>
      <c r="K186" s="378"/>
      <c r="L186" s="379" t="s">
        <v>1350</v>
      </c>
      <c r="M186" s="379"/>
      <c r="N186" s="379"/>
      <c r="O186" s="379"/>
      <c r="P186" s="379"/>
      <c r="Q186" s="379"/>
      <c r="R186" s="379"/>
      <c r="S186" s="379"/>
      <c r="T186" s="379"/>
      <c r="U186" s="760"/>
      <c r="V186" s="761"/>
      <c r="W186" s="756"/>
      <c r="X186" s="757"/>
      <c r="Y186" s="380" t="s">
        <v>1333</v>
      </c>
      <c r="Z186" s="379"/>
      <c r="AA186" s="379"/>
      <c r="AB186" s="379"/>
      <c r="AC186" s="379"/>
      <c r="AD186" s="758">
        <v>0</v>
      </c>
      <c r="AE186" s="759"/>
      <c r="AF186" s="754"/>
      <c r="AG186" s="755"/>
      <c r="AH186" s="382"/>
      <c r="AI186" s="383"/>
      <c r="AJ186" s="383"/>
      <c r="AK186" s="334"/>
      <c r="AL186" s="334"/>
      <c r="AM186" s="334"/>
      <c r="AN186" s="334"/>
      <c r="AO186" s="334"/>
      <c r="AP186" s="334"/>
      <c r="AQ186" s="334"/>
      <c r="AR186" s="334"/>
      <c r="AS186" s="334"/>
      <c r="AT186" s="334"/>
      <c r="AU186" s="334"/>
      <c r="AV186" s="334"/>
      <c r="AW186" s="334"/>
      <c r="AX186" s="334"/>
      <c r="AY186" s="334"/>
      <c r="AZ186" s="334"/>
      <c r="BA186" s="335"/>
      <c r="BB186" s="364"/>
      <c r="BC186" s="364"/>
      <c r="BD186" s="364"/>
      <c r="BE186" s="364"/>
      <c r="BF186" s="364"/>
      <c r="BG186" s="47"/>
      <c r="BK186" s="50" t="s">
        <v>992</v>
      </c>
      <c r="BL186" s="51" t="s">
        <v>993</v>
      </c>
      <c r="BM186" s="3" t="s">
        <v>1411</v>
      </c>
    </row>
    <row r="187" spans="1:65">
      <c r="A187" s="681">
        <v>180</v>
      </c>
      <c r="B187" s="682"/>
      <c r="C187" s="376" t="s">
        <v>1938</v>
      </c>
      <c r="D187" s="377"/>
      <c r="E187" s="377"/>
      <c r="F187" s="377"/>
      <c r="G187" s="377"/>
      <c r="H187" s="377"/>
      <c r="I187" s="377"/>
      <c r="J187" s="377"/>
      <c r="K187" s="378"/>
      <c r="L187" s="379" t="s">
        <v>1351</v>
      </c>
      <c r="M187" s="379"/>
      <c r="N187" s="379"/>
      <c r="O187" s="379"/>
      <c r="P187" s="379"/>
      <c r="Q187" s="379"/>
      <c r="R187" s="379"/>
      <c r="S187" s="379"/>
      <c r="T187" s="379"/>
      <c r="U187" s="760"/>
      <c r="V187" s="761"/>
      <c r="W187" s="756"/>
      <c r="X187" s="757"/>
      <c r="Y187" s="380" t="s">
        <v>1333</v>
      </c>
      <c r="Z187" s="379"/>
      <c r="AA187" s="379"/>
      <c r="AB187" s="379"/>
      <c r="AC187" s="379"/>
      <c r="AD187" s="758">
        <v>0</v>
      </c>
      <c r="AE187" s="759"/>
      <c r="AF187" s="754"/>
      <c r="AG187" s="755"/>
      <c r="AH187" s="382"/>
      <c r="AI187" s="383"/>
      <c r="AJ187" s="383"/>
      <c r="AK187" s="334"/>
      <c r="AL187" s="334"/>
      <c r="AM187" s="334"/>
      <c r="AN187" s="334"/>
      <c r="AO187" s="334"/>
      <c r="AP187" s="334"/>
      <c r="AQ187" s="334"/>
      <c r="AR187" s="334"/>
      <c r="AS187" s="334"/>
      <c r="AT187" s="334"/>
      <c r="AU187" s="334"/>
      <c r="AV187" s="334"/>
      <c r="AW187" s="334"/>
      <c r="AX187" s="334"/>
      <c r="AY187" s="334"/>
      <c r="AZ187" s="334"/>
      <c r="BA187" s="335"/>
      <c r="BK187" s="50" t="s">
        <v>1413</v>
      </c>
      <c r="BL187" s="51" t="s">
        <v>994</v>
      </c>
    </row>
    <row r="188" spans="1:65">
      <c r="A188" s="681">
        <v>181</v>
      </c>
      <c r="B188" s="682"/>
      <c r="C188" s="376" t="s">
        <v>1938</v>
      </c>
      <c r="D188" s="377"/>
      <c r="E188" s="377"/>
      <c r="F188" s="377"/>
      <c r="G188" s="377"/>
      <c r="H188" s="377"/>
      <c r="I188" s="377"/>
      <c r="J188" s="377"/>
      <c r="K188" s="378"/>
      <c r="L188" s="379" t="s">
        <v>1352</v>
      </c>
      <c r="M188" s="379"/>
      <c r="N188" s="379"/>
      <c r="O188" s="379"/>
      <c r="P188" s="379"/>
      <c r="Q188" s="379"/>
      <c r="R188" s="379"/>
      <c r="S188" s="379"/>
      <c r="T188" s="379"/>
      <c r="U188" s="760"/>
      <c r="V188" s="761"/>
      <c r="W188" s="756"/>
      <c r="X188" s="757"/>
      <c r="Y188" s="380" t="s">
        <v>1333</v>
      </c>
      <c r="Z188" s="379"/>
      <c r="AA188" s="379"/>
      <c r="AB188" s="379"/>
      <c r="AC188" s="379"/>
      <c r="AD188" s="758">
        <v>0</v>
      </c>
      <c r="AE188" s="759"/>
      <c r="AF188" s="754"/>
      <c r="AG188" s="755"/>
      <c r="AH188" s="382"/>
      <c r="AI188" s="383"/>
      <c r="AJ188" s="383"/>
      <c r="AK188" s="334"/>
      <c r="AL188" s="334"/>
      <c r="AM188" s="334"/>
      <c r="AN188" s="334"/>
      <c r="AO188" s="334"/>
      <c r="AP188" s="334"/>
      <c r="AQ188" s="334"/>
      <c r="AR188" s="334"/>
      <c r="AS188" s="334"/>
      <c r="AT188" s="334"/>
      <c r="AU188" s="334"/>
      <c r="AV188" s="334"/>
      <c r="AW188" s="334"/>
      <c r="AX188" s="334"/>
      <c r="AY188" s="334"/>
      <c r="AZ188" s="334"/>
      <c r="BA188" s="335"/>
      <c r="BK188" s="50" t="s">
        <v>995</v>
      </c>
      <c r="BL188" s="52" t="s">
        <v>997</v>
      </c>
      <c r="BM188" s="3" t="s">
        <v>1411</v>
      </c>
    </row>
    <row r="189" spans="1:65">
      <c r="A189" s="681">
        <v>182</v>
      </c>
      <c r="B189" s="682"/>
      <c r="C189" s="376" t="s">
        <v>1938</v>
      </c>
      <c r="D189" s="377"/>
      <c r="E189" s="377"/>
      <c r="F189" s="377"/>
      <c r="G189" s="377"/>
      <c r="H189" s="377"/>
      <c r="I189" s="377"/>
      <c r="J189" s="377"/>
      <c r="K189" s="378"/>
      <c r="L189" s="379" t="s">
        <v>1353</v>
      </c>
      <c r="M189" s="379"/>
      <c r="N189" s="379"/>
      <c r="O189" s="379"/>
      <c r="P189" s="379"/>
      <c r="Q189" s="379"/>
      <c r="R189" s="379"/>
      <c r="S189" s="379"/>
      <c r="T189" s="379"/>
      <c r="U189" s="760"/>
      <c r="V189" s="761"/>
      <c r="W189" s="756"/>
      <c r="X189" s="757"/>
      <c r="Y189" s="380" t="s">
        <v>1333</v>
      </c>
      <c r="Z189" s="379"/>
      <c r="AA189" s="379"/>
      <c r="AB189" s="379"/>
      <c r="AC189" s="379"/>
      <c r="AD189" s="758">
        <v>0</v>
      </c>
      <c r="AE189" s="759"/>
      <c r="AF189" s="754"/>
      <c r="AG189" s="755"/>
      <c r="AH189" s="381"/>
      <c r="AI189" s="379"/>
      <c r="AJ189" s="379"/>
      <c r="AK189" s="334"/>
      <c r="AL189" s="334"/>
      <c r="AM189" s="334"/>
      <c r="AN189" s="334"/>
      <c r="AO189" s="334"/>
      <c r="AP189" s="334"/>
      <c r="AQ189" s="334"/>
      <c r="AR189" s="334"/>
      <c r="AS189" s="334"/>
      <c r="AT189" s="334"/>
      <c r="AU189" s="334"/>
      <c r="AV189" s="334"/>
      <c r="AW189" s="334"/>
      <c r="AX189" s="334"/>
      <c r="AY189" s="334"/>
      <c r="AZ189" s="334"/>
      <c r="BA189" s="335"/>
      <c r="BK189" s="50" t="s">
        <v>1061</v>
      </c>
      <c r="BL189" s="52" t="s">
        <v>999</v>
      </c>
    </row>
    <row r="190" spans="1:65">
      <c r="A190" s="681">
        <v>183</v>
      </c>
      <c r="B190" s="682"/>
      <c r="C190" s="376" t="s">
        <v>1938</v>
      </c>
      <c r="D190" s="377"/>
      <c r="E190" s="377"/>
      <c r="F190" s="377"/>
      <c r="G190" s="377"/>
      <c r="H190" s="377"/>
      <c r="I190" s="377"/>
      <c r="J190" s="377"/>
      <c r="K190" s="378"/>
      <c r="L190" s="379" t="s">
        <v>1923</v>
      </c>
      <c r="M190" s="379"/>
      <c r="N190" s="379"/>
      <c r="O190" s="379"/>
      <c r="P190" s="379"/>
      <c r="Q190" s="379"/>
      <c r="R190" s="379"/>
      <c r="S190" s="379"/>
      <c r="T190" s="379"/>
      <c r="U190" s="760"/>
      <c r="V190" s="761"/>
      <c r="W190" s="756"/>
      <c r="X190" s="757"/>
      <c r="Y190" s="380" t="s">
        <v>1333</v>
      </c>
      <c r="Z190" s="379"/>
      <c r="AA190" s="379"/>
      <c r="AB190" s="379"/>
      <c r="AC190" s="379"/>
      <c r="AD190" s="758">
        <v>0</v>
      </c>
      <c r="AE190" s="759"/>
      <c r="AF190" s="754"/>
      <c r="AG190" s="755"/>
      <c r="AH190" s="668"/>
      <c r="AI190" s="379"/>
      <c r="AJ190" s="379"/>
      <c r="AK190" s="334"/>
      <c r="AL190" s="334"/>
      <c r="AM190" s="334"/>
      <c r="AN190" s="334"/>
      <c r="AO190" s="334"/>
      <c r="AP190" s="334"/>
      <c r="AQ190" s="334"/>
      <c r="AR190" s="334"/>
      <c r="AS190" s="334"/>
      <c r="AT190" s="334"/>
      <c r="AU190" s="334"/>
      <c r="AV190" s="334"/>
      <c r="AW190" s="334"/>
      <c r="AX190" s="334"/>
      <c r="AY190" s="334"/>
      <c r="AZ190" s="334"/>
      <c r="BA190" s="335"/>
      <c r="BK190" s="50" t="s">
        <v>1062</v>
      </c>
      <c r="BL190" s="52" t="s">
        <v>1001</v>
      </c>
    </row>
    <row r="191" spans="1:65">
      <c r="A191" s="681">
        <v>184</v>
      </c>
      <c r="B191" s="682"/>
      <c r="C191" s="376" t="s">
        <v>1938</v>
      </c>
      <c r="D191" s="377"/>
      <c r="E191" s="377"/>
      <c r="F191" s="377"/>
      <c r="G191" s="377"/>
      <c r="H191" s="377"/>
      <c r="I191" s="377"/>
      <c r="J191" s="377"/>
      <c r="K191" s="378"/>
      <c r="L191" s="379" t="s">
        <v>1924</v>
      </c>
      <c r="M191" s="379"/>
      <c r="N191" s="379"/>
      <c r="O191" s="379"/>
      <c r="P191" s="379"/>
      <c r="Q191" s="379"/>
      <c r="R191" s="379"/>
      <c r="S191" s="379"/>
      <c r="T191" s="379"/>
      <c r="U191" s="760"/>
      <c r="V191" s="761"/>
      <c r="W191" s="756"/>
      <c r="X191" s="757"/>
      <c r="Y191" s="380" t="s">
        <v>1333</v>
      </c>
      <c r="Z191" s="379"/>
      <c r="AA191" s="379"/>
      <c r="AB191" s="379"/>
      <c r="AC191" s="379"/>
      <c r="AD191" s="758">
        <v>0</v>
      </c>
      <c r="AE191" s="759"/>
      <c r="AF191" s="754"/>
      <c r="AG191" s="755"/>
      <c r="AH191" s="668"/>
      <c r="AI191" s="379"/>
      <c r="AJ191" s="379"/>
      <c r="AK191" s="334"/>
      <c r="AL191" s="334"/>
      <c r="AM191" s="334"/>
      <c r="AN191" s="334"/>
      <c r="AO191" s="334"/>
      <c r="AP191" s="334"/>
      <c r="AQ191" s="334"/>
      <c r="AR191" s="334"/>
      <c r="AS191" s="334"/>
      <c r="AT191" s="334"/>
      <c r="AU191" s="334"/>
      <c r="AV191" s="334"/>
      <c r="AW191" s="334"/>
      <c r="AX191" s="334"/>
      <c r="AY191" s="334"/>
      <c r="AZ191" s="334"/>
      <c r="BA191" s="335"/>
      <c r="BK191" s="50" t="s">
        <v>1063</v>
      </c>
      <c r="BL191" s="52" t="s">
        <v>1002</v>
      </c>
    </row>
    <row r="192" spans="1:65">
      <c r="A192" s="681">
        <v>185</v>
      </c>
      <c r="B192" s="682"/>
      <c r="C192" s="376" t="s">
        <v>1938</v>
      </c>
      <c r="D192" s="377"/>
      <c r="E192" s="377"/>
      <c r="F192" s="377"/>
      <c r="G192" s="377"/>
      <c r="H192" s="377"/>
      <c r="I192" s="377"/>
      <c r="J192" s="377"/>
      <c r="K192" s="378"/>
      <c r="L192" s="379" t="s">
        <v>1925</v>
      </c>
      <c r="M192" s="379"/>
      <c r="N192" s="379"/>
      <c r="O192" s="379"/>
      <c r="P192" s="379"/>
      <c r="Q192" s="379"/>
      <c r="R192" s="379"/>
      <c r="S192" s="379"/>
      <c r="T192" s="379"/>
      <c r="U192" s="760"/>
      <c r="V192" s="761"/>
      <c r="W192" s="756"/>
      <c r="X192" s="757"/>
      <c r="Y192" s="380" t="s">
        <v>1333</v>
      </c>
      <c r="Z192" s="379"/>
      <c r="AA192" s="379"/>
      <c r="AB192" s="379"/>
      <c r="AC192" s="379"/>
      <c r="AD192" s="758">
        <v>0</v>
      </c>
      <c r="AE192" s="759"/>
      <c r="AF192" s="754"/>
      <c r="AG192" s="755"/>
      <c r="AH192" s="668"/>
      <c r="AI192" s="379"/>
      <c r="AJ192" s="379"/>
      <c r="AK192" s="334"/>
      <c r="AL192" s="334"/>
      <c r="AM192" s="334"/>
      <c r="AN192" s="334"/>
      <c r="AO192" s="334"/>
      <c r="AP192" s="334"/>
      <c r="AQ192" s="334"/>
      <c r="AR192" s="334"/>
      <c r="AS192" s="334"/>
      <c r="AT192" s="334"/>
      <c r="AU192" s="334"/>
      <c r="AV192" s="334"/>
      <c r="AW192" s="334"/>
      <c r="AX192" s="334"/>
      <c r="AY192" s="334"/>
      <c r="AZ192" s="334"/>
      <c r="BA192" s="335"/>
      <c r="BK192" s="50" t="s">
        <v>1003</v>
      </c>
      <c r="BL192" s="52" t="s">
        <v>1004</v>
      </c>
    </row>
    <row r="193" spans="1:64">
      <c r="A193" s="681">
        <v>186</v>
      </c>
      <c r="B193" s="682"/>
      <c r="C193" s="376" t="s">
        <v>1938</v>
      </c>
      <c r="D193" s="377"/>
      <c r="E193" s="377"/>
      <c r="F193" s="377"/>
      <c r="G193" s="377"/>
      <c r="H193" s="377"/>
      <c r="I193" s="377"/>
      <c r="J193" s="377"/>
      <c r="K193" s="378"/>
      <c r="L193" s="379" t="s">
        <v>1926</v>
      </c>
      <c r="M193" s="379"/>
      <c r="N193" s="379"/>
      <c r="O193" s="379"/>
      <c r="P193" s="379"/>
      <c r="Q193" s="379"/>
      <c r="R193" s="379"/>
      <c r="S193" s="379"/>
      <c r="T193" s="379"/>
      <c r="U193" s="760"/>
      <c r="V193" s="761"/>
      <c r="W193" s="756"/>
      <c r="X193" s="757"/>
      <c r="Y193" s="380" t="s">
        <v>1333</v>
      </c>
      <c r="Z193" s="379"/>
      <c r="AA193" s="379"/>
      <c r="AB193" s="379"/>
      <c r="AC193" s="379"/>
      <c r="AD193" s="758">
        <v>0</v>
      </c>
      <c r="AE193" s="759"/>
      <c r="AF193" s="754"/>
      <c r="AG193" s="755"/>
      <c r="AH193" s="668"/>
      <c r="AI193" s="379"/>
      <c r="AJ193" s="379"/>
      <c r="AK193" s="334"/>
      <c r="AL193" s="334"/>
      <c r="AM193" s="334"/>
      <c r="AN193" s="334"/>
      <c r="AO193" s="334"/>
      <c r="AP193" s="334"/>
      <c r="AQ193" s="334"/>
      <c r="AR193" s="334"/>
      <c r="AS193" s="334"/>
      <c r="AT193" s="334"/>
      <c r="AU193" s="334"/>
      <c r="AV193" s="334"/>
      <c r="AW193" s="334"/>
      <c r="AX193" s="334"/>
      <c r="AY193" s="334"/>
      <c r="AZ193" s="334"/>
      <c r="BA193" s="335"/>
      <c r="BK193" s="50" t="s">
        <v>1064</v>
      </c>
      <c r="BL193" s="51" t="s">
        <v>1005</v>
      </c>
    </row>
    <row r="194" spans="1:64">
      <c r="A194" s="681">
        <v>187</v>
      </c>
      <c r="B194" s="682"/>
      <c r="C194" s="376" t="s">
        <v>1938</v>
      </c>
      <c r="D194" s="377"/>
      <c r="E194" s="377"/>
      <c r="F194" s="377"/>
      <c r="G194" s="377"/>
      <c r="H194" s="377"/>
      <c r="I194" s="377"/>
      <c r="J194" s="377"/>
      <c r="K194" s="378"/>
      <c r="L194" s="379" t="s">
        <v>1927</v>
      </c>
      <c r="M194" s="379"/>
      <c r="N194" s="379"/>
      <c r="O194" s="379"/>
      <c r="P194" s="379"/>
      <c r="Q194" s="379"/>
      <c r="R194" s="379"/>
      <c r="S194" s="379"/>
      <c r="T194" s="379"/>
      <c r="U194" s="760"/>
      <c r="V194" s="761"/>
      <c r="W194" s="756"/>
      <c r="X194" s="757"/>
      <c r="Y194" s="380" t="s">
        <v>1333</v>
      </c>
      <c r="Z194" s="379"/>
      <c r="AA194" s="379"/>
      <c r="AB194" s="379"/>
      <c r="AC194" s="379"/>
      <c r="AD194" s="758">
        <v>0</v>
      </c>
      <c r="AE194" s="759"/>
      <c r="AF194" s="754"/>
      <c r="AG194" s="755"/>
      <c r="AH194" s="668"/>
      <c r="AI194" s="379"/>
      <c r="AJ194" s="379"/>
      <c r="AK194" s="334"/>
      <c r="AL194" s="334"/>
      <c r="AM194" s="334"/>
      <c r="AN194" s="334"/>
      <c r="AO194" s="334"/>
      <c r="AP194" s="334"/>
      <c r="AQ194" s="334"/>
      <c r="AR194" s="334"/>
      <c r="AS194" s="334"/>
      <c r="AT194" s="334"/>
      <c r="AU194" s="334"/>
      <c r="AV194" s="334"/>
      <c r="AW194" s="334"/>
      <c r="AX194" s="334"/>
      <c r="AY194" s="334"/>
      <c r="AZ194" s="334"/>
      <c r="BA194" s="335"/>
      <c r="BK194" s="343" t="s">
        <v>136</v>
      </c>
      <c r="BL194" s="52" t="s">
        <v>1006</v>
      </c>
    </row>
    <row r="195" spans="1:64">
      <c r="A195" s="681">
        <v>188</v>
      </c>
      <c r="B195" s="682"/>
      <c r="C195" s="376" t="s">
        <v>1938</v>
      </c>
      <c r="D195" s="377"/>
      <c r="E195" s="377"/>
      <c r="F195" s="377"/>
      <c r="G195" s="377"/>
      <c r="H195" s="377"/>
      <c r="I195" s="377"/>
      <c r="J195" s="377"/>
      <c r="K195" s="378"/>
      <c r="L195" s="379" t="s">
        <v>1928</v>
      </c>
      <c r="M195" s="379"/>
      <c r="N195" s="379"/>
      <c r="O195" s="379"/>
      <c r="P195" s="379"/>
      <c r="Q195" s="379"/>
      <c r="R195" s="379"/>
      <c r="S195" s="379"/>
      <c r="T195" s="379"/>
      <c r="U195" s="760"/>
      <c r="V195" s="761"/>
      <c r="W195" s="756"/>
      <c r="X195" s="757"/>
      <c r="Y195" s="380" t="s">
        <v>1333</v>
      </c>
      <c r="Z195" s="379"/>
      <c r="AA195" s="379"/>
      <c r="AB195" s="379"/>
      <c r="AC195" s="379"/>
      <c r="AD195" s="758">
        <v>0</v>
      </c>
      <c r="AE195" s="759"/>
      <c r="AF195" s="754"/>
      <c r="AG195" s="755"/>
      <c r="AH195" s="668"/>
      <c r="AI195" s="379"/>
      <c r="AJ195" s="379"/>
      <c r="AK195" s="334"/>
      <c r="AL195" s="334"/>
      <c r="AM195" s="334"/>
      <c r="AN195" s="334"/>
      <c r="AO195" s="334"/>
      <c r="AP195" s="334"/>
      <c r="AQ195" s="334"/>
      <c r="AR195" s="334"/>
      <c r="AS195" s="334"/>
      <c r="AT195" s="334"/>
      <c r="AU195" s="334"/>
      <c r="AV195" s="334"/>
      <c r="AW195" s="334"/>
      <c r="AX195" s="334"/>
      <c r="AY195" s="334"/>
      <c r="AZ195" s="334"/>
      <c r="BA195" s="335"/>
      <c r="BK195" s="50" t="s">
        <v>1065</v>
      </c>
      <c r="BL195" s="51" t="s">
        <v>1007</v>
      </c>
    </row>
    <row r="196" spans="1:64">
      <c r="A196" s="681">
        <v>189</v>
      </c>
      <c r="B196" s="682"/>
      <c r="C196" s="376" t="s">
        <v>1938</v>
      </c>
      <c r="D196" s="377"/>
      <c r="E196" s="377"/>
      <c r="F196" s="377"/>
      <c r="G196" s="377"/>
      <c r="H196" s="377"/>
      <c r="I196" s="377"/>
      <c r="J196" s="377"/>
      <c r="K196" s="378"/>
      <c r="L196" s="379" t="s">
        <v>1929</v>
      </c>
      <c r="M196" s="379"/>
      <c r="N196" s="379"/>
      <c r="O196" s="379"/>
      <c r="P196" s="379"/>
      <c r="Q196" s="379"/>
      <c r="R196" s="379"/>
      <c r="S196" s="379"/>
      <c r="T196" s="379"/>
      <c r="U196" s="760"/>
      <c r="V196" s="761"/>
      <c r="W196" s="756"/>
      <c r="X196" s="757"/>
      <c r="Y196" s="380" t="s">
        <v>1333</v>
      </c>
      <c r="Z196" s="379"/>
      <c r="AA196" s="379"/>
      <c r="AB196" s="379"/>
      <c r="AC196" s="379"/>
      <c r="AD196" s="758">
        <v>0</v>
      </c>
      <c r="AE196" s="759"/>
      <c r="AF196" s="754"/>
      <c r="AG196" s="755"/>
      <c r="AH196" s="668"/>
      <c r="AI196" s="379"/>
      <c r="AJ196" s="379"/>
      <c r="AK196" s="334"/>
      <c r="AL196" s="334"/>
      <c r="AM196" s="334"/>
      <c r="AN196" s="334"/>
      <c r="AO196" s="334"/>
      <c r="AP196" s="334"/>
      <c r="AQ196" s="334"/>
      <c r="AR196" s="334"/>
      <c r="AS196" s="334"/>
      <c r="AT196" s="334"/>
      <c r="AU196" s="334"/>
      <c r="AV196" s="334"/>
      <c r="AW196" s="334"/>
      <c r="AX196" s="334"/>
      <c r="AY196" s="334"/>
      <c r="AZ196" s="334"/>
      <c r="BA196" s="335"/>
      <c r="BK196" s="343" t="s">
        <v>138</v>
      </c>
      <c r="BL196" s="51" t="s">
        <v>1008</v>
      </c>
    </row>
    <row r="197" spans="1:64">
      <c r="A197" s="681">
        <v>190</v>
      </c>
      <c r="B197" s="682"/>
      <c r="C197" s="376" t="s">
        <v>1938</v>
      </c>
      <c r="D197" s="377"/>
      <c r="E197" s="377"/>
      <c r="F197" s="377"/>
      <c r="G197" s="377"/>
      <c r="H197" s="377"/>
      <c r="I197" s="377"/>
      <c r="J197" s="377"/>
      <c r="K197" s="378"/>
      <c r="L197" s="379" t="s">
        <v>1930</v>
      </c>
      <c r="M197" s="379"/>
      <c r="N197" s="379"/>
      <c r="O197" s="379"/>
      <c r="P197" s="379"/>
      <c r="Q197" s="379"/>
      <c r="R197" s="379"/>
      <c r="S197" s="379"/>
      <c r="T197" s="379"/>
      <c r="U197" s="760"/>
      <c r="V197" s="761"/>
      <c r="W197" s="756"/>
      <c r="X197" s="757"/>
      <c r="Y197" s="380" t="s">
        <v>1333</v>
      </c>
      <c r="Z197" s="379"/>
      <c r="AA197" s="379"/>
      <c r="AB197" s="379"/>
      <c r="AC197" s="379"/>
      <c r="AD197" s="758">
        <v>0</v>
      </c>
      <c r="AE197" s="759"/>
      <c r="AF197" s="754"/>
      <c r="AG197" s="755"/>
      <c r="AH197" s="668"/>
      <c r="AI197" s="379"/>
      <c r="AJ197" s="379"/>
      <c r="AK197" s="334"/>
      <c r="AL197" s="334"/>
      <c r="AM197" s="334"/>
      <c r="AN197" s="334"/>
      <c r="AO197" s="334"/>
      <c r="AP197" s="334"/>
      <c r="AQ197" s="334"/>
      <c r="AR197" s="334"/>
      <c r="AS197" s="334"/>
      <c r="AT197" s="334"/>
      <c r="AU197" s="334"/>
      <c r="AV197" s="334"/>
      <c r="AW197" s="334"/>
      <c r="AX197" s="334"/>
      <c r="AY197" s="334"/>
      <c r="AZ197" s="334"/>
      <c r="BA197" s="335"/>
      <c r="BK197" s="343" t="s">
        <v>139</v>
      </c>
      <c r="BL197" s="51" t="s">
        <v>1009</v>
      </c>
    </row>
    <row r="198" spans="1:64">
      <c r="A198" s="681">
        <v>191</v>
      </c>
      <c r="B198" s="682"/>
      <c r="C198" s="376" t="s">
        <v>1938</v>
      </c>
      <c r="D198" s="377"/>
      <c r="E198" s="377"/>
      <c r="F198" s="377"/>
      <c r="G198" s="377"/>
      <c r="H198" s="377"/>
      <c r="I198" s="377"/>
      <c r="J198" s="377"/>
      <c r="K198" s="378"/>
      <c r="L198" s="379" t="s">
        <v>1931</v>
      </c>
      <c r="M198" s="379"/>
      <c r="N198" s="379"/>
      <c r="O198" s="379"/>
      <c r="P198" s="379"/>
      <c r="Q198" s="379"/>
      <c r="R198" s="379"/>
      <c r="S198" s="379"/>
      <c r="T198" s="379"/>
      <c r="U198" s="760"/>
      <c r="V198" s="761"/>
      <c r="W198" s="756"/>
      <c r="X198" s="757"/>
      <c r="Y198" s="380" t="s">
        <v>1333</v>
      </c>
      <c r="Z198" s="379"/>
      <c r="AA198" s="379"/>
      <c r="AB198" s="379"/>
      <c r="AC198" s="379"/>
      <c r="AD198" s="758">
        <v>0</v>
      </c>
      <c r="AE198" s="759"/>
      <c r="AF198" s="754"/>
      <c r="AG198" s="755"/>
      <c r="AH198" s="668"/>
      <c r="AI198" s="379"/>
      <c r="AJ198" s="379"/>
      <c r="AK198" s="334"/>
      <c r="AL198" s="334"/>
      <c r="AM198" s="334"/>
      <c r="AN198" s="334"/>
      <c r="AO198" s="334"/>
      <c r="AP198" s="334"/>
      <c r="AQ198" s="334"/>
      <c r="AR198" s="334"/>
      <c r="AS198" s="334"/>
      <c r="AT198" s="334"/>
      <c r="AU198" s="334"/>
      <c r="AV198" s="334"/>
      <c r="AW198" s="334"/>
      <c r="AX198" s="334"/>
      <c r="AY198" s="334"/>
      <c r="AZ198" s="334"/>
      <c r="BA198" s="335"/>
      <c r="BK198" s="343" t="s">
        <v>140</v>
      </c>
      <c r="BL198" s="51" t="s">
        <v>1010</v>
      </c>
    </row>
    <row r="199" spans="1:64">
      <c r="A199" s="681">
        <v>192</v>
      </c>
      <c r="B199" s="682"/>
      <c r="C199" s="376" t="s">
        <v>1938</v>
      </c>
      <c r="D199" s="377"/>
      <c r="E199" s="377"/>
      <c r="F199" s="377"/>
      <c r="G199" s="377"/>
      <c r="H199" s="377"/>
      <c r="I199" s="377"/>
      <c r="J199" s="377"/>
      <c r="K199" s="378"/>
      <c r="L199" s="379" t="s">
        <v>1932</v>
      </c>
      <c r="M199" s="379"/>
      <c r="N199" s="379"/>
      <c r="O199" s="379"/>
      <c r="P199" s="379"/>
      <c r="Q199" s="379"/>
      <c r="R199" s="379"/>
      <c r="S199" s="379"/>
      <c r="T199" s="379"/>
      <c r="U199" s="760"/>
      <c r="V199" s="761"/>
      <c r="W199" s="756"/>
      <c r="X199" s="757"/>
      <c r="Y199" s="380" t="s">
        <v>1333</v>
      </c>
      <c r="Z199" s="379"/>
      <c r="AA199" s="379"/>
      <c r="AB199" s="379"/>
      <c r="AC199" s="379"/>
      <c r="AD199" s="758">
        <v>0</v>
      </c>
      <c r="AE199" s="759"/>
      <c r="AF199" s="754"/>
      <c r="AG199" s="755"/>
      <c r="AH199" s="668"/>
      <c r="AI199" s="379"/>
      <c r="AJ199" s="379"/>
      <c r="AK199" s="334"/>
      <c r="AL199" s="334"/>
      <c r="AM199" s="334"/>
      <c r="AN199" s="334"/>
      <c r="AO199" s="334"/>
      <c r="AP199" s="334"/>
      <c r="AQ199" s="334"/>
      <c r="AR199" s="334"/>
      <c r="AS199" s="334"/>
      <c r="AT199" s="334"/>
      <c r="AU199" s="334"/>
      <c r="AV199" s="334"/>
      <c r="AW199" s="334"/>
      <c r="AX199" s="334"/>
      <c r="AY199" s="334"/>
      <c r="AZ199" s="334"/>
      <c r="BA199" s="335"/>
      <c r="BK199" s="343" t="s">
        <v>141</v>
      </c>
      <c r="BL199" s="51" t="s">
        <v>1011</v>
      </c>
    </row>
    <row r="200" spans="1:64">
      <c r="A200" s="681">
        <v>193</v>
      </c>
      <c r="B200" s="682"/>
      <c r="C200" s="376" t="s">
        <v>1938</v>
      </c>
      <c r="D200" s="377"/>
      <c r="E200" s="377"/>
      <c r="F200" s="377"/>
      <c r="G200" s="377"/>
      <c r="H200" s="377"/>
      <c r="I200" s="377"/>
      <c r="J200" s="377"/>
      <c r="K200" s="378"/>
      <c r="L200" s="379" t="s">
        <v>1933</v>
      </c>
      <c r="M200" s="379"/>
      <c r="N200" s="379"/>
      <c r="O200" s="379"/>
      <c r="P200" s="379"/>
      <c r="Q200" s="379"/>
      <c r="R200" s="379"/>
      <c r="S200" s="379"/>
      <c r="T200" s="379"/>
      <c r="U200" s="760"/>
      <c r="V200" s="761"/>
      <c r="W200" s="756"/>
      <c r="X200" s="757"/>
      <c r="Y200" s="380" t="s">
        <v>1333</v>
      </c>
      <c r="Z200" s="379"/>
      <c r="AA200" s="379"/>
      <c r="AB200" s="379"/>
      <c r="AC200" s="379"/>
      <c r="AD200" s="758">
        <v>0</v>
      </c>
      <c r="AE200" s="759"/>
      <c r="AF200" s="754"/>
      <c r="AG200" s="755"/>
      <c r="AH200" s="668"/>
      <c r="AI200" s="379"/>
      <c r="AJ200" s="379"/>
      <c r="AK200" s="334"/>
      <c r="AL200" s="334"/>
      <c r="AM200" s="334"/>
      <c r="AN200" s="334"/>
      <c r="AO200" s="334"/>
      <c r="AP200" s="334"/>
      <c r="AQ200" s="334"/>
      <c r="AR200" s="334"/>
      <c r="AS200" s="334"/>
      <c r="AT200" s="334"/>
      <c r="AU200" s="334"/>
      <c r="AV200" s="334"/>
      <c r="AW200" s="334"/>
      <c r="AX200" s="334"/>
      <c r="AY200" s="334"/>
      <c r="AZ200" s="334"/>
      <c r="BA200" s="335"/>
      <c r="BK200" s="50" t="s">
        <v>1012</v>
      </c>
      <c r="BL200" s="51" t="s">
        <v>1013</v>
      </c>
    </row>
    <row r="201" spans="1:64">
      <c r="A201" s="681">
        <v>194</v>
      </c>
      <c r="B201" s="682"/>
      <c r="C201" s="376" t="s">
        <v>1938</v>
      </c>
      <c r="D201" s="377"/>
      <c r="E201" s="377"/>
      <c r="F201" s="377"/>
      <c r="G201" s="377"/>
      <c r="H201" s="377"/>
      <c r="I201" s="377"/>
      <c r="J201" s="377"/>
      <c r="K201" s="378"/>
      <c r="L201" s="379" t="s">
        <v>1934</v>
      </c>
      <c r="M201" s="379"/>
      <c r="N201" s="379"/>
      <c r="O201" s="379"/>
      <c r="P201" s="379"/>
      <c r="Q201" s="379"/>
      <c r="R201" s="379"/>
      <c r="S201" s="379"/>
      <c r="T201" s="379"/>
      <c r="U201" s="760"/>
      <c r="V201" s="761"/>
      <c r="W201" s="756"/>
      <c r="X201" s="757"/>
      <c r="Y201" s="380" t="s">
        <v>1333</v>
      </c>
      <c r="Z201" s="379"/>
      <c r="AA201" s="379"/>
      <c r="AB201" s="379"/>
      <c r="AC201" s="379"/>
      <c r="AD201" s="758">
        <v>0</v>
      </c>
      <c r="AE201" s="759"/>
      <c r="AF201" s="754"/>
      <c r="AG201" s="755"/>
      <c r="AH201" s="668"/>
      <c r="AI201" s="379"/>
      <c r="AJ201" s="379"/>
      <c r="AK201" s="334"/>
      <c r="AL201" s="334"/>
      <c r="AM201" s="334"/>
      <c r="AN201" s="334"/>
      <c r="AO201" s="334"/>
      <c r="AP201" s="334"/>
      <c r="AQ201" s="334"/>
      <c r="AR201" s="334"/>
      <c r="AS201" s="334"/>
      <c r="AT201" s="334"/>
      <c r="AU201" s="334"/>
      <c r="AV201" s="334"/>
      <c r="AW201" s="334"/>
      <c r="AX201" s="334"/>
      <c r="AY201" s="334"/>
      <c r="AZ201" s="334"/>
      <c r="BA201" s="335"/>
      <c r="BK201" s="343" t="s">
        <v>143</v>
      </c>
      <c r="BL201" s="51" t="s">
        <v>1014</v>
      </c>
    </row>
    <row r="202" spans="1:64">
      <c r="A202" s="681">
        <v>195</v>
      </c>
      <c r="B202" s="682"/>
      <c r="C202" s="376" t="s">
        <v>1938</v>
      </c>
      <c r="D202" s="377"/>
      <c r="E202" s="377"/>
      <c r="F202" s="377"/>
      <c r="G202" s="377"/>
      <c r="H202" s="377"/>
      <c r="I202" s="377"/>
      <c r="J202" s="377"/>
      <c r="K202" s="378"/>
      <c r="L202" s="379" t="s">
        <v>1935</v>
      </c>
      <c r="M202" s="379"/>
      <c r="N202" s="379"/>
      <c r="O202" s="379"/>
      <c r="P202" s="379"/>
      <c r="Q202" s="379"/>
      <c r="R202" s="379"/>
      <c r="S202" s="379"/>
      <c r="T202" s="379"/>
      <c r="U202" s="760"/>
      <c r="V202" s="761"/>
      <c r="W202" s="756"/>
      <c r="X202" s="757"/>
      <c r="Y202" s="380" t="s">
        <v>1333</v>
      </c>
      <c r="Z202" s="379"/>
      <c r="AA202" s="379"/>
      <c r="AB202" s="379"/>
      <c r="AC202" s="379"/>
      <c r="AD202" s="758">
        <v>0</v>
      </c>
      <c r="AE202" s="759"/>
      <c r="AF202" s="754"/>
      <c r="AG202" s="755"/>
      <c r="AH202" s="668"/>
      <c r="AI202" s="379"/>
      <c r="AJ202" s="379"/>
      <c r="AK202" s="334"/>
      <c r="AL202" s="334"/>
      <c r="AM202" s="334"/>
      <c r="AN202" s="334"/>
      <c r="AO202" s="334"/>
      <c r="AP202" s="334"/>
      <c r="AQ202" s="334"/>
      <c r="AR202" s="334"/>
      <c r="AS202" s="334"/>
      <c r="AT202" s="334"/>
      <c r="AU202" s="334"/>
      <c r="AV202" s="334"/>
      <c r="AW202" s="334"/>
      <c r="AX202" s="334"/>
      <c r="AY202" s="334"/>
      <c r="AZ202" s="334"/>
      <c r="BA202" s="335"/>
      <c r="BK202" s="343" t="s">
        <v>144</v>
      </c>
      <c r="BL202" s="51" t="s">
        <v>1015</v>
      </c>
    </row>
    <row r="203" spans="1:64">
      <c r="A203" s="681">
        <v>196</v>
      </c>
      <c r="B203" s="682"/>
      <c r="C203" s="376" t="s">
        <v>1938</v>
      </c>
      <c r="D203" s="377"/>
      <c r="E203" s="377"/>
      <c r="F203" s="377"/>
      <c r="G203" s="377"/>
      <c r="H203" s="377"/>
      <c r="I203" s="377"/>
      <c r="J203" s="377"/>
      <c r="K203" s="378"/>
      <c r="L203" s="379" t="s">
        <v>1936</v>
      </c>
      <c r="M203" s="379"/>
      <c r="N203" s="379"/>
      <c r="O203" s="379"/>
      <c r="P203" s="379"/>
      <c r="Q203" s="379"/>
      <c r="R203" s="379"/>
      <c r="S203" s="379"/>
      <c r="T203" s="379"/>
      <c r="U203" s="760"/>
      <c r="V203" s="761"/>
      <c r="W203" s="756"/>
      <c r="X203" s="757"/>
      <c r="Y203" s="380" t="s">
        <v>1333</v>
      </c>
      <c r="Z203" s="379"/>
      <c r="AA203" s="379"/>
      <c r="AB203" s="379"/>
      <c r="AC203" s="379"/>
      <c r="AD203" s="758">
        <v>0</v>
      </c>
      <c r="AE203" s="759"/>
      <c r="AF203" s="754"/>
      <c r="AG203" s="755"/>
      <c r="AH203" s="668"/>
      <c r="AI203" s="379"/>
      <c r="AJ203" s="379"/>
      <c r="AK203" s="334"/>
      <c r="AL203" s="334"/>
      <c r="AM203" s="334"/>
      <c r="AN203" s="334"/>
      <c r="AO203" s="334"/>
      <c r="AP203" s="334"/>
      <c r="AQ203" s="334"/>
      <c r="AR203" s="334"/>
      <c r="AS203" s="334"/>
      <c r="AT203" s="334"/>
      <c r="AU203" s="334"/>
      <c r="AV203" s="334"/>
      <c r="AW203" s="334"/>
      <c r="AX203" s="334"/>
      <c r="AY203" s="334"/>
      <c r="AZ203" s="334"/>
      <c r="BA203" s="335"/>
      <c r="BK203" s="343" t="s">
        <v>145</v>
      </c>
      <c r="BL203" s="51" t="s">
        <v>1016</v>
      </c>
    </row>
    <row r="204" spans="1:64">
      <c r="A204" s="681">
        <v>197</v>
      </c>
      <c r="B204" s="682"/>
      <c r="C204" s="376" t="s">
        <v>1938</v>
      </c>
      <c r="D204" s="377"/>
      <c r="E204" s="377"/>
      <c r="F204" s="377"/>
      <c r="G204" s="377"/>
      <c r="H204" s="377"/>
      <c r="I204" s="377"/>
      <c r="J204" s="377"/>
      <c r="K204" s="378"/>
      <c r="L204" s="379" t="s">
        <v>1937</v>
      </c>
      <c r="M204" s="379"/>
      <c r="N204" s="379"/>
      <c r="O204" s="379"/>
      <c r="P204" s="379"/>
      <c r="Q204" s="379"/>
      <c r="R204" s="379"/>
      <c r="S204" s="379"/>
      <c r="T204" s="379"/>
      <c r="U204" s="760"/>
      <c r="V204" s="761"/>
      <c r="W204" s="756"/>
      <c r="X204" s="757"/>
      <c r="Y204" s="380" t="s">
        <v>1333</v>
      </c>
      <c r="Z204" s="379"/>
      <c r="AA204" s="379"/>
      <c r="AB204" s="379"/>
      <c r="AC204" s="379"/>
      <c r="AD204" s="758">
        <v>0</v>
      </c>
      <c r="AE204" s="759"/>
      <c r="AF204" s="754"/>
      <c r="AG204" s="755"/>
      <c r="AH204" s="668"/>
      <c r="AI204" s="379"/>
      <c r="AJ204" s="379"/>
      <c r="AK204" s="334"/>
      <c r="AL204" s="334"/>
      <c r="AM204" s="334"/>
      <c r="AN204" s="334"/>
      <c r="AO204" s="334"/>
      <c r="AP204" s="334"/>
      <c r="AQ204" s="334"/>
      <c r="AR204" s="334"/>
      <c r="AS204" s="334"/>
      <c r="AT204" s="334"/>
      <c r="AU204" s="334"/>
      <c r="AV204" s="334"/>
      <c r="AW204" s="334"/>
      <c r="AX204" s="334"/>
      <c r="AY204" s="334"/>
      <c r="AZ204" s="334"/>
      <c r="BA204" s="335"/>
      <c r="BK204" s="343" t="s">
        <v>146</v>
      </c>
      <c r="BL204" s="51" t="s">
        <v>1017</v>
      </c>
    </row>
    <row r="205" spans="1:64">
      <c r="A205" s="681">
        <v>198</v>
      </c>
      <c r="B205" s="682"/>
      <c r="C205" s="376" t="s">
        <v>1337</v>
      </c>
      <c r="D205" s="377"/>
      <c r="E205" s="377"/>
      <c r="F205" s="377"/>
      <c r="G205" s="377"/>
      <c r="H205" s="377"/>
      <c r="I205" s="377"/>
      <c r="J205" s="377"/>
      <c r="K205" s="378"/>
      <c r="L205" s="379" t="s">
        <v>1338</v>
      </c>
      <c r="M205" s="379"/>
      <c r="N205" s="379"/>
      <c r="O205" s="379"/>
      <c r="P205" s="379"/>
      <c r="Q205" s="379"/>
      <c r="R205" s="379"/>
      <c r="S205" s="379"/>
      <c r="T205" s="379"/>
      <c r="U205" s="760"/>
      <c r="V205" s="761"/>
      <c r="W205" s="756"/>
      <c r="X205" s="757"/>
      <c r="Y205" s="380" t="s">
        <v>199</v>
      </c>
      <c r="Z205" s="379"/>
      <c r="AA205" s="379"/>
      <c r="AB205" s="379"/>
      <c r="AC205" s="379"/>
      <c r="AD205" s="758">
        <v>32</v>
      </c>
      <c r="AE205" s="759"/>
      <c r="AF205" s="754"/>
      <c r="AG205" s="755"/>
      <c r="AH205" s="382" t="s">
        <v>1337</v>
      </c>
      <c r="AI205" s="383"/>
      <c r="AJ205" s="383"/>
      <c r="AK205" s="334"/>
      <c r="AL205" s="334"/>
      <c r="AM205" s="334"/>
      <c r="AN205" s="334"/>
      <c r="AO205" s="334"/>
      <c r="AP205" s="334"/>
      <c r="AQ205" s="334"/>
      <c r="AR205" s="334"/>
      <c r="AS205" s="334"/>
      <c r="AT205" s="334"/>
      <c r="AU205" s="334"/>
      <c r="AV205" s="334"/>
      <c r="AW205" s="334"/>
      <c r="AX205" s="334"/>
      <c r="AY205" s="334"/>
      <c r="AZ205" s="334"/>
      <c r="BA205" s="335"/>
      <c r="BK205" s="343" t="s">
        <v>147</v>
      </c>
      <c r="BL205" s="51" t="s">
        <v>1018</v>
      </c>
    </row>
    <row r="206" spans="1:64">
      <c r="A206" s="681">
        <v>199</v>
      </c>
      <c r="B206" s="682"/>
      <c r="C206" s="376" t="s">
        <v>1339</v>
      </c>
      <c r="D206" s="377"/>
      <c r="E206" s="377"/>
      <c r="F206" s="377"/>
      <c r="G206" s="377"/>
      <c r="H206" s="377"/>
      <c r="I206" s="377"/>
      <c r="J206" s="377"/>
      <c r="K206" s="378"/>
      <c r="L206" s="379" t="s">
        <v>1340</v>
      </c>
      <c r="M206" s="379"/>
      <c r="N206" s="379"/>
      <c r="O206" s="379"/>
      <c r="P206" s="379"/>
      <c r="Q206" s="379"/>
      <c r="R206" s="379"/>
      <c r="S206" s="379"/>
      <c r="T206" s="379"/>
      <c r="U206" s="760"/>
      <c r="V206" s="761"/>
      <c r="W206" s="756"/>
      <c r="X206" s="757"/>
      <c r="Y206" s="380" t="s">
        <v>199</v>
      </c>
      <c r="Z206" s="379"/>
      <c r="AA206" s="379"/>
      <c r="AB206" s="379"/>
      <c r="AC206" s="379"/>
      <c r="AD206" s="758">
        <v>32</v>
      </c>
      <c r="AE206" s="759"/>
      <c r="AF206" s="754"/>
      <c r="AG206" s="755"/>
      <c r="AH206" s="382" t="s">
        <v>1341</v>
      </c>
      <c r="AI206" s="383"/>
      <c r="AJ206" s="383"/>
      <c r="AK206" s="334"/>
      <c r="AL206" s="334"/>
      <c r="AM206" s="334"/>
      <c r="AN206" s="334"/>
      <c r="AO206" s="334"/>
      <c r="AP206" s="334"/>
      <c r="AQ206" s="334"/>
      <c r="AR206" s="334"/>
      <c r="AS206" s="334"/>
      <c r="AT206" s="334"/>
      <c r="AU206" s="334"/>
      <c r="AV206" s="334"/>
      <c r="AW206" s="334"/>
      <c r="AX206" s="334"/>
      <c r="AY206" s="334"/>
      <c r="AZ206" s="334"/>
      <c r="BA206" s="335"/>
      <c r="BB206" s="334"/>
      <c r="BC206" s="334"/>
      <c r="BD206" s="334"/>
      <c r="BE206" s="334"/>
      <c r="BF206" s="334"/>
      <c r="BG206" s="43"/>
      <c r="BK206" s="343" t="s">
        <v>148</v>
      </c>
      <c r="BL206" s="51" t="s">
        <v>1019</v>
      </c>
    </row>
    <row r="207" spans="1:64">
      <c r="A207" s="681">
        <v>200</v>
      </c>
      <c r="B207" s="682"/>
      <c r="C207" s="376" t="s">
        <v>1342</v>
      </c>
      <c r="D207" s="377"/>
      <c r="E207" s="377"/>
      <c r="F207" s="377"/>
      <c r="G207" s="377"/>
      <c r="H207" s="377"/>
      <c r="I207" s="377"/>
      <c r="J207" s="377"/>
      <c r="K207" s="378"/>
      <c r="L207" s="379" t="s">
        <v>1343</v>
      </c>
      <c r="M207" s="379"/>
      <c r="N207" s="379"/>
      <c r="O207" s="379"/>
      <c r="P207" s="379"/>
      <c r="Q207" s="379"/>
      <c r="R207" s="379"/>
      <c r="S207" s="379"/>
      <c r="T207" s="379"/>
      <c r="U207" s="760"/>
      <c r="V207" s="761"/>
      <c r="W207" s="756"/>
      <c r="X207" s="757"/>
      <c r="Y207" s="380" t="s">
        <v>199</v>
      </c>
      <c r="Z207" s="379"/>
      <c r="AA207" s="379"/>
      <c r="AB207" s="379"/>
      <c r="AC207" s="379"/>
      <c r="AD207" s="758">
        <v>2</v>
      </c>
      <c r="AE207" s="759"/>
      <c r="AF207" s="754"/>
      <c r="AG207" s="755"/>
      <c r="AH207" s="382" t="s">
        <v>1344</v>
      </c>
      <c r="AI207" s="383"/>
      <c r="AJ207" s="383"/>
      <c r="AK207" s="334"/>
      <c r="AL207" s="334"/>
      <c r="AM207" s="334"/>
      <c r="AN207" s="334"/>
      <c r="AO207" s="334"/>
      <c r="AP207" s="334"/>
      <c r="AQ207" s="334"/>
      <c r="AR207" s="334"/>
      <c r="AS207" s="334"/>
      <c r="AT207" s="334"/>
      <c r="AU207" s="334"/>
      <c r="AV207" s="334"/>
      <c r="AW207" s="334"/>
      <c r="AX207" s="334"/>
      <c r="AY207" s="334"/>
      <c r="AZ207" s="334"/>
      <c r="BA207" s="335"/>
      <c r="BB207" s="334"/>
      <c r="BC207" s="334"/>
      <c r="BD207" s="334"/>
      <c r="BE207" s="334"/>
      <c r="BF207" s="334"/>
      <c r="BG207" s="43"/>
      <c r="BK207" s="344" t="s">
        <v>149</v>
      </c>
      <c r="BL207" s="51" t="s">
        <v>1020</v>
      </c>
    </row>
    <row r="208" spans="1:64">
      <c r="A208" s="681">
        <v>201</v>
      </c>
      <c r="B208" s="682"/>
      <c r="C208" s="376" t="s">
        <v>1345</v>
      </c>
      <c r="D208" s="377"/>
      <c r="E208" s="377"/>
      <c r="F208" s="377"/>
      <c r="G208" s="377"/>
      <c r="H208" s="377"/>
      <c r="I208" s="377"/>
      <c r="J208" s="377"/>
      <c r="K208" s="378"/>
      <c r="L208" s="379" t="s">
        <v>1346</v>
      </c>
      <c r="M208" s="379"/>
      <c r="N208" s="379"/>
      <c r="O208" s="379"/>
      <c r="P208" s="379"/>
      <c r="Q208" s="379"/>
      <c r="R208" s="379"/>
      <c r="S208" s="379"/>
      <c r="T208" s="379"/>
      <c r="U208" s="760"/>
      <c r="V208" s="761"/>
      <c r="W208" s="756"/>
      <c r="X208" s="757"/>
      <c r="Y208" s="380" t="s">
        <v>199</v>
      </c>
      <c r="Z208" s="379"/>
      <c r="AA208" s="379"/>
      <c r="AB208" s="379"/>
      <c r="AC208" s="379"/>
      <c r="AD208" s="758">
        <v>2</v>
      </c>
      <c r="AE208" s="759"/>
      <c r="AF208" s="754"/>
      <c r="AG208" s="755"/>
      <c r="AH208" s="382" t="s">
        <v>1347</v>
      </c>
      <c r="AI208" s="383"/>
      <c r="AJ208" s="383"/>
      <c r="AK208" s="334"/>
      <c r="AL208" s="334"/>
      <c r="AM208" s="334"/>
      <c r="AN208" s="334"/>
      <c r="AO208" s="334"/>
      <c r="AP208" s="334"/>
      <c r="AQ208" s="334"/>
      <c r="AR208" s="334"/>
      <c r="AS208" s="334"/>
      <c r="AT208" s="334"/>
      <c r="AU208" s="334"/>
      <c r="AV208" s="334"/>
      <c r="AW208" s="334"/>
      <c r="AX208" s="334"/>
      <c r="AY208" s="334"/>
      <c r="AZ208" s="334"/>
      <c r="BA208" s="335"/>
      <c r="BB208" s="334"/>
      <c r="BC208" s="334"/>
      <c r="BD208" s="334"/>
      <c r="BE208" s="334"/>
      <c r="BF208" s="334"/>
      <c r="BG208" s="43"/>
      <c r="BK208" s="344" t="s">
        <v>150</v>
      </c>
      <c r="BL208" s="51" t="s">
        <v>1021</v>
      </c>
    </row>
    <row r="209" spans="1:64">
      <c r="A209" s="681"/>
      <c r="B209" s="682"/>
      <c r="C209" s="59"/>
      <c r="D209" s="334"/>
      <c r="E209" s="334"/>
      <c r="F209" s="334"/>
      <c r="G209" s="334"/>
      <c r="H209" s="334"/>
      <c r="I209" s="334"/>
      <c r="J209" s="334"/>
      <c r="K209" s="335"/>
      <c r="L209" s="36"/>
      <c r="M209" s="334"/>
      <c r="N209" s="334"/>
      <c r="O209" s="334"/>
      <c r="P209" s="334"/>
      <c r="Q209" s="334"/>
      <c r="R209" s="334"/>
      <c r="S209" s="334"/>
      <c r="T209" s="334"/>
      <c r="U209" s="683"/>
      <c r="V209" s="682"/>
      <c r="W209" s="684"/>
      <c r="X209" s="685"/>
      <c r="Y209" s="356"/>
      <c r="Z209" s="357"/>
      <c r="AA209" s="357"/>
      <c r="AB209" s="357"/>
      <c r="AC209" s="358"/>
      <c r="AD209" s="359"/>
      <c r="AE209" s="360"/>
      <c r="AF209" s="359"/>
      <c r="AG209" s="360"/>
      <c r="AH209" s="333"/>
      <c r="AI209" s="334"/>
      <c r="AJ209" s="334"/>
      <c r="AK209" s="334"/>
      <c r="AL209" s="334"/>
      <c r="AM209" s="334"/>
      <c r="AN209" s="334"/>
      <c r="AO209" s="334"/>
      <c r="AP209" s="334"/>
      <c r="AQ209" s="334"/>
      <c r="AR209" s="334"/>
      <c r="AS209" s="334"/>
      <c r="AT209" s="334"/>
      <c r="AU209" s="334"/>
      <c r="AV209" s="334"/>
      <c r="AW209" s="334"/>
      <c r="AX209" s="334"/>
      <c r="AY209" s="334"/>
      <c r="AZ209" s="334"/>
      <c r="BA209" s="335"/>
      <c r="BB209" s="334"/>
      <c r="BC209" s="334"/>
      <c r="BD209" s="334"/>
      <c r="BE209" s="334"/>
      <c r="BF209" s="334"/>
      <c r="BG209" s="43"/>
      <c r="BK209" s="343" t="s">
        <v>151</v>
      </c>
      <c r="BL209" s="51" t="s">
        <v>1022</v>
      </c>
    </row>
    <row r="210" spans="1:64" ht="16.2" thickBot="1">
      <c r="A210" s="762"/>
      <c r="B210" s="762"/>
      <c r="C210" s="385"/>
      <c r="D210" s="45"/>
      <c r="E210" s="45"/>
      <c r="F210" s="45"/>
      <c r="G210" s="45"/>
      <c r="H210" s="45"/>
      <c r="I210" s="45"/>
      <c r="J210" s="45"/>
      <c r="K210" s="46"/>
      <c r="L210" s="45"/>
      <c r="M210" s="45"/>
      <c r="N210" s="45"/>
      <c r="O210" s="45"/>
      <c r="P210" s="45"/>
      <c r="Q210" s="45"/>
      <c r="R210" s="45"/>
      <c r="S210" s="45"/>
      <c r="T210" s="45"/>
      <c r="U210" s="677"/>
      <c r="V210" s="678"/>
      <c r="W210" s="677"/>
      <c r="X210" s="678"/>
      <c r="Y210" s="268"/>
      <c r="Z210" s="266"/>
      <c r="AA210" s="266"/>
      <c r="AB210" s="266"/>
      <c r="AC210" s="269"/>
      <c r="AD210" s="264"/>
      <c r="AE210" s="265"/>
      <c r="AF210" s="264"/>
      <c r="AG210" s="265"/>
      <c r="AH210" s="44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5"/>
      <c r="AX210" s="45"/>
      <c r="AY210" s="45"/>
      <c r="AZ210" s="45"/>
      <c r="BA210" s="46"/>
      <c r="BK210" s="343" t="s">
        <v>152</v>
      </c>
      <c r="BL210" s="51" t="s">
        <v>1023</v>
      </c>
    </row>
    <row r="211" spans="1:64">
      <c r="BK211" s="343" t="s">
        <v>153</v>
      </c>
      <c r="BL211" s="51" t="s">
        <v>1024</v>
      </c>
    </row>
    <row r="212" spans="1:64">
      <c r="BK212" s="343" t="s">
        <v>154</v>
      </c>
      <c r="BL212" s="51" t="s">
        <v>1025</v>
      </c>
    </row>
    <row r="213" spans="1:64">
      <c r="BK213" s="343" t="s">
        <v>155</v>
      </c>
      <c r="BL213" s="51" t="s">
        <v>1026</v>
      </c>
    </row>
    <row r="214" spans="1:64">
      <c r="BK214" s="343" t="s">
        <v>156</v>
      </c>
      <c r="BL214" s="51" t="s">
        <v>1027</v>
      </c>
    </row>
    <row r="215" spans="1:64">
      <c r="BK215" s="343" t="s">
        <v>157</v>
      </c>
      <c r="BL215" s="51" t="s">
        <v>1028</v>
      </c>
    </row>
    <row r="216" spans="1:64">
      <c r="BK216" s="343" t="s">
        <v>158</v>
      </c>
      <c r="BL216" s="51" t="s">
        <v>1029</v>
      </c>
    </row>
    <row r="217" spans="1:64">
      <c r="AD217" s="295"/>
      <c r="AE217" s="295"/>
      <c r="AF217" s="295"/>
      <c r="AG217" s="295"/>
      <c r="BK217" s="343" t="s">
        <v>159</v>
      </c>
      <c r="BL217" s="51" t="s">
        <v>1030</v>
      </c>
    </row>
    <row r="218" spans="1:64">
      <c r="AD218" s="295"/>
      <c r="AE218" s="295"/>
      <c r="AF218" s="295"/>
      <c r="AG218" s="295"/>
      <c r="BK218" s="343" t="s">
        <v>160</v>
      </c>
      <c r="BL218" s="51" t="s">
        <v>1031</v>
      </c>
    </row>
    <row r="219" spans="1:64">
      <c r="AD219" s="295"/>
      <c r="AE219" s="295"/>
      <c r="AF219" s="295"/>
      <c r="AG219" s="295"/>
      <c r="BK219" s="50" t="s">
        <v>1066</v>
      </c>
      <c r="BL219" s="52" t="s">
        <v>1035</v>
      </c>
    </row>
    <row r="220" spans="1:64">
      <c r="AD220" s="295"/>
      <c r="AE220" s="295"/>
      <c r="AF220" s="295"/>
      <c r="AG220" s="295"/>
      <c r="BK220" s="50" t="s">
        <v>976</v>
      </c>
      <c r="BL220" s="51" t="s">
        <v>1032</v>
      </c>
    </row>
    <row r="221" spans="1:64">
      <c r="AD221" s="295"/>
      <c r="AE221" s="295"/>
      <c r="AF221" s="295"/>
      <c r="AG221" s="295"/>
      <c r="BK221" s="343" t="s">
        <v>196</v>
      </c>
      <c r="BL221" s="51" t="s">
        <v>1033</v>
      </c>
    </row>
    <row r="222" spans="1:64">
      <c r="AD222" s="295"/>
      <c r="AE222" s="295"/>
      <c r="AF222" s="295"/>
      <c r="AG222" s="295"/>
      <c r="BK222" s="343" t="s">
        <v>197</v>
      </c>
      <c r="BL222" s="51" t="s">
        <v>1034</v>
      </c>
    </row>
    <row r="223" spans="1:64">
      <c r="AD223" s="295"/>
      <c r="AE223" s="295"/>
      <c r="AF223" s="295"/>
      <c r="AG223" s="295"/>
    </row>
    <row r="224" spans="1:64">
      <c r="AD224" s="295"/>
      <c r="AE224" s="295"/>
      <c r="AF224" s="295"/>
      <c r="AG224" s="295"/>
    </row>
    <row r="225" spans="30:64">
      <c r="AD225" s="295"/>
      <c r="AE225" s="295"/>
      <c r="AF225" s="295"/>
      <c r="AG225" s="295"/>
    </row>
    <row r="226" spans="30:64">
      <c r="AD226" s="295"/>
      <c r="AE226" s="295"/>
      <c r="AF226" s="295"/>
      <c r="AG226" s="295"/>
    </row>
    <row r="227" spans="30:64">
      <c r="AD227" s="295"/>
      <c r="AE227" s="295"/>
      <c r="AF227" s="295"/>
      <c r="AG227" s="295"/>
    </row>
    <row r="228" spans="30:64">
      <c r="AD228" s="295"/>
      <c r="AE228" s="295"/>
      <c r="AF228" s="295"/>
      <c r="AG228" s="295"/>
    </row>
    <row r="229" spans="30:64">
      <c r="AD229" s="295"/>
      <c r="AE229" s="295"/>
      <c r="AF229" s="295"/>
      <c r="AG229" s="295"/>
    </row>
    <row r="230" spans="30:64">
      <c r="AD230" s="295"/>
      <c r="AE230" s="295"/>
      <c r="AF230" s="295"/>
      <c r="AG230" s="295"/>
    </row>
    <row r="231" spans="30:64">
      <c r="AD231" s="295"/>
      <c r="AE231" s="295"/>
      <c r="AF231" s="295"/>
      <c r="AG231" s="295"/>
    </row>
    <row r="232" spans="30:64">
      <c r="AD232" s="295"/>
      <c r="AE232" s="295"/>
      <c r="AF232" s="295"/>
      <c r="AG232" s="295"/>
    </row>
    <row r="233" spans="30:64">
      <c r="AD233" s="295"/>
      <c r="AE233" s="295"/>
      <c r="AF233" s="295"/>
      <c r="AG233" s="295"/>
    </row>
    <row r="234" spans="30:64">
      <c r="AD234" s="295"/>
      <c r="AE234" s="295"/>
      <c r="AF234" s="295"/>
      <c r="AG234" s="295"/>
    </row>
    <row r="235" spans="30:64">
      <c r="AD235" s="295"/>
      <c r="AE235" s="295"/>
      <c r="AF235" s="295"/>
      <c r="AG235" s="295"/>
    </row>
    <row r="236" spans="30:64">
      <c r="AD236" s="295"/>
      <c r="AE236" s="295"/>
      <c r="AF236" s="295"/>
      <c r="AG236" s="295"/>
    </row>
    <row r="237" spans="30:64">
      <c r="AD237" s="295"/>
      <c r="AE237" s="295"/>
      <c r="AF237" s="295"/>
      <c r="AG237" s="295"/>
    </row>
    <row r="238" spans="30:64">
      <c r="AD238" s="295"/>
      <c r="AE238" s="295"/>
      <c r="AF238" s="295"/>
      <c r="AG238" s="295"/>
      <c r="BK238" s="120"/>
      <c r="BL238" s="52"/>
    </row>
    <row r="239" spans="30:64">
      <c r="AD239" s="295"/>
      <c r="AE239" s="295"/>
      <c r="AF239" s="295"/>
      <c r="AG239" s="295"/>
      <c r="BK239" s="120"/>
      <c r="BL239" s="51"/>
    </row>
    <row r="240" spans="30:64">
      <c r="AD240" s="295"/>
      <c r="AE240" s="295"/>
      <c r="AF240" s="295"/>
      <c r="AG240" s="295"/>
      <c r="BK240" s="101"/>
      <c r="BL240" s="51"/>
    </row>
    <row r="241" spans="30:64">
      <c r="AD241" s="295"/>
      <c r="AE241" s="295"/>
      <c r="AF241" s="295"/>
      <c r="AG241" s="295"/>
      <c r="BK241" s="101"/>
      <c r="BL241" s="51"/>
    </row>
    <row r="242" spans="30:64">
      <c r="AD242" s="295"/>
      <c r="AE242" s="295"/>
      <c r="AF242" s="295"/>
      <c r="AG242" s="295"/>
      <c r="BK242" s="101"/>
      <c r="BL242" s="101"/>
    </row>
    <row r="243" spans="30:64">
      <c r="AD243" s="295"/>
      <c r="AE243" s="295"/>
      <c r="AF243" s="295"/>
      <c r="AG243" s="295"/>
      <c r="BK243" s="120"/>
      <c r="BL243" s="120"/>
    </row>
    <row r="244" spans="30:64">
      <c r="AD244" s="295"/>
      <c r="AE244" s="295"/>
      <c r="AF244" s="295"/>
      <c r="AG244" s="295"/>
      <c r="BK244" s="120"/>
      <c r="BL244" s="101"/>
    </row>
    <row r="245" spans="30:64">
      <c r="AD245" s="295"/>
      <c r="AE245" s="295"/>
      <c r="AF245" s="295"/>
      <c r="AG245" s="295"/>
      <c r="BK245" s="101"/>
      <c r="BL245" s="101"/>
    </row>
    <row r="246" spans="30:64">
      <c r="AD246" s="295"/>
      <c r="AE246" s="295"/>
      <c r="AF246" s="295"/>
      <c r="AG246" s="295"/>
      <c r="BK246" s="101"/>
      <c r="BL246" s="101"/>
    </row>
    <row r="247" spans="30:64">
      <c r="AD247" s="295"/>
      <c r="AE247" s="295"/>
      <c r="AF247" s="295"/>
      <c r="AG247" s="295"/>
      <c r="BK247" s="342"/>
      <c r="BL247" s="51"/>
    </row>
    <row r="248" spans="30:64">
      <c r="AD248" s="295"/>
      <c r="AE248" s="295"/>
      <c r="AF248" s="295"/>
      <c r="AG248" s="295"/>
      <c r="BK248" s="101"/>
      <c r="BL248" s="51"/>
    </row>
    <row r="249" spans="30:64">
      <c r="AD249" s="295"/>
      <c r="AE249" s="295"/>
      <c r="AF249" s="295"/>
      <c r="AG249" s="295"/>
      <c r="BK249" s="101"/>
      <c r="BL249" s="51"/>
    </row>
    <row r="250" spans="30:64">
      <c r="AD250" s="295"/>
      <c r="AE250" s="295"/>
      <c r="AF250" s="295"/>
      <c r="AG250" s="295"/>
      <c r="BK250" s="101"/>
      <c r="BL250" s="51"/>
    </row>
    <row r="251" spans="30:64">
      <c r="AD251" s="295"/>
      <c r="AE251" s="295"/>
      <c r="AF251" s="295"/>
      <c r="AG251" s="295"/>
      <c r="BK251" s="101"/>
      <c r="BL251" s="51"/>
    </row>
    <row r="252" spans="30:64">
      <c r="AD252" s="295"/>
      <c r="AE252" s="295"/>
      <c r="AF252" s="295"/>
      <c r="AG252" s="295"/>
      <c r="BK252" s="101"/>
      <c r="BL252" s="51"/>
    </row>
    <row r="253" spans="30:64">
      <c r="AD253" s="295"/>
      <c r="AE253" s="295"/>
      <c r="AF253" s="295"/>
      <c r="AG253" s="295"/>
      <c r="BK253" s="342"/>
      <c r="BL253" s="51"/>
    </row>
    <row r="254" spans="30:64">
      <c r="AD254" s="295"/>
      <c r="AE254" s="295"/>
      <c r="AF254" s="295"/>
      <c r="AG254" s="295"/>
      <c r="BK254" s="342"/>
      <c r="BL254" s="51"/>
    </row>
    <row r="255" spans="30:64">
      <c r="AD255" s="295"/>
      <c r="AE255" s="295"/>
      <c r="AF255" s="295"/>
      <c r="AG255" s="295"/>
      <c r="BK255" s="101"/>
      <c r="BL255" s="51"/>
    </row>
  </sheetData>
  <mergeCells count="696">
    <mergeCell ref="A178:B178"/>
    <mergeCell ref="A179:B179"/>
    <mergeCell ref="U178:V178"/>
    <mergeCell ref="U179:V179"/>
    <mergeCell ref="W178:X178"/>
    <mergeCell ref="W179:X179"/>
    <mergeCell ref="AD178:AE178"/>
    <mergeCell ref="AD179:AE179"/>
    <mergeCell ref="AF178:AG178"/>
    <mergeCell ref="AF179:AG179"/>
    <mergeCell ref="AF174:AG174"/>
    <mergeCell ref="AF175:AG175"/>
    <mergeCell ref="AF176:AG176"/>
    <mergeCell ref="AF177:AG177"/>
    <mergeCell ref="AD174:AE174"/>
    <mergeCell ref="AD175:AE175"/>
    <mergeCell ref="AD176:AE176"/>
    <mergeCell ref="AD177:AE177"/>
    <mergeCell ref="A174:B174"/>
    <mergeCell ref="A175:B175"/>
    <mergeCell ref="A176:B176"/>
    <mergeCell ref="A177:B177"/>
    <mergeCell ref="U174:V174"/>
    <mergeCell ref="U175:V175"/>
    <mergeCell ref="U176:V176"/>
    <mergeCell ref="U177:V177"/>
    <mergeCell ref="W174:X174"/>
    <mergeCell ref="W175:X175"/>
    <mergeCell ref="W176:X176"/>
    <mergeCell ref="W177:X177"/>
    <mergeCell ref="A45:B45"/>
    <mergeCell ref="A42:B42"/>
    <mergeCell ref="A43:B43"/>
    <mergeCell ref="A44:B44"/>
    <mergeCell ref="A39:B39"/>
    <mergeCell ref="U39:V39"/>
    <mergeCell ref="W39:X39"/>
    <mergeCell ref="A40:B40"/>
    <mergeCell ref="U40:V40"/>
    <mergeCell ref="W40:X40"/>
    <mergeCell ref="U41:V41"/>
    <mergeCell ref="W41:X41"/>
    <mergeCell ref="U42:V42"/>
    <mergeCell ref="W42:X42"/>
    <mergeCell ref="U43:V43"/>
    <mergeCell ref="W43:X43"/>
    <mergeCell ref="U44:V44"/>
    <mergeCell ref="W44:X44"/>
    <mergeCell ref="U45:V45"/>
    <mergeCell ref="W45:X45"/>
    <mergeCell ref="A36:B36"/>
    <mergeCell ref="U36:V36"/>
    <mergeCell ref="W36:X36"/>
    <mergeCell ref="A37:B37"/>
    <mergeCell ref="U37:V37"/>
    <mergeCell ref="W37:X37"/>
    <mergeCell ref="A38:B38"/>
    <mergeCell ref="U38:V38"/>
    <mergeCell ref="W38:X38"/>
    <mergeCell ref="W145:X145"/>
    <mergeCell ref="U210:V210"/>
    <mergeCell ref="W210:X210"/>
    <mergeCell ref="U51:V51"/>
    <mergeCell ref="W51:X51"/>
    <mergeCell ref="U52:V52"/>
    <mergeCell ref="W52:X52"/>
    <mergeCell ref="W124:X124"/>
    <mergeCell ref="U125:V125"/>
    <mergeCell ref="W125:X125"/>
    <mergeCell ref="U69:V69"/>
    <mergeCell ref="W69:X69"/>
    <mergeCell ref="U54:V54"/>
    <mergeCell ref="W54:X54"/>
    <mergeCell ref="U55:V55"/>
    <mergeCell ref="W55:X55"/>
    <mergeCell ref="U56:V56"/>
    <mergeCell ref="W56:X56"/>
    <mergeCell ref="U57:V57"/>
    <mergeCell ref="W57:X57"/>
    <mergeCell ref="U58:V58"/>
    <mergeCell ref="W58:X58"/>
    <mergeCell ref="U59:V59"/>
    <mergeCell ref="W59:X59"/>
    <mergeCell ref="A170:B170"/>
    <mergeCell ref="U170:V170"/>
    <mergeCell ref="W170:X170"/>
    <mergeCell ref="A171:B171"/>
    <mergeCell ref="U171:V171"/>
    <mergeCell ref="A167:B167"/>
    <mergeCell ref="U167:V167"/>
    <mergeCell ref="W167:X167"/>
    <mergeCell ref="A169:B169"/>
    <mergeCell ref="U169:V169"/>
    <mergeCell ref="W169:X169"/>
    <mergeCell ref="A168:B168"/>
    <mergeCell ref="U168:V168"/>
    <mergeCell ref="W168:X168"/>
    <mergeCell ref="W171:X171"/>
    <mergeCell ref="A165:B165"/>
    <mergeCell ref="U165:V165"/>
    <mergeCell ref="W165:X165"/>
    <mergeCell ref="A166:B166"/>
    <mergeCell ref="U166:V166"/>
    <mergeCell ref="W166:X166"/>
    <mergeCell ref="A163:B163"/>
    <mergeCell ref="U163:V163"/>
    <mergeCell ref="W163:X163"/>
    <mergeCell ref="A164:B164"/>
    <mergeCell ref="U164:V164"/>
    <mergeCell ref="W164:X164"/>
    <mergeCell ref="A161:B161"/>
    <mergeCell ref="U161:V161"/>
    <mergeCell ref="W161:X161"/>
    <mergeCell ref="A162:B162"/>
    <mergeCell ref="U162:V162"/>
    <mergeCell ref="W162:X162"/>
    <mergeCell ref="A159:B159"/>
    <mergeCell ref="U159:V159"/>
    <mergeCell ref="W159:X159"/>
    <mergeCell ref="A160:B160"/>
    <mergeCell ref="U160:V160"/>
    <mergeCell ref="W160:X160"/>
    <mergeCell ref="A157:B157"/>
    <mergeCell ref="U157:V157"/>
    <mergeCell ref="W157:X157"/>
    <mergeCell ref="A158:B158"/>
    <mergeCell ref="U158:V158"/>
    <mergeCell ref="W158:X158"/>
    <mergeCell ref="A155:B155"/>
    <mergeCell ref="U155:V155"/>
    <mergeCell ref="W155:X155"/>
    <mergeCell ref="A156:B156"/>
    <mergeCell ref="U156:V156"/>
    <mergeCell ref="W156:X156"/>
    <mergeCell ref="A154:B154"/>
    <mergeCell ref="U154:V154"/>
    <mergeCell ref="W154:X154"/>
    <mergeCell ref="A151:B151"/>
    <mergeCell ref="U151:V151"/>
    <mergeCell ref="W151:X151"/>
    <mergeCell ref="A152:B152"/>
    <mergeCell ref="U152:V152"/>
    <mergeCell ref="W152:X152"/>
    <mergeCell ref="W153:X153"/>
    <mergeCell ref="A53:B53"/>
    <mergeCell ref="A54:B54"/>
    <mergeCell ref="A55:B55"/>
    <mergeCell ref="A56:B56"/>
    <mergeCell ref="A57:B57"/>
    <mergeCell ref="A58:B58"/>
    <mergeCell ref="A59:B59"/>
    <mergeCell ref="A149:B149"/>
    <mergeCell ref="U149:V149"/>
    <mergeCell ref="A147:B147"/>
    <mergeCell ref="U147:V147"/>
    <mergeCell ref="A148:B148"/>
    <mergeCell ref="U148:V148"/>
    <mergeCell ref="A60:B60"/>
    <mergeCell ref="U60:V60"/>
    <mergeCell ref="A64:B64"/>
    <mergeCell ref="U64:V64"/>
    <mergeCell ref="A70:B70"/>
    <mergeCell ref="U70:V70"/>
    <mergeCell ref="A73:B73"/>
    <mergeCell ref="U73:V73"/>
    <mergeCell ref="A77:B77"/>
    <mergeCell ref="U77:V77"/>
    <mergeCell ref="A81:B81"/>
    <mergeCell ref="U53:V53"/>
    <mergeCell ref="U124:V124"/>
    <mergeCell ref="U68:V68"/>
    <mergeCell ref="W60:X60"/>
    <mergeCell ref="W64:X64"/>
    <mergeCell ref="W70:X70"/>
    <mergeCell ref="W73:X73"/>
    <mergeCell ref="W77:X77"/>
    <mergeCell ref="U81:V81"/>
    <mergeCell ref="W81:X81"/>
    <mergeCell ref="W53:X53"/>
    <mergeCell ref="U46:V46"/>
    <mergeCell ref="W46:X46"/>
    <mergeCell ref="U47:V47"/>
    <mergeCell ref="W47:X47"/>
    <mergeCell ref="U48:V48"/>
    <mergeCell ref="W48:X48"/>
    <mergeCell ref="U49:V49"/>
    <mergeCell ref="W49:X49"/>
    <mergeCell ref="U50:V50"/>
    <mergeCell ref="W50:X50"/>
    <mergeCell ref="U34:V34"/>
    <mergeCell ref="W34:X34"/>
    <mergeCell ref="U35:V35"/>
    <mergeCell ref="W35:X35"/>
    <mergeCell ref="U30:V30"/>
    <mergeCell ref="W30:X30"/>
    <mergeCell ref="U31:V31"/>
    <mergeCell ref="W31:X31"/>
    <mergeCell ref="U32:V32"/>
    <mergeCell ref="W32:X32"/>
    <mergeCell ref="U19:V19"/>
    <mergeCell ref="W19:X19"/>
    <mergeCell ref="U20:V20"/>
    <mergeCell ref="W20:X20"/>
    <mergeCell ref="U21:V21"/>
    <mergeCell ref="W21:X21"/>
    <mergeCell ref="U22:V22"/>
    <mergeCell ref="W22:X22"/>
    <mergeCell ref="U23:V23"/>
    <mergeCell ref="W23:X23"/>
    <mergeCell ref="W24:X24"/>
    <mergeCell ref="A34:B34"/>
    <mergeCell ref="A33:B33"/>
    <mergeCell ref="A32:B32"/>
    <mergeCell ref="A31:B31"/>
    <mergeCell ref="A30:B30"/>
    <mergeCell ref="A49:B49"/>
    <mergeCell ref="A50:B50"/>
    <mergeCell ref="A41:B41"/>
    <mergeCell ref="A35:B35"/>
    <mergeCell ref="A28:B28"/>
    <mergeCell ref="A29:B29"/>
    <mergeCell ref="U27:V27"/>
    <mergeCell ref="W27:X27"/>
    <mergeCell ref="U28:V28"/>
    <mergeCell ref="W28:X28"/>
    <mergeCell ref="U29:V29"/>
    <mergeCell ref="W29:X29"/>
    <mergeCell ref="U25:V25"/>
    <mergeCell ref="W25:X25"/>
    <mergeCell ref="U26:V26"/>
    <mergeCell ref="W26:X26"/>
    <mergeCell ref="U33:V33"/>
    <mergeCell ref="W33:X33"/>
    <mergeCell ref="A51:B51"/>
    <mergeCell ref="A52:B52"/>
    <mergeCell ref="A46:B46"/>
    <mergeCell ref="A47:B47"/>
    <mergeCell ref="A48:B48"/>
    <mergeCell ref="A18:B18"/>
    <mergeCell ref="U18:V18"/>
    <mergeCell ref="W18:X18"/>
    <mergeCell ref="A14:B14"/>
    <mergeCell ref="U14:V14"/>
    <mergeCell ref="W14:X14"/>
    <mergeCell ref="A17:B17"/>
    <mergeCell ref="U17:V17"/>
    <mergeCell ref="W17:X17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U24:V24"/>
    <mergeCell ref="A13:B13"/>
    <mergeCell ref="U13:V13"/>
    <mergeCell ref="W13:X13"/>
    <mergeCell ref="A16:B16"/>
    <mergeCell ref="U16:V16"/>
    <mergeCell ref="W16:X16"/>
    <mergeCell ref="A15:B15"/>
    <mergeCell ref="U15:V15"/>
    <mergeCell ref="W15:X15"/>
    <mergeCell ref="A9:B9"/>
    <mergeCell ref="U9:V9"/>
    <mergeCell ref="W9:X9"/>
    <mergeCell ref="A12:B12"/>
    <mergeCell ref="U12:V12"/>
    <mergeCell ref="W12:X12"/>
    <mergeCell ref="A10:B10"/>
    <mergeCell ref="U10:V10"/>
    <mergeCell ref="W10:X10"/>
    <mergeCell ref="A11:B11"/>
    <mergeCell ref="U11:V11"/>
    <mergeCell ref="W11:X11"/>
    <mergeCell ref="G1:T1"/>
    <mergeCell ref="U1:AO2"/>
    <mergeCell ref="AS1:AX1"/>
    <mergeCell ref="BB1:BG1"/>
    <mergeCell ref="G2:T2"/>
    <mergeCell ref="AS2:AX2"/>
    <mergeCell ref="BB2:BG2"/>
    <mergeCell ref="A8:B8"/>
    <mergeCell ref="U8:V8"/>
    <mergeCell ref="W8:X8"/>
    <mergeCell ref="AD6:AE7"/>
    <mergeCell ref="AF6:AG7"/>
    <mergeCell ref="AH6:BA7"/>
    <mergeCell ref="BB6:BG7"/>
    <mergeCell ref="A6:B7"/>
    <mergeCell ref="C6:K7"/>
    <mergeCell ref="L6:T7"/>
    <mergeCell ref="U6:V7"/>
    <mergeCell ref="W6:X7"/>
    <mergeCell ref="Y6:AC7"/>
    <mergeCell ref="A61:B61"/>
    <mergeCell ref="U61:V61"/>
    <mergeCell ref="W61:X61"/>
    <mergeCell ref="A62:B62"/>
    <mergeCell ref="U62:V62"/>
    <mergeCell ref="W62:X62"/>
    <mergeCell ref="A63:B63"/>
    <mergeCell ref="U63:V63"/>
    <mergeCell ref="W63:X63"/>
    <mergeCell ref="A65:B65"/>
    <mergeCell ref="U65:V65"/>
    <mergeCell ref="W65:X65"/>
    <mergeCell ref="A66:B66"/>
    <mergeCell ref="U66:V66"/>
    <mergeCell ref="W66:X66"/>
    <mergeCell ref="A67:B67"/>
    <mergeCell ref="U67:V67"/>
    <mergeCell ref="W67:X67"/>
    <mergeCell ref="A69:B69"/>
    <mergeCell ref="A68:B68"/>
    <mergeCell ref="W68:X68"/>
    <mergeCell ref="A71:B71"/>
    <mergeCell ref="U71:V71"/>
    <mergeCell ref="W71:X71"/>
    <mergeCell ref="A72:B72"/>
    <mergeCell ref="U72:V72"/>
    <mergeCell ref="W72:X72"/>
    <mergeCell ref="A74:B74"/>
    <mergeCell ref="U74:V74"/>
    <mergeCell ref="W74:X74"/>
    <mergeCell ref="A75:B75"/>
    <mergeCell ref="U75:V75"/>
    <mergeCell ref="W75:X75"/>
    <mergeCell ref="A76:B76"/>
    <mergeCell ref="U76:V76"/>
    <mergeCell ref="W76:X76"/>
    <mergeCell ref="A78:B78"/>
    <mergeCell ref="U78:V78"/>
    <mergeCell ref="W78:X78"/>
    <mergeCell ref="A79:B79"/>
    <mergeCell ref="U79:V79"/>
    <mergeCell ref="W79:X79"/>
    <mergeCell ref="A80:B80"/>
    <mergeCell ref="U80:V80"/>
    <mergeCell ref="W80:X80"/>
    <mergeCell ref="A82:B82"/>
    <mergeCell ref="U82:V82"/>
    <mergeCell ref="W82:X82"/>
    <mergeCell ref="A83:B83"/>
    <mergeCell ref="U83:V83"/>
    <mergeCell ref="W83:X83"/>
    <mergeCell ref="A84:B84"/>
    <mergeCell ref="U84:V84"/>
    <mergeCell ref="W84:X84"/>
    <mergeCell ref="A85:B85"/>
    <mergeCell ref="U85:V85"/>
    <mergeCell ref="W85:X85"/>
    <mergeCell ref="A86:B86"/>
    <mergeCell ref="U86:V86"/>
    <mergeCell ref="W86:X86"/>
    <mergeCell ref="A87:B87"/>
    <mergeCell ref="U87:V87"/>
    <mergeCell ref="W87:X87"/>
    <mergeCell ref="A88:B88"/>
    <mergeCell ref="U88:V88"/>
    <mergeCell ref="W88:X88"/>
    <mergeCell ref="A89:B89"/>
    <mergeCell ref="U89:V89"/>
    <mergeCell ref="W89:X89"/>
    <mergeCell ref="A90:B90"/>
    <mergeCell ref="U90:V90"/>
    <mergeCell ref="W90:X90"/>
    <mergeCell ref="A91:B91"/>
    <mergeCell ref="U91:V91"/>
    <mergeCell ref="W91:X91"/>
    <mergeCell ref="A92:B92"/>
    <mergeCell ref="U92:V92"/>
    <mergeCell ref="W92:X92"/>
    <mergeCell ref="A93:B93"/>
    <mergeCell ref="U93:V93"/>
    <mergeCell ref="W93:X93"/>
    <mergeCell ref="A94:B94"/>
    <mergeCell ref="U94:V94"/>
    <mergeCell ref="W94:X94"/>
    <mergeCell ref="A95:B95"/>
    <mergeCell ref="U95:V95"/>
    <mergeCell ref="W95:X95"/>
    <mergeCell ref="A96:B96"/>
    <mergeCell ref="U96:V96"/>
    <mergeCell ref="W96:X96"/>
    <mergeCell ref="A97:B97"/>
    <mergeCell ref="U97:V97"/>
    <mergeCell ref="W97:X97"/>
    <mergeCell ref="A98:B98"/>
    <mergeCell ref="U98:V98"/>
    <mergeCell ref="W98:X98"/>
    <mergeCell ref="A99:B99"/>
    <mergeCell ref="U99:V99"/>
    <mergeCell ref="W99:X99"/>
    <mergeCell ref="A100:B100"/>
    <mergeCell ref="U100:V100"/>
    <mergeCell ref="W100:X100"/>
    <mergeCell ref="A101:B101"/>
    <mergeCell ref="U101:V101"/>
    <mergeCell ref="W101:X101"/>
    <mergeCell ref="A102:B102"/>
    <mergeCell ref="U102:V102"/>
    <mergeCell ref="W102:X102"/>
    <mergeCell ref="A103:B103"/>
    <mergeCell ref="U103:V103"/>
    <mergeCell ref="W103:X103"/>
    <mergeCell ref="A104:B104"/>
    <mergeCell ref="U104:V104"/>
    <mergeCell ref="W104:X104"/>
    <mergeCell ref="A105:B105"/>
    <mergeCell ref="U105:V105"/>
    <mergeCell ref="W105:X105"/>
    <mergeCell ref="A106:B106"/>
    <mergeCell ref="U106:V106"/>
    <mergeCell ref="W106:X106"/>
    <mergeCell ref="A107:B107"/>
    <mergeCell ref="U107:V107"/>
    <mergeCell ref="W107:X107"/>
    <mergeCell ref="A108:B108"/>
    <mergeCell ref="U108:V108"/>
    <mergeCell ref="W108:X108"/>
    <mergeCell ref="A109:B109"/>
    <mergeCell ref="U109:V109"/>
    <mergeCell ref="W109:X109"/>
    <mergeCell ref="A110:B110"/>
    <mergeCell ref="U110:V110"/>
    <mergeCell ref="W110:X110"/>
    <mergeCell ref="A111:B111"/>
    <mergeCell ref="U111:V111"/>
    <mergeCell ref="W111:X111"/>
    <mergeCell ref="A112:B112"/>
    <mergeCell ref="U112:V112"/>
    <mergeCell ref="W112:X112"/>
    <mergeCell ref="A113:B113"/>
    <mergeCell ref="U113:V113"/>
    <mergeCell ref="W113:X113"/>
    <mergeCell ref="A114:B114"/>
    <mergeCell ref="U114:V114"/>
    <mergeCell ref="W114:X114"/>
    <mergeCell ref="A115:B115"/>
    <mergeCell ref="U115:V115"/>
    <mergeCell ref="W115:X115"/>
    <mergeCell ref="A116:B116"/>
    <mergeCell ref="U116:V116"/>
    <mergeCell ref="W116:X116"/>
    <mergeCell ref="A117:B117"/>
    <mergeCell ref="U117:V117"/>
    <mergeCell ref="W117:X117"/>
    <mergeCell ref="A118:B118"/>
    <mergeCell ref="U118:V118"/>
    <mergeCell ref="W118:X118"/>
    <mergeCell ref="A119:B119"/>
    <mergeCell ref="U119:V119"/>
    <mergeCell ref="W119:X119"/>
    <mergeCell ref="A120:B120"/>
    <mergeCell ref="U120:V120"/>
    <mergeCell ref="W120:X120"/>
    <mergeCell ref="A121:B121"/>
    <mergeCell ref="U121:V121"/>
    <mergeCell ref="W121:X121"/>
    <mergeCell ref="A122:B122"/>
    <mergeCell ref="U122:V122"/>
    <mergeCell ref="W122:X122"/>
    <mergeCell ref="A123:B123"/>
    <mergeCell ref="U123:V123"/>
    <mergeCell ref="W123:X123"/>
    <mergeCell ref="A124:B124"/>
    <mergeCell ref="A125:B125"/>
    <mergeCell ref="A130:B130"/>
    <mergeCell ref="U130:V130"/>
    <mergeCell ref="W130:X130"/>
    <mergeCell ref="A128:B128"/>
    <mergeCell ref="U128:V128"/>
    <mergeCell ref="W128:X128"/>
    <mergeCell ref="A131:B131"/>
    <mergeCell ref="U131:V131"/>
    <mergeCell ref="W131:X131"/>
    <mergeCell ref="A129:B129"/>
    <mergeCell ref="U129:V129"/>
    <mergeCell ref="W129:X129"/>
    <mergeCell ref="A126:B126"/>
    <mergeCell ref="U126:V126"/>
    <mergeCell ref="W126:X126"/>
    <mergeCell ref="A127:B127"/>
    <mergeCell ref="U127:V127"/>
    <mergeCell ref="W127:X127"/>
    <mergeCell ref="A132:B132"/>
    <mergeCell ref="U132:V132"/>
    <mergeCell ref="W132:X132"/>
    <mergeCell ref="A133:B133"/>
    <mergeCell ref="U133:V133"/>
    <mergeCell ref="W133:X133"/>
    <mergeCell ref="A134:B134"/>
    <mergeCell ref="U134:V134"/>
    <mergeCell ref="W134:X134"/>
    <mergeCell ref="A135:B135"/>
    <mergeCell ref="U135:V135"/>
    <mergeCell ref="W135:X135"/>
    <mergeCell ref="A136:B136"/>
    <mergeCell ref="U136:V136"/>
    <mergeCell ref="W136:X136"/>
    <mergeCell ref="A137:B137"/>
    <mergeCell ref="U137:V137"/>
    <mergeCell ref="W137:X137"/>
    <mergeCell ref="A138:B138"/>
    <mergeCell ref="U138:V138"/>
    <mergeCell ref="W138:X138"/>
    <mergeCell ref="A139:B139"/>
    <mergeCell ref="U139:V139"/>
    <mergeCell ref="W139:X139"/>
    <mergeCell ref="A140:B140"/>
    <mergeCell ref="U140:V140"/>
    <mergeCell ref="W140:X140"/>
    <mergeCell ref="A141:B141"/>
    <mergeCell ref="U141:V141"/>
    <mergeCell ref="W141:X141"/>
    <mergeCell ref="A142:B142"/>
    <mergeCell ref="U142:V142"/>
    <mergeCell ref="W142:X142"/>
    <mergeCell ref="A143:B143"/>
    <mergeCell ref="U143:V143"/>
    <mergeCell ref="W143:X143"/>
    <mergeCell ref="A210:B210"/>
    <mergeCell ref="W173:X173"/>
    <mergeCell ref="U173:V173"/>
    <mergeCell ref="A173:B173"/>
    <mergeCell ref="W172:X172"/>
    <mergeCell ref="U172:V172"/>
    <mergeCell ref="A172:B172"/>
    <mergeCell ref="A144:B144"/>
    <mergeCell ref="U144:V144"/>
    <mergeCell ref="W144:X144"/>
    <mergeCell ref="A145:B145"/>
    <mergeCell ref="U145:V145"/>
    <mergeCell ref="A146:B146"/>
    <mergeCell ref="U146:V146"/>
    <mergeCell ref="W146:X146"/>
    <mergeCell ref="W149:X149"/>
    <mergeCell ref="A150:B150"/>
    <mergeCell ref="U150:V150"/>
    <mergeCell ref="W150:X150"/>
    <mergeCell ref="W147:X147"/>
    <mergeCell ref="W148:X148"/>
    <mergeCell ref="A153:B153"/>
    <mergeCell ref="U153:V153"/>
    <mergeCell ref="A180:B180"/>
    <mergeCell ref="U180:V180"/>
    <mergeCell ref="W180:X180"/>
    <mergeCell ref="A181:B181"/>
    <mergeCell ref="U181:V181"/>
    <mergeCell ref="W181:X181"/>
    <mergeCell ref="A182:B182"/>
    <mergeCell ref="U182:V182"/>
    <mergeCell ref="W182:X182"/>
    <mergeCell ref="A183:B183"/>
    <mergeCell ref="U183:V183"/>
    <mergeCell ref="W183:X183"/>
    <mergeCell ref="A184:B184"/>
    <mergeCell ref="U184:V184"/>
    <mergeCell ref="W184:X184"/>
    <mergeCell ref="A185:B185"/>
    <mergeCell ref="U185:V185"/>
    <mergeCell ref="W185:X185"/>
    <mergeCell ref="A186:B186"/>
    <mergeCell ref="U186:V186"/>
    <mergeCell ref="W186:X186"/>
    <mergeCell ref="A187:B187"/>
    <mergeCell ref="U187:V187"/>
    <mergeCell ref="W187:X187"/>
    <mergeCell ref="A188:B188"/>
    <mergeCell ref="U188:V188"/>
    <mergeCell ref="W188:X188"/>
    <mergeCell ref="A189:B189"/>
    <mergeCell ref="U189:V189"/>
    <mergeCell ref="W189:X189"/>
    <mergeCell ref="A205:B205"/>
    <mergeCell ref="U205:V205"/>
    <mergeCell ref="W205:X205"/>
    <mergeCell ref="A206:B206"/>
    <mergeCell ref="U206:V206"/>
    <mergeCell ref="W206:X206"/>
    <mergeCell ref="A207:B207"/>
    <mergeCell ref="U207:V207"/>
    <mergeCell ref="W207:X207"/>
    <mergeCell ref="A208:B208"/>
    <mergeCell ref="U208:V208"/>
    <mergeCell ref="W208:X208"/>
    <mergeCell ref="A209:B209"/>
    <mergeCell ref="U209:V209"/>
    <mergeCell ref="W209:X209"/>
    <mergeCell ref="AD180:AE180"/>
    <mergeCell ref="AF180:AG180"/>
    <mergeCell ref="AD181:AE181"/>
    <mergeCell ref="AF181:AG181"/>
    <mergeCell ref="AD182:AE182"/>
    <mergeCell ref="AF182:AG182"/>
    <mergeCell ref="AD183:AE183"/>
    <mergeCell ref="AF183:AG183"/>
    <mergeCell ref="AD184:AE184"/>
    <mergeCell ref="AF184:AG184"/>
    <mergeCell ref="AD205:AE205"/>
    <mergeCell ref="AF205:AG205"/>
    <mergeCell ref="AD206:AE206"/>
    <mergeCell ref="AF206:AG206"/>
    <mergeCell ref="AD207:AE207"/>
    <mergeCell ref="AF207:AG207"/>
    <mergeCell ref="AD208:AE208"/>
    <mergeCell ref="AF208:AG208"/>
    <mergeCell ref="AD185:AE185"/>
    <mergeCell ref="AF185:AG185"/>
    <mergeCell ref="AD186:AE186"/>
    <mergeCell ref="AF186:AG186"/>
    <mergeCell ref="AD187:AE187"/>
    <mergeCell ref="AF187:AG187"/>
    <mergeCell ref="AD188:AE188"/>
    <mergeCell ref="AF188:AG188"/>
    <mergeCell ref="AD189:AE189"/>
    <mergeCell ref="AF189:AG189"/>
    <mergeCell ref="A202:B202"/>
    <mergeCell ref="A203:B203"/>
    <mergeCell ref="A204:B204"/>
    <mergeCell ref="U190:V190"/>
    <mergeCell ref="U191:V191"/>
    <mergeCell ref="U192:V192"/>
    <mergeCell ref="U193:V193"/>
    <mergeCell ref="U194:V194"/>
    <mergeCell ref="U195:V195"/>
    <mergeCell ref="U196:V196"/>
    <mergeCell ref="U197:V197"/>
    <mergeCell ref="U198:V198"/>
    <mergeCell ref="U199:V199"/>
    <mergeCell ref="U200:V200"/>
    <mergeCell ref="U201:V201"/>
    <mergeCell ref="U202:V202"/>
    <mergeCell ref="U203:V203"/>
    <mergeCell ref="U204:V204"/>
    <mergeCell ref="A190:B190"/>
    <mergeCell ref="A191:B191"/>
    <mergeCell ref="A192:B192"/>
    <mergeCell ref="A193:B193"/>
    <mergeCell ref="A194:B194"/>
    <mergeCell ref="A195:B195"/>
    <mergeCell ref="W196:X196"/>
    <mergeCell ref="W197:X197"/>
    <mergeCell ref="W198:X198"/>
    <mergeCell ref="A199:B199"/>
    <mergeCell ref="A200:B200"/>
    <mergeCell ref="A201:B201"/>
    <mergeCell ref="A196:B196"/>
    <mergeCell ref="A197:B197"/>
    <mergeCell ref="A198:B198"/>
    <mergeCell ref="W199:X199"/>
    <mergeCell ref="W200:X200"/>
    <mergeCell ref="W201:X201"/>
    <mergeCell ref="W202:X202"/>
    <mergeCell ref="W203:X203"/>
    <mergeCell ref="W204:X204"/>
    <mergeCell ref="AD190:AE190"/>
    <mergeCell ref="AD191:AE191"/>
    <mergeCell ref="AD192:AE192"/>
    <mergeCell ref="AD193:AE193"/>
    <mergeCell ref="AD194:AE194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W190:X190"/>
    <mergeCell ref="W191:X191"/>
    <mergeCell ref="W192:X192"/>
    <mergeCell ref="W193:X193"/>
    <mergeCell ref="W194:X194"/>
    <mergeCell ref="W195:X195"/>
    <mergeCell ref="AF199:AG199"/>
    <mergeCell ref="AF200:AG200"/>
    <mergeCell ref="AF201:AG201"/>
    <mergeCell ref="AF202:AG202"/>
    <mergeCell ref="AF203:AG203"/>
    <mergeCell ref="AF204:AG204"/>
    <mergeCell ref="AF190:AG190"/>
    <mergeCell ref="AF191:AG191"/>
    <mergeCell ref="AF192:AG192"/>
    <mergeCell ref="AF193:AG193"/>
    <mergeCell ref="AF194:AG194"/>
    <mergeCell ref="AF195:AG195"/>
    <mergeCell ref="AF196:AG196"/>
    <mergeCell ref="AF197:AG197"/>
    <mergeCell ref="AF198:AG19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P276"/>
  <sheetViews>
    <sheetView topLeftCell="A91" zoomScale="85" zoomScaleNormal="85" workbookViewId="0">
      <selection activeCell="L106" sqref="L106:T107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37" customWidth="1"/>
    <col min="31" max="33" width="2.6640625" style="137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39"/>
      <c r="B3" s="139"/>
      <c r="C3" s="55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5"/>
      <c r="AE3" s="135"/>
      <c r="AF3" s="135"/>
      <c r="AG3" s="135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39"/>
      <c r="BD3" s="139"/>
      <c r="BE3" s="139"/>
      <c r="BF3" s="139"/>
      <c r="BG3" s="139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1650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755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1277</v>
      </c>
      <c r="BL5" s="353" t="s">
        <v>701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1510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276" t="s">
        <v>1940</v>
      </c>
      <c r="Z8" s="128"/>
      <c r="AA8" s="128"/>
      <c r="AB8" s="128"/>
      <c r="AC8" s="129"/>
      <c r="AD8" s="277">
        <v>32</v>
      </c>
      <c r="AE8" s="136"/>
      <c r="AF8" s="277">
        <v>0</v>
      </c>
      <c r="AG8" s="136"/>
      <c r="AH8" s="7" t="s">
        <v>1362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 t="s">
        <v>1591</v>
      </c>
      <c r="BL8" s="51" t="s">
        <v>465</v>
      </c>
    </row>
    <row r="9" spans="1:64">
      <c r="A9" s="681">
        <v>2</v>
      </c>
      <c r="B9" s="682"/>
      <c r="C9" s="457" t="str">
        <f t="shared" ref="C9:C40" si="0">VLOOKUP(L9,$BK$7:$BL$276,2,FALSE)</f>
        <v>合同编号</v>
      </c>
      <c r="D9" s="460"/>
      <c r="E9" s="460"/>
      <c r="F9" s="460"/>
      <c r="G9" s="460"/>
      <c r="H9" s="460"/>
      <c r="I9" s="460"/>
      <c r="J9" s="460"/>
      <c r="K9" s="461"/>
      <c r="L9" s="278" t="s">
        <v>40</v>
      </c>
      <c r="M9" s="139"/>
      <c r="N9" s="139"/>
      <c r="O9" s="139"/>
      <c r="P9" s="139"/>
      <c r="Q9" s="139"/>
      <c r="R9" s="139"/>
      <c r="S9" s="139"/>
      <c r="T9" s="139"/>
      <c r="U9" s="683"/>
      <c r="V9" s="682"/>
      <c r="W9" s="684"/>
      <c r="X9" s="685"/>
      <c r="Y9" s="275" t="s">
        <v>16</v>
      </c>
      <c r="Z9" s="131"/>
      <c r="AA9" s="131"/>
      <c r="AB9" s="131"/>
      <c r="AC9" s="132"/>
      <c r="AD9" s="274">
        <v>200</v>
      </c>
      <c r="AE9" s="134"/>
      <c r="AF9" s="274">
        <v>0</v>
      </c>
      <c r="AG9" s="134"/>
      <c r="AH9" s="141"/>
      <c r="AI9" s="142"/>
      <c r="AJ9" s="139"/>
      <c r="AK9" s="139"/>
      <c r="AL9" s="139"/>
      <c r="AM9" s="139"/>
      <c r="AN9" s="139"/>
      <c r="AO9" s="139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40"/>
      <c r="BB9" s="139"/>
      <c r="BC9" s="139"/>
      <c r="BD9" s="139"/>
      <c r="BE9" s="139"/>
      <c r="BF9" s="139"/>
      <c r="BG9" s="43"/>
      <c r="BH9" s="36"/>
      <c r="BK9" s="52" t="s">
        <v>73</v>
      </c>
      <c r="BL9" s="52" t="s">
        <v>201</v>
      </c>
    </row>
    <row r="10" spans="1:64">
      <c r="A10" s="681">
        <v>3</v>
      </c>
      <c r="B10" s="682"/>
      <c r="C10" s="457" t="str">
        <f t="shared" si="0"/>
        <v>合同名称</v>
      </c>
      <c r="D10" s="458"/>
      <c r="E10" s="458"/>
      <c r="F10" s="458"/>
      <c r="G10" s="458"/>
      <c r="H10" s="458"/>
      <c r="I10" s="458"/>
      <c r="J10" s="458"/>
      <c r="K10" s="459"/>
      <c r="L10" s="1" t="s">
        <v>1623</v>
      </c>
      <c r="M10" s="142"/>
      <c r="N10" s="142"/>
      <c r="O10" s="142"/>
      <c r="P10" s="142"/>
      <c r="Q10" s="142"/>
      <c r="R10" s="142"/>
      <c r="S10" s="142"/>
      <c r="T10" s="142"/>
      <c r="U10" s="692"/>
      <c r="V10" s="693"/>
      <c r="W10" s="694"/>
      <c r="X10" s="695"/>
      <c r="Y10" s="275" t="s">
        <v>16</v>
      </c>
      <c r="Z10" s="131"/>
      <c r="AA10" s="131"/>
      <c r="AB10" s="131"/>
      <c r="AC10" s="132"/>
      <c r="AD10" s="274">
        <v>200</v>
      </c>
      <c r="AE10" s="134"/>
      <c r="AF10" s="274">
        <v>0</v>
      </c>
      <c r="AG10" s="134"/>
      <c r="AH10" s="141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3"/>
      <c r="BB10" s="139"/>
      <c r="BC10" s="139"/>
      <c r="BD10" s="139"/>
      <c r="BE10" s="139"/>
      <c r="BF10" s="139"/>
      <c r="BG10" s="43"/>
      <c r="BH10" s="36"/>
      <c r="BK10" s="52" t="s">
        <v>74</v>
      </c>
      <c r="BL10" s="51" t="s">
        <v>202</v>
      </c>
    </row>
    <row r="11" spans="1:64">
      <c r="A11" s="681">
        <v>4</v>
      </c>
      <c r="B11" s="682"/>
      <c r="C11" s="457" t="str">
        <f t="shared" si="0"/>
        <v>合同类型</v>
      </c>
      <c r="D11" s="458"/>
      <c r="E11" s="458"/>
      <c r="F11" s="458"/>
      <c r="G11" s="458"/>
      <c r="H11" s="458"/>
      <c r="I11" s="458"/>
      <c r="J11" s="458"/>
      <c r="K11" s="459"/>
      <c r="L11" s="1" t="s">
        <v>1473</v>
      </c>
      <c r="M11" s="142"/>
      <c r="N11" s="142"/>
      <c r="O11" s="142"/>
      <c r="P11" s="142"/>
      <c r="Q11" s="142"/>
      <c r="R11" s="142"/>
      <c r="S11" s="142"/>
      <c r="T11" s="142"/>
      <c r="U11" s="692"/>
      <c r="V11" s="693"/>
      <c r="W11" s="694"/>
      <c r="X11" s="695"/>
      <c r="Y11" s="275" t="s">
        <v>16</v>
      </c>
      <c r="Z11" s="131"/>
      <c r="AA11" s="131"/>
      <c r="AB11" s="131"/>
      <c r="AC11" s="132"/>
      <c r="AD11" s="274">
        <v>16</v>
      </c>
      <c r="AE11" s="134"/>
      <c r="AF11" s="274">
        <v>0</v>
      </c>
      <c r="AG11" s="134"/>
      <c r="AH11" s="141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39"/>
      <c r="AZ11" s="139"/>
      <c r="BA11" s="140"/>
      <c r="BB11" s="48"/>
      <c r="BC11" s="48"/>
      <c r="BD11" s="48"/>
      <c r="BE11" s="48"/>
      <c r="BF11" s="48"/>
      <c r="BG11" s="49"/>
      <c r="BK11" s="52" t="s">
        <v>75</v>
      </c>
      <c r="BL11" s="51" t="s">
        <v>203</v>
      </c>
    </row>
    <row r="12" spans="1:64">
      <c r="A12" s="681">
        <v>5</v>
      </c>
      <c r="B12" s="682"/>
      <c r="C12" s="59" t="str">
        <f t="shared" si="0"/>
        <v>摘要</v>
      </c>
      <c r="D12" s="142"/>
      <c r="E12" s="142"/>
      <c r="F12" s="142"/>
      <c r="G12" s="142"/>
      <c r="H12" s="142"/>
      <c r="I12" s="142"/>
      <c r="J12" s="142"/>
      <c r="K12" s="143"/>
      <c r="L12" s="1" t="s">
        <v>350</v>
      </c>
      <c r="M12" s="142"/>
      <c r="N12" s="142"/>
      <c r="O12" s="142"/>
      <c r="P12" s="142"/>
      <c r="Q12" s="142"/>
      <c r="R12" s="142"/>
      <c r="S12" s="142"/>
      <c r="T12" s="142"/>
      <c r="U12" s="692"/>
      <c r="V12" s="693"/>
      <c r="W12" s="694"/>
      <c r="X12" s="695"/>
      <c r="Y12" s="275" t="s">
        <v>16</v>
      </c>
      <c r="Z12" s="131"/>
      <c r="AA12" s="131"/>
      <c r="AB12" s="131"/>
      <c r="AC12" s="132"/>
      <c r="AD12" s="274">
        <v>16</v>
      </c>
      <c r="AE12" s="134"/>
      <c r="AF12" s="274">
        <v>0</v>
      </c>
      <c r="AG12" s="134"/>
      <c r="AH12" s="141"/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40"/>
      <c r="BB12" s="139"/>
      <c r="BC12" s="139"/>
      <c r="BD12" s="139"/>
      <c r="BE12" s="139"/>
      <c r="BF12" s="139"/>
      <c r="BG12" s="43"/>
      <c r="BK12" s="52" t="s">
        <v>76</v>
      </c>
      <c r="BL12" s="51" t="s">
        <v>204</v>
      </c>
    </row>
    <row r="13" spans="1:64">
      <c r="A13" s="681">
        <v>6</v>
      </c>
      <c r="B13" s="682"/>
      <c r="C13" s="59" t="str">
        <f t="shared" si="0"/>
        <v>合同显示类型</v>
      </c>
      <c r="D13" s="142"/>
      <c r="E13" s="142"/>
      <c r="F13" s="142"/>
      <c r="G13" s="142"/>
      <c r="H13" s="142"/>
      <c r="I13" s="142"/>
      <c r="J13" s="142"/>
      <c r="K13" s="143"/>
      <c r="L13" s="1" t="s">
        <v>351</v>
      </c>
      <c r="M13" s="142"/>
      <c r="N13" s="142"/>
      <c r="O13" s="142"/>
      <c r="P13" s="142"/>
      <c r="Q13" s="142"/>
      <c r="R13" s="142"/>
      <c r="S13" s="142"/>
      <c r="T13" s="142"/>
      <c r="U13" s="692"/>
      <c r="V13" s="693"/>
      <c r="W13" s="694"/>
      <c r="X13" s="695"/>
      <c r="Y13" s="275" t="s">
        <v>16</v>
      </c>
      <c r="Z13" s="131"/>
      <c r="AA13" s="131"/>
      <c r="AB13" s="131"/>
      <c r="AC13" s="132"/>
      <c r="AD13" s="274">
        <v>16</v>
      </c>
      <c r="AE13" s="134"/>
      <c r="AF13" s="274">
        <v>0</v>
      </c>
      <c r="AG13" s="134"/>
      <c r="AH13" s="141"/>
      <c r="AQ13" s="139"/>
      <c r="AR13" s="139"/>
      <c r="AS13" s="139"/>
      <c r="AT13" s="139"/>
      <c r="AU13" s="139"/>
      <c r="AV13" s="139"/>
      <c r="AW13" s="139"/>
      <c r="AX13" s="139"/>
      <c r="AY13" s="139"/>
      <c r="AZ13" s="139"/>
      <c r="BA13" s="140"/>
      <c r="BB13" s="139"/>
      <c r="BC13" s="139"/>
      <c r="BD13" s="139"/>
      <c r="BE13" s="139"/>
      <c r="BF13" s="139"/>
      <c r="BG13" s="43"/>
      <c r="BK13" s="52" t="s">
        <v>77</v>
      </c>
      <c r="BL13" s="51" t="s">
        <v>205</v>
      </c>
    </row>
    <row r="14" spans="1:64">
      <c r="A14" s="681">
        <v>7</v>
      </c>
      <c r="B14" s="682"/>
      <c r="C14" s="59" t="str">
        <f t="shared" si="0"/>
        <v>合同种类:合同种类(总价合同或单价合同)</v>
      </c>
      <c r="D14" s="142"/>
      <c r="E14" s="142"/>
      <c r="F14" s="142"/>
      <c r="G14" s="142"/>
      <c r="H14" s="142"/>
      <c r="I14" s="142"/>
      <c r="J14" s="142"/>
      <c r="K14" s="143"/>
      <c r="L14" s="1" t="s">
        <v>352</v>
      </c>
      <c r="M14" s="142"/>
      <c r="N14" s="142"/>
      <c r="O14" s="142"/>
      <c r="P14" s="142"/>
      <c r="Q14" s="142"/>
      <c r="R14" s="142"/>
      <c r="S14" s="142"/>
      <c r="T14" s="142"/>
      <c r="U14" s="692"/>
      <c r="V14" s="693"/>
      <c r="W14" s="694"/>
      <c r="X14" s="695"/>
      <c r="Y14" s="275" t="s">
        <v>16</v>
      </c>
      <c r="Z14" s="131"/>
      <c r="AA14" s="131"/>
      <c r="AB14" s="131"/>
      <c r="AC14" s="132"/>
      <c r="AD14" s="274">
        <v>100</v>
      </c>
      <c r="AE14" s="134"/>
      <c r="AF14" s="274">
        <v>0</v>
      </c>
      <c r="AG14" s="134"/>
      <c r="AH14" s="141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139"/>
      <c r="AV14" s="139"/>
      <c r="AW14" s="139"/>
      <c r="AX14" s="139"/>
      <c r="AY14" s="139"/>
      <c r="AZ14" s="139"/>
      <c r="BA14" s="140"/>
      <c r="BB14" s="139"/>
      <c r="BC14" s="139"/>
      <c r="BD14" s="139"/>
      <c r="BE14" s="139"/>
      <c r="BF14" s="139"/>
      <c r="BG14" s="43"/>
      <c r="BK14" s="52" t="s">
        <v>78</v>
      </c>
      <c r="BL14" s="51" t="s">
        <v>206</v>
      </c>
    </row>
    <row r="15" spans="1:64">
      <c r="A15" s="681">
        <v>8</v>
      </c>
      <c r="B15" s="682"/>
      <c r="C15" s="59" t="str">
        <f t="shared" si="0"/>
        <v>摘要</v>
      </c>
      <c r="D15" s="142"/>
      <c r="E15" s="142"/>
      <c r="F15" s="142"/>
      <c r="G15" s="142"/>
      <c r="H15" s="142"/>
      <c r="I15" s="142"/>
      <c r="J15" s="142"/>
      <c r="K15" s="143"/>
      <c r="L15" s="1" t="s">
        <v>353</v>
      </c>
      <c r="M15" s="142"/>
      <c r="N15" s="142"/>
      <c r="O15" s="142"/>
      <c r="P15" s="142"/>
      <c r="Q15" s="142"/>
      <c r="R15" s="142"/>
      <c r="S15" s="142"/>
      <c r="T15" s="142"/>
      <c r="U15" s="692"/>
      <c r="V15" s="693"/>
      <c r="W15" s="694"/>
      <c r="X15" s="695"/>
      <c r="Y15" s="275" t="s">
        <v>16</v>
      </c>
      <c r="Z15" s="131"/>
      <c r="AA15" s="131"/>
      <c r="AB15" s="131"/>
      <c r="AC15" s="132"/>
      <c r="AD15" s="274">
        <v>256</v>
      </c>
      <c r="AE15" s="134"/>
      <c r="AF15" s="274">
        <v>0</v>
      </c>
      <c r="AG15" s="134"/>
      <c r="AH15" s="141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139"/>
      <c r="AV15" s="139"/>
      <c r="AW15" s="139"/>
      <c r="AX15" s="139"/>
      <c r="AY15" s="139"/>
      <c r="AZ15" s="139"/>
      <c r="BA15" s="140"/>
      <c r="BB15" s="139"/>
      <c r="BC15" s="139"/>
      <c r="BD15" s="139"/>
      <c r="BE15" s="139"/>
      <c r="BF15" s="139"/>
      <c r="BG15" s="43"/>
      <c r="BK15" s="52" t="s">
        <v>79</v>
      </c>
      <c r="BL15" s="52" t="s">
        <v>1226</v>
      </c>
    </row>
    <row r="16" spans="1:64">
      <c r="A16" s="681">
        <v>9</v>
      </c>
      <c r="B16" s="682"/>
      <c r="C16" s="457" t="str">
        <f t="shared" si="0"/>
        <v>合同内容</v>
      </c>
      <c r="D16" s="458"/>
      <c r="E16" s="458"/>
      <c r="F16" s="458"/>
      <c r="G16" s="458"/>
      <c r="H16" s="458"/>
      <c r="I16" s="458"/>
      <c r="J16" s="458"/>
      <c r="K16" s="459"/>
      <c r="L16" s="1" t="s">
        <v>47</v>
      </c>
      <c r="M16" s="142"/>
      <c r="N16" s="142"/>
      <c r="O16" s="142"/>
      <c r="P16" s="142"/>
      <c r="Q16" s="142"/>
      <c r="R16" s="142"/>
      <c r="S16" s="142"/>
      <c r="T16" s="142"/>
      <c r="U16" s="692"/>
      <c r="V16" s="693"/>
      <c r="W16" s="694"/>
      <c r="X16" s="695"/>
      <c r="Y16" s="275" t="s">
        <v>16</v>
      </c>
      <c r="Z16" s="131"/>
      <c r="AA16" s="131"/>
      <c r="AB16" s="131"/>
      <c r="AC16" s="132"/>
      <c r="AD16" s="274">
        <v>600</v>
      </c>
      <c r="AE16" s="134"/>
      <c r="AF16" s="274">
        <v>0</v>
      </c>
      <c r="AG16" s="134"/>
      <c r="AH16" s="141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40"/>
      <c r="BB16" s="139"/>
      <c r="BC16" s="139"/>
      <c r="BD16" s="139"/>
      <c r="BE16" s="139"/>
      <c r="BF16" s="139"/>
      <c r="BG16" s="43"/>
      <c r="BK16" s="52" t="s">
        <v>80</v>
      </c>
      <c r="BL16" s="51" t="s">
        <v>200</v>
      </c>
    </row>
    <row r="17" spans="1:64">
      <c r="A17" s="681">
        <v>10</v>
      </c>
      <c r="B17" s="682"/>
      <c r="C17" s="59" t="str">
        <f t="shared" si="0"/>
        <v>所属项目ID</v>
      </c>
      <c r="D17" s="139"/>
      <c r="E17" s="139"/>
      <c r="F17" s="139"/>
      <c r="G17" s="139"/>
      <c r="H17" s="139"/>
      <c r="I17" s="139"/>
      <c r="J17" s="139"/>
      <c r="K17" s="140"/>
      <c r="L17" s="36" t="s">
        <v>28</v>
      </c>
      <c r="M17" s="139"/>
      <c r="N17" s="139"/>
      <c r="O17" s="139"/>
      <c r="P17" s="139"/>
      <c r="Q17" s="139"/>
      <c r="R17" s="139"/>
      <c r="S17" s="139"/>
      <c r="T17" s="139"/>
      <c r="U17" s="683"/>
      <c r="V17" s="682"/>
      <c r="W17" s="684"/>
      <c r="X17" s="685"/>
      <c r="Y17" s="273" t="s">
        <v>16</v>
      </c>
      <c r="Z17" s="126"/>
      <c r="AA17" s="126"/>
      <c r="AB17" s="126"/>
      <c r="AC17" s="127"/>
      <c r="AD17" s="274">
        <v>100</v>
      </c>
      <c r="AE17" s="134"/>
      <c r="AF17" s="274">
        <v>0</v>
      </c>
      <c r="AG17" s="134"/>
      <c r="AH17" s="138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139"/>
      <c r="AV17" s="139"/>
      <c r="AW17" s="139"/>
      <c r="AX17" s="139"/>
      <c r="AY17" s="139"/>
      <c r="AZ17" s="139"/>
      <c r="BA17" s="140"/>
      <c r="BB17" s="139"/>
      <c r="BC17" s="139"/>
      <c r="BD17" s="139"/>
      <c r="BE17" s="139"/>
      <c r="BF17" s="139"/>
      <c r="BG17" s="43"/>
      <c r="BK17" s="52" t="s">
        <v>81</v>
      </c>
      <c r="BL17" s="51" t="s">
        <v>208</v>
      </c>
    </row>
    <row r="18" spans="1:64">
      <c r="A18" s="681">
        <v>11</v>
      </c>
      <c r="B18" s="682"/>
      <c r="C18" s="457" t="str">
        <f t="shared" si="0"/>
        <v>甲方ID</v>
      </c>
      <c r="D18" s="460"/>
      <c r="E18" s="460"/>
      <c r="F18" s="460"/>
      <c r="G18" s="460"/>
      <c r="H18" s="460"/>
      <c r="I18" s="460"/>
      <c r="J18" s="460"/>
      <c r="K18" s="461"/>
      <c r="L18" s="36" t="s">
        <v>354</v>
      </c>
      <c r="M18" s="139"/>
      <c r="N18" s="139"/>
      <c r="O18" s="139"/>
      <c r="P18" s="139"/>
      <c r="Q18" s="139"/>
      <c r="R18" s="139"/>
      <c r="S18" s="139"/>
      <c r="T18" s="139"/>
      <c r="U18" s="683"/>
      <c r="V18" s="682"/>
      <c r="W18" s="684"/>
      <c r="X18" s="685"/>
      <c r="Y18" s="273" t="s">
        <v>16</v>
      </c>
      <c r="Z18" s="126"/>
      <c r="AA18" s="126"/>
      <c r="AB18" s="126"/>
      <c r="AC18" s="127"/>
      <c r="AD18" s="274">
        <v>100</v>
      </c>
      <c r="AE18" s="134"/>
      <c r="AF18" s="274">
        <v>0</v>
      </c>
      <c r="AG18" s="134"/>
      <c r="AH18" s="138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40"/>
      <c r="BB18" s="139"/>
      <c r="BC18" s="139"/>
      <c r="BD18" s="139"/>
      <c r="BE18" s="139"/>
      <c r="BF18" s="139"/>
      <c r="BG18" s="43"/>
      <c r="BK18" s="52" t="s">
        <v>40</v>
      </c>
      <c r="BL18" s="51" t="s">
        <v>54</v>
      </c>
    </row>
    <row r="19" spans="1:64">
      <c r="A19" s="681">
        <v>12</v>
      </c>
      <c r="B19" s="682"/>
      <c r="C19" s="457" t="str">
        <f t="shared" si="0"/>
        <v>合同甲方</v>
      </c>
      <c r="D19" s="460"/>
      <c r="E19" s="460"/>
      <c r="F19" s="460"/>
      <c r="G19" s="460"/>
      <c r="H19" s="460"/>
      <c r="I19" s="460"/>
      <c r="J19" s="460"/>
      <c r="K19" s="461"/>
      <c r="L19" s="36" t="s">
        <v>32</v>
      </c>
      <c r="M19" s="139"/>
      <c r="N19" s="139"/>
      <c r="O19" s="139"/>
      <c r="P19" s="139"/>
      <c r="Q19" s="139"/>
      <c r="R19" s="139"/>
      <c r="S19" s="139"/>
      <c r="T19" s="139"/>
      <c r="U19" s="683"/>
      <c r="V19" s="682"/>
      <c r="W19" s="684"/>
      <c r="X19" s="685"/>
      <c r="Y19" s="273" t="s">
        <v>16</v>
      </c>
      <c r="Z19" s="126"/>
      <c r="AA19" s="126"/>
      <c r="AB19" s="126"/>
      <c r="AC19" s="127"/>
      <c r="AD19" s="274">
        <v>200</v>
      </c>
      <c r="AE19" s="134"/>
      <c r="AF19" s="274">
        <v>0</v>
      </c>
      <c r="AG19" s="134"/>
      <c r="AH19" s="138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40"/>
      <c r="BB19" s="139"/>
      <c r="BC19" s="139"/>
      <c r="BD19" s="139"/>
      <c r="BE19" s="139"/>
      <c r="BF19" s="139"/>
      <c r="BG19" s="43"/>
      <c r="BK19" s="52" t="s">
        <v>359</v>
      </c>
      <c r="BL19" s="51" t="s">
        <v>466</v>
      </c>
    </row>
    <row r="20" spans="1:64">
      <c r="A20" s="681">
        <v>13</v>
      </c>
      <c r="B20" s="682"/>
      <c r="C20" s="59" t="str">
        <f t="shared" si="0"/>
        <v>项目经理</v>
      </c>
      <c r="D20" s="334"/>
      <c r="E20" s="334"/>
      <c r="F20" s="334"/>
      <c r="G20" s="334"/>
      <c r="H20" s="334"/>
      <c r="I20" s="334"/>
      <c r="J20" s="334"/>
      <c r="K20" s="335"/>
      <c r="L20" s="36" t="s">
        <v>355</v>
      </c>
      <c r="M20" s="139"/>
      <c r="N20" s="139"/>
      <c r="O20" s="139"/>
      <c r="P20" s="139"/>
      <c r="Q20" s="139"/>
      <c r="R20" s="139"/>
      <c r="S20" s="139"/>
      <c r="T20" s="139"/>
      <c r="U20" s="683"/>
      <c r="V20" s="682"/>
      <c r="W20" s="684"/>
      <c r="X20" s="685"/>
      <c r="Y20" s="273" t="s">
        <v>16</v>
      </c>
      <c r="Z20" s="126"/>
      <c r="AA20" s="126"/>
      <c r="AB20" s="126"/>
      <c r="AC20" s="127"/>
      <c r="AD20" s="274">
        <v>64</v>
      </c>
      <c r="AE20" s="134"/>
      <c r="AF20" s="274">
        <v>0</v>
      </c>
      <c r="AG20" s="134"/>
      <c r="AH20" s="138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140"/>
      <c r="BB20" s="139"/>
      <c r="BC20" s="139"/>
      <c r="BD20" s="139"/>
      <c r="BE20" s="139"/>
      <c r="BF20" s="139"/>
      <c r="BG20" s="43"/>
      <c r="BK20" s="52" t="s">
        <v>370</v>
      </c>
      <c r="BL20" s="51" t="s">
        <v>467</v>
      </c>
    </row>
    <row r="21" spans="1:64">
      <c r="A21" s="681">
        <v>14</v>
      </c>
      <c r="B21" s="682"/>
      <c r="C21" s="59" t="str">
        <f t="shared" si="0"/>
        <v>甲方代表身份证</v>
      </c>
      <c r="D21" s="139"/>
      <c r="E21" s="139"/>
      <c r="F21" s="139"/>
      <c r="G21" s="139"/>
      <c r="H21" s="139"/>
      <c r="I21" s="139"/>
      <c r="J21" s="139"/>
      <c r="K21" s="140"/>
      <c r="L21" s="36" t="s">
        <v>356</v>
      </c>
      <c r="M21" s="139"/>
      <c r="N21" s="139"/>
      <c r="O21" s="139"/>
      <c r="P21" s="139"/>
      <c r="Q21" s="139"/>
      <c r="R21" s="139"/>
      <c r="S21" s="139"/>
      <c r="T21" s="139"/>
      <c r="U21" s="683"/>
      <c r="V21" s="682"/>
      <c r="W21" s="684"/>
      <c r="X21" s="685"/>
      <c r="Y21" s="273" t="s">
        <v>16</v>
      </c>
      <c r="Z21" s="126"/>
      <c r="AA21" s="126"/>
      <c r="AB21" s="126"/>
      <c r="AC21" s="127"/>
      <c r="AD21" s="274">
        <v>64</v>
      </c>
      <c r="AE21" s="134"/>
      <c r="AF21" s="274">
        <v>0</v>
      </c>
      <c r="AG21" s="134"/>
      <c r="AH21" s="138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40"/>
      <c r="BB21" s="139"/>
      <c r="BC21" s="139"/>
      <c r="BD21" s="139"/>
      <c r="BE21" s="139"/>
      <c r="BF21" s="139"/>
      <c r="BG21" s="43"/>
      <c r="BK21" s="52" t="s">
        <v>47</v>
      </c>
      <c r="BL21" s="51" t="s">
        <v>252</v>
      </c>
    </row>
    <row r="22" spans="1:64">
      <c r="A22" s="681">
        <v>15</v>
      </c>
      <c r="B22" s="682"/>
      <c r="C22" s="457" t="str">
        <f t="shared" si="0"/>
        <v>甲方联系电话</v>
      </c>
      <c r="D22" s="460"/>
      <c r="E22" s="460"/>
      <c r="F22" s="460"/>
      <c r="G22" s="460"/>
      <c r="H22" s="460"/>
      <c r="I22" s="460"/>
      <c r="J22" s="460"/>
      <c r="K22" s="461"/>
      <c r="L22" s="36" t="s">
        <v>357</v>
      </c>
      <c r="M22" s="139"/>
      <c r="N22" s="139"/>
      <c r="O22" s="139"/>
      <c r="P22" s="139"/>
      <c r="Q22" s="139"/>
      <c r="R22" s="139"/>
      <c r="S22" s="139"/>
      <c r="T22" s="139"/>
      <c r="U22" s="683"/>
      <c r="V22" s="682"/>
      <c r="W22" s="684"/>
      <c r="X22" s="685"/>
      <c r="Y22" s="273" t="s">
        <v>16</v>
      </c>
      <c r="Z22" s="126"/>
      <c r="AA22" s="126"/>
      <c r="AB22" s="126"/>
      <c r="AC22" s="127"/>
      <c r="AD22" s="274">
        <v>64</v>
      </c>
      <c r="AE22" s="134"/>
      <c r="AF22" s="274">
        <v>0</v>
      </c>
      <c r="AG22" s="134"/>
      <c r="AH22" s="138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40"/>
      <c r="BB22" s="139"/>
      <c r="BC22" s="139"/>
      <c r="BD22" s="139"/>
      <c r="BE22" s="139"/>
      <c r="BF22" s="139"/>
      <c r="BG22" s="43"/>
      <c r="BK22" s="52" t="s">
        <v>388</v>
      </c>
      <c r="BL22" s="51" t="s">
        <v>468</v>
      </c>
    </row>
    <row r="23" spans="1:64">
      <c r="A23" s="681">
        <v>16</v>
      </c>
      <c r="B23" s="682"/>
      <c r="C23" s="457" t="str">
        <f t="shared" si="0"/>
        <v>乙方ID</v>
      </c>
      <c r="D23" s="460"/>
      <c r="E23" s="460"/>
      <c r="F23" s="460"/>
      <c r="G23" s="460"/>
      <c r="H23" s="460"/>
      <c r="I23" s="460"/>
      <c r="J23" s="460"/>
      <c r="K23" s="461"/>
      <c r="L23" s="36" t="s">
        <v>33</v>
      </c>
      <c r="M23" s="139"/>
      <c r="N23" s="139"/>
      <c r="O23" s="139"/>
      <c r="P23" s="139"/>
      <c r="Q23" s="139"/>
      <c r="R23" s="139"/>
      <c r="S23" s="139"/>
      <c r="T23" s="139"/>
      <c r="U23" s="683"/>
      <c r="V23" s="682"/>
      <c r="W23" s="684"/>
      <c r="X23" s="685"/>
      <c r="Y23" s="273" t="s">
        <v>16</v>
      </c>
      <c r="Z23" s="126"/>
      <c r="AA23" s="126"/>
      <c r="AB23" s="126"/>
      <c r="AC23" s="127"/>
      <c r="AD23" s="274">
        <v>100</v>
      </c>
      <c r="AE23" s="134"/>
      <c r="AF23" s="274">
        <v>0</v>
      </c>
      <c r="AG23" s="134"/>
      <c r="AH23" s="138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40"/>
      <c r="BB23" s="139"/>
      <c r="BC23" s="139"/>
      <c r="BD23" s="139"/>
      <c r="BE23" s="139"/>
      <c r="BF23" s="139"/>
      <c r="BG23" s="43"/>
      <c r="BK23" s="52" t="s">
        <v>39</v>
      </c>
      <c r="BL23" s="51" t="s">
        <v>53</v>
      </c>
    </row>
    <row r="24" spans="1:64">
      <c r="A24" s="681">
        <v>17</v>
      </c>
      <c r="B24" s="682"/>
      <c r="C24" s="457" t="str">
        <f t="shared" si="0"/>
        <v>乙方名称</v>
      </c>
      <c r="D24" s="460"/>
      <c r="E24" s="460"/>
      <c r="F24" s="460"/>
      <c r="G24" s="460"/>
      <c r="H24" s="460"/>
      <c r="I24" s="460"/>
      <c r="J24" s="460"/>
      <c r="K24" s="461"/>
      <c r="L24" s="36" t="s">
        <v>60</v>
      </c>
      <c r="M24" s="139"/>
      <c r="N24" s="139"/>
      <c r="O24" s="139"/>
      <c r="P24" s="139"/>
      <c r="Q24" s="139"/>
      <c r="R24" s="139"/>
      <c r="S24" s="139"/>
      <c r="T24" s="139"/>
      <c r="U24" s="683"/>
      <c r="V24" s="682"/>
      <c r="W24" s="684"/>
      <c r="X24" s="685"/>
      <c r="Y24" s="273" t="s">
        <v>16</v>
      </c>
      <c r="Z24" s="126"/>
      <c r="AA24" s="126"/>
      <c r="AB24" s="126"/>
      <c r="AC24" s="127"/>
      <c r="AD24" s="274">
        <v>128</v>
      </c>
      <c r="AE24" s="134"/>
      <c r="AF24" s="274">
        <v>0</v>
      </c>
      <c r="AG24" s="134"/>
      <c r="AH24" s="138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40"/>
      <c r="BB24" s="139"/>
      <c r="BC24" s="139"/>
      <c r="BD24" s="139"/>
      <c r="BE24" s="139"/>
      <c r="BF24" s="139"/>
      <c r="BG24" s="43"/>
      <c r="BK24" s="52" t="s">
        <v>381</v>
      </c>
      <c r="BL24" s="51" t="s">
        <v>469</v>
      </c>
    </row>
    <row r="25" spans="1:64">
      <c r="A25" s="681">
        <v>18</v>
      </c>
      <c r="B25" s="682"/>
      <c r="C25" s="457" t="str">
        <f t="shared" si="0"/>
        <v>乙方代表</v>
      </c>
      <c r="D25" s="460"/>
      <c r="E25" s="460"/>
      <c r="F25" s="460"/>
      <c r="G25" s="460"/>
      <c r="H25" s="460"/>
      <c r="I25" s="460"/>
      <c r="J25" s="460"/>
      <c r="K25" s="461"/>
      <c r="L25" s="36" t="s">
        <v>358</v>
      </c>
      <c r="M25" s="139"/>
      <c r="N25" s="139"/>
      <c r="O25" s="139"/>
      <c r="P25" s="139"/>
      <c r="Q25" s="139"/>
      <c r="R25" s="139"/>
      <c r="S25" s="139"/>
      <c r="T25" s="139"/>
      <c r="U25" s="683"/>
      <c r="V25" s="682"/>
      <c r="W25" s="684"/>
      <c r="X25" s="685"/>
      <c r="Y25" s="273" t="s">
        <v>16</v>
      </c>
      <c r="Z25" s="126"/>
      <c r="AA25" s="126"/>
      <c r="AB25" s="126"/>
      <c r="AC25" s="127"/>
      <c r="AD25" s="274">
        <v>64</v>
      </c>
      <c r="AE25" s="134"/>
      <c r="AF25" s="274">
        <v>0</v>
      </c>
      <c r="AG25" s="134"/>
      <c r="AH25" s="138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40"/>
      <c r="BB25" s="139"/>
      <c r="BC25" s="139"/>
      <c r="BD25" s="139"/>
      <c r="BE25" s="139"/>
      <c r="BF25" s="139"/>
      <c r="BG25" s="43"/>
      <c r="BK25" s="52" t="s">
        <v>382</v>
      </c>
      <c r="BL25" s="51" t="s">
        <v>470</v>
      </c>
    </row>
    <row r="26" spans="1:64">
      <c r="A26" s="681">
        <v>19</v>
      </c>
      <c r="B26" s="682"/>
      <c r="C26" s="59" t="str">
        <f t="shared" si="0"/>
        <v>乙方代表身份证</v>
      </c>
      <c r="D26" s="139"/>
      <c r="E26" s="139"/>
      <c r="F26" s="139"/>
      <c r="G26" s="139"/>
      <c r="H26" s="139"/>
      <c r="I26" s="139"/>
      <c r="J26" s="139"/>
      <c r="K26" s="140"/>
      <c r="L26" s="36" t="s">
        <v>359</v>
      </c>
      <c r="M26" s="139"/>
      <c r="N26" s="139"/>
      <c r="O26" s="139"/>
      <c r="P26" s="139"/>
      <c r="Q26" s="139"/>
      <c r="R26" s="139"/>
      <c r="S26" s="139"/>
      <c r="T26" s="139"/>
      <c r="U26" s="683"/>
      <c r="V26" s="682"/>
      <c r="W26" s="684"/>
      <c r="X26" s="685"/>
      <c r="Y26" s="273" t="s">
        <v>16</v>
      </c>
      <c r="Z26" s="126"/>
      <c r="AA26" s="126"/>
      <c r="AB26" s="126"/>
      <c r="AC26" s="127"/>
      <c r="AD26" s="274">
        <v>64</v>
      </c>
      <c r="AE26" s="134"/>
      <c r="AF26" s="274">
        <v>0</v>
      </c>
      <c r="AG26" s="134"/>
      <c r="AH26" s="138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  <c r="AU26" s="139"/>
      <c r="AV26" s="139"/>
      <c r="AW26" s="139"/>
      <c r="AX26" s="139"/>
      <c r="AY26" s="139"/>
      <c r="AZ26" s="139"/>
      <c r="BA26" s="140"/>
      <c r="BB26" s="139"/>
      <c r="BC26" s="139"/>
      <c r="BD26" s="139"/>
      <c r="BE26" s="139"/>
      <c r="BF26" s="139"/>
      <c r="BG26" s="43"/>
      <c r="BK26" s="52" t="s">
        <v>366</v>
      </c>
      <c r="BL26" s="51" t="s">
        <v>471</v>
      </c>
    </row>
    <row r="27" spans="1:64">
      <c r="A27" s="681">
        <v>20</v>
      </c>
      <c r="B27" s="682"/>
      <c r="C27" s="457" t="str">
        <f t="shared" si="0"/>
        <v>乙方(固话)</v>
      </c>
      <c r="D27" s="460"/>
      <c r="E27" s="460"/>
      <c r="F27" s="460"/>
      <c r="G27" s="460"/>
      <c r="H27" s="460"/>
      <c r="I27" s="460"/>
      <c r="J27" s="460"/>
      <c r="K27" s="461"/>
      <c r="L27" s="36" t="s">
        <v>360</v>
      </c>
      <c r="M27" s="139"/>
      <c r="N27" s="139"/>
      <c r="O27" s="139"/>
      <c r="P27" s="139"/>
      <c r="Q27" s="139"/>
      <c r="R27" s="139"/>
      <c r="S27" s="139"/>
      <c r="T27" s="139"/>
      <c r="U27" s="683"/>
      <c r="V27" s="682"/>
      <c r="W27" s="684"/>
      <c r="X27" s="685"/>
      <c r="Y27" s="273" t="s">
        <v>16</v>
      </c>
      <c r="Z27" s="126"/>
      <c r="AA27" s="126"/>
      <c r="AB27" s="126"/>
      <c r="AC27" s="127"/>
      <c r="AD27" s="274">
        <v>64</v>
      </c>
      <c r="AE27" s="134"/>
      <c r="AF27" s="274">
        <v>0</v>
      </c>
      <c r="AG27" s="134"/>
      <c r="AH27" s="138"/>
      <c r="AI27" s="139"/>
      <c r="AJ27" s="139"/>
      <c r="AK27" s="139"/>
      <c r="AL27" s="139"/>
      <c r="AM27" s="139"/>
      <c r="AN27" s="139"/>
      <c r="AO27" s="139"/>
      <c r="AP27" s="139"/>
      <c r="AQ27" s="139"/>
      <c r="AR27" s="139"/>
      <c r="AS27" s="139"/>
      <c r="AT27" s="139"/>
      <c r="AU27" s="139"/>
      <c r="AV27" s="139"/>
      <c r="AW27" s="139"/>
      <c r="AX27" s="139"/>
      <c r="AY27" s="139"/>
      <c r="AZ27" s="139"/>
      <c r="BA27" s="140"/>
      <c r="BB27" s="139"/>
      <c r="BC27" s="139"/>
      <c r="BD27" s="139"/>
      <c r="BE27" s="139"/>
      <c r="BF27" s="139"/>
      <c r="BG27" s="43"/>
      <c r="BK27" s="52" t="s">
        <v>383</v>
      </c>
      <c r="BL27" s="51" t="s">
        <v>206</v>
      </c>
    </row>
    <row r="28" spans="1:64">
      <c r="A28" s="681">
        <v>21</v>
      </c>
      <c r="B28" s="682"/>
      <c r="C28" s="59" t="str">
        <f t="shared" si="0"/>
        <v>丙方</v>
      </c>
      <c r="D28" s="139"/>
      <c r="E28" s="139"/>
      <c r="F28" s="139"/>
      <c r="G28" s="139"/>
      <c r="H28" s="139"/>
      <c r="I28" s="139"/>
      <c r="J28" s="139"/>
      <c r="K28" s="140"/>
      <c r="L28" s="36" t="s">
        <v>361</v>
      </c>
      <c r="M28" s="139"/>
      <c r="N28" s="139"/>
      <c r="O28" s="139"/>
      <c r="P28" s="139"/>
      <c r="Q28" s="139"/>
      <c r="R28" s="139"/>
      <c r="S28" s="139"/>
      <c r="T28" s="139"/>
      <c r="U28" s="683"/>
      <c r="V28" s="682"/>
      <c r="W28" s="684"/>
      <c r="X28" s="685"/>
      <c r="Y28" s="273" t="s">
        <v>16</v>
      </c>
      <c r="Z28" s="126"/>
      <c r="AA28" s="126"/>
      <c r="AB28" s="126"/>
      <c r="AC28" s="127"/>
      <c r="AD28" s="274">
        <v>64</v>
      </c>
      <c r="AE28" s="134"/>
      <c r="AF28" s="274">
        <v>0</v>
      </c>
      <c r="AG28" s="134"/>
      <c r="AH28" s="138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40"/>
      <c r="BB28" s="139"/>
      <c r="BC28" s="139"/>
      <c r="BD28" s="139"/>
      <c r="BE28" s="139"/>
      <c r="BF28" s="139"/>
      <c r="BG28" s="43"/>
      <c r="BK28" s="52" t="s">
        <v>364</v>
      </c>
      <c r="BL28" s="51" t="s">
        <v>472</v>
      </c>
    </row>
    <row r="29" spans="1:64">
      <c r="A29" s="681">
        <v>22</v>
      </c>
      <c r="B29" s="682"/>
      <c r="C29" s="59" t="str">
        <f t="shared" si="0"/>
        <v>收付类型</v>
      </c>
      <c r="D29" s="139"/>
      <c r="E29" s="139"/>
      <c r="F29" s="139"/>
      <c r="G29" s="139"/>
      <c r="H29" s="139"/>
      <c r="I29" s="139"/>
      <c r="J29" s="139"/>
      <c r="K29" s="140"/>
      <c r="L29" s="36" t="s">
        <v>362</v>
      </c>
      <c r="M29" s="139"/>
      <c r="N29" s="139"/>
      <c r="O29" s="139"/>
      <c r="P29" s="139"/>
      <c r="Q29" s="139"/>
      <c r="R29" s="139"/>
      <c r="S29" s="139"/>
      <c r="T29" s="139"/>
      <c r="U29" s="683"/>
      <c r="V29" s="682"/>
      <c r="W29" s="684"/>
      <c r="X29" s="685"/>
      <c r="Y29" s="273" t="s">
        <v>16</v>
      </c>
      <c r="Z29" s="126"/>
      <c r="AA29" s="126"/>
      <c r="AB29" s="126"/>
      <c r="AC29" s="127"/>
      <c r="AD29" s="274">
        <v>16</v>
      </c>
      <c r="AE29" s="134"/>
      <c r="AF29" s="274">
        <v>0</v>
      </c>
      <c r="AG29" s="134"/>
      <c r="AH29" s="138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40"/>
      <c r="BB29" s="139"/>
      <c r="BC29" s="139"/>
      <c r="BD29" s="139"/>
      <c r="BE29" s="139"/>
      <c r="BF29" s="139"/>
      <c r="BG29" s="43"/>
      <c r="BK29" s="52" t="s">
        <v>367</v>
      </c>
      <c r="BL29" s="52" t="s">
        <v>473</v>
      </c>
    </row>
    <row r="30" spans="1:64">
      <c r="A30" s="681">
        <v>23</v>
      </c>
      <c r="B30" s="682"/>
      <c r="C30" s="59" t="str">
        <f t="shared" si="0"/>
        <v>所属处部</v>
      </c>
      <c r="D30" s="142"/>
      <c r="E30" s="142"/>
      <c r="F30" s="142"/>
      <c r="G30" s="142"/>
      <c r="H30" s="142"/>
      <c r="I30" s="142"/>
      <c r="J30" s="142"/>
      <c r="K30" s="143"/>
      <c r="L30" s="1" t="s">
        <v>363</v>
      </c>
      <c r="M30" s="142"/>
      <c r="N30" s="142"/>
      <c r="O30" s="142"/>
      <c r="P30" s="142"/>
      <c r="Q30" s="142"/>
      <c r="R30" s="142"/>
      <c r="S30" s="142"/>
      <c r="T30" s="142"/>
      <c r="U30" s="692"/>
      <c r="V30" s="693"/>
      <c r="W30" s="694"/>
      <c r="X30" s="695"/>
      <c r="Y30" s="275" t="s">
        <v>16</v>
      </c>
      <c r="Z30" s="131"/>
      <c r="AA30" s="131"/>
      <c r="AB30" s="131"/>
      <c r="AC30" s="132"/>
      <c r="AD30" s="274">
        <v>64</v>
      </c>
      <c r="AE30" s="134"/>
      <c r="AF30" s="274">
        <v>0</v>
      </c>
      <c r="AG30" s="134"/>
      <c r="AH30" s="141"/>
      <c r="AI30" s="139"/>
      <c r="AJ30" s="139"/>
      <c r="AK30" s="139"/>
      <c r="AL30" s="139"/>
      <c r="AM30" s="139"/>
      <c r="AN30" s="139"/>
      <c r="AO30" s="139"/>
      <c r="AP30" s="139"/>
      <c r="AQ30" s="139"/>
      <c r="AR30" s="139"/>
      <c r="AS30" s="139"/>
      <c r="AT30" s="139"/>
      <c r="AU30" s="139"/>
      <c r="AV30" s="139"/>
      <c r="AW30" s="139"/>
      <c r="AX30" s="139"/>
      <c r="AY30" s="139"/>
      <c r="AZ30" s="139"/>
      <c r="BA30" s="140"/>
      <c r="BB30" s="48"/>
      <c r="BC30" s="48"/>
      <c r="BD30" s="48"/>
      <c r="BE30" s="48"/>
      <c r="BF30" s="48"/>
      <c r="BG30" s="49"/>
      <c r="BK30" s="52" t="s">
        <v>46</v>
      </c>
      <c r="BL30" s="51" t="s">
        <v>474</v>
      </c>
    </row>
    <row r="31" spans="1:64">
      <c r="A31" s="681">
        <v>24</v>
      </c>
      <c r="B31" s="682"/>
      <c r="C31" s="59" t="str">
        <f t="shared" si="0"/>
        <v>所属处部ID</v>
      </c>
      <c r="D31" s="142"/>
      <c r="E31" s="142"/>
      <c r="F31" s="142"/>
      <c r="G31" s="142"/>
      <c r="H31" s="142"/>
      <c r="I31" s="142"/>
      <c r="J31" s="142"/>
      <c r="K31" s="143"/>
      <c r="L31" s="1" t="s">
        <v>364</v>
      </c>
      <c r="M31" s="142"/>
      <c r="N31" s="142"/>
      <c r="O31" s="142"/>
      <c r="P31" s="142"/>
      <c r="Q31" s="142"/>
      <c r="R31" s="142"/>
      <c r="S31" s="142"/>
      <c r="T31" s="142"/>
      <c r="U31" s="692"/>
      <c r="V31" s="693"/>
      <c r="W31" s="694"/>
      <c r="X31" s="695"/>
      <c r="Y31" s="275" t="s">
        <v>16</v>
      </c>
      <c r="Z31" s="131"/>
      <c r="AA31" s="131"/>
      <c r="AB31" s="131"/>
      <c r="AC31" s="132"/>
      <c r="AD31" s="274">
        <v>64</v>
      </c>
      <c r="AE31" s="134"/>
      <c r="AF31" s="274">
        <v>0</v>
      </c>
      <c r="AG31" s="134"/>
      <c r="AH31" s="141"/>
      <c r="AI31" s="139"/>
      <c r="AJ31" s="139"/>
      <c r="AK31" s="139"/>
      <c r="AL31" s="139"/>
      <c r="AM31" s="139"/>
      <c r="AN31" s="139"/>
      <c r="AO31" s="139"/>
      <c r="AP31" s="139"/>
      <c r="AQ31" s="139"/>
      <c r="AR31" s="139"/>
      <c r="AS31" s="139"/>
      <c r="AT31" s="139"/>
      <c r="AU31" s="139"/>
      <c r="AV31" s="139"/>
      <c r="AW31" s="139"/>
      <c r="AX31" s="139"/>
      <c r="AY31" s="139"/>
      <c r="AZ31" s="139"/>
      <c r="BA31" s="140"/>
      <c r="BB31" s="139"/>
      <c r="BC31" s="139"/>
      <c r="BD31" s="139"/>
      <c r="BE31" s="139"/>
      <c r="BF31" s="139"/>
      <c r="BG31" s="43"/>
      <c r="BK31" s="52" t="s">
        <v>63</v>
      </c>
      <c r="BL31" s="51" t="s">
        <v>475</v>
      </c>
    </row>
    <row r="32" spans="1:64">
      <c r="A32" s="681">
        <v>25</v>
      </c>
      <c r="B32" s="682"/>
      <c r="C32" s="59" t="str">
        <f t="shared" si="0"/>
        <v>登记日期</v>
      </c>
      <c r="D32" s="142"/>
      <c r="E32" s="142"/>
      <c r="F32" s="142"/>
      <c r="G32" s="142"/>
      <c r="H32" s="142"/>
      <c r="I32" s="142"/>
      <c r="J32" s="142"/>
      <c r="K32" s="143"/>
      <c r="L32" s="1" t="s">
        <v>365</v>
      </c>
      <c r="M32" s="142"/>
      <c r="N32" s="142"/>
      <c r="O32" s="142"/>
      <c r="P32" s="142"/>
      <c r="Q32" s="142"/>
      <c r="R32" s="142"/>
      <c r="S32" s="142"/>
      <c r="T32" s="142"/>
      <c r="U32" s="692"/>
      <c r="V32" s="693"/>
      <c r="W32" s="694"/>
      <c r="X32" s="695"/>
      <c r="Y32" s="275" t="s">
        <v>17</v>
      </c>
      <c r="Z32" s="131"/>
      <c r="AA32" s="131"/>
      <c r="AB32" s="131"/>
      <c r="AC32" s="132"/>
      <c r="AD32" s="274"/>
      <c r="AE32" s="134"/>
      <c r="AF32" s="274"/>
      <c r="AG32" s="134"/>
      <c r="AH32" s="141" t="s">
        <v>1272</v>
      </c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40"/>
      <c r="BB32" s="139"/>
      <c r="BC32" s="139"/>
      <c r="BD32" s="139"/>
      <c r="BE32" s="139"/>
      <c r="BF32" s="139"/>
      <c r="BG32" s="43"/>
      <c r="BK32" s="52" t="s">
        <v>32</v>
      </c>
      <c r="BL32" s="51" t="s">
        <v>476</v>
      </c>
    </row>
    <row r="33" spans="1:64">
      <c r="A33" s="681">
        <v>26</v>
      </c>
      <c r="B33" s="682"/>
      <c r="C33" s="59" t="str">
        <f t="shared" si="0"/>
        <v>中标日期</v>
      </c>
      <c r="D33" s="142"/>
      <c r="E33" s="142"/>
      <c r="F33" s="142"/>
      <c r="G33" s="142"/>
      <c r="H33" s="142"/>
      <c r="I33" s="142"/>
      <c r="J33" s="142"/>
      <c r="K33" s="143"/>
      <c r="L33" s="1" t="s">
        <v>366</v>
      </c>
      <c r="M33" s="142"/>
      <c r="N33" s="142"/>
      <c r="O33" s="142"/>
      <c r="P33" s="142"/>
      <c r="Q33" s="142"/>
      <c r="R33" s="142"/>
      <c r="S33" s="142"/>
      <c r="T33" s="142"/>
      <c r="U33" s="692"/>
      <c r="V33" s="693"/>
      <c r="W33" s="694"/>
      <c r="X33" s="695"/>
      <c r="Y33" s="275" t="s">
        <v>17</v>
      </c>
      <c r="Z33" s="131"/>
      <c r="AA33" s="131"/>
      <c r="AB33" s="131"/>
      <c r="AC33" s="132"/>
      <c r="AD33" s="274"/>
      <c r="AE33" s="134"/>
      <c r="AF33" s="274"/>
      <c r="AG33" s="134"/>
      <c r="AH33" s="141" t="s">
        <v>1284</v>
      </c>
      <c r="AI33" s="139"/>
      <c r="AJ33" s="139"/>
      <c r="AK33" s="139"/>
      <c r="AL33" s="139"/>
      <c r="AM33" s="139"/>
      <c r="AN33" s="139"/>
      <c r="AO33" s="139"/>
      <c r="AP33" s="139"/>
      <c r="AQ33" s="139"/>
      <c r="AR33" s="139"/>
      <c r="AS33" s="139"/>
      <c r="AT33" s="139"/>
      <c r="AU33" s="139"/>
      <c r="AV33" s="139"/>
      <c r="AW33" s="139"/>
      <c r="AX33" s="139"/>
      <c r="AY33" s="139"/>
      <c r="AZ33" s="139"/>
      <c r="BA33" s="140"/>
      <c r="BB33" s="139"/>
      <c r="BC33" s="139"/>
      <c r="BD33" s="139"/>
      <c r="BE33" s="139"/>
      <c r="BF33" s="139"/>
      <c r="BG33" s="43"/>
      <c r="BK33" s="52" t="s">
        <v>60</v>
      </c>
      <c r="BL33" s="51" t="s">
        <v>256</v>
      </c>
    </row>
    <row r="34" spans="1:64">
      <c r="A34" s="681">
        <v>27</v>
      </c>
      <c r="B34" s="682"/>
      <c r="C34" s="457" t="str">
        <f t="shared" si="0"/>
        <v>签订日期</v>
      </c>
      <c r="D34" s="458"/>
      <c r="E34" s="458"/>
      <c r="F34" s="458"/>
      <c r="G34" s="458"/>
      <c r="H34" s="458"/>
      <c r="I34" s="458"/>
      <c r="J34" s="458"/>
      <c r="K34" s="459"/>
      <c r="L34" s="1" t="s">
        <v>367</v>
      </c>
      <c r="M34" s="142"/>
      <c r="N34" s="142"/>
      <c r="O34" s="142"/>
      <c r="P34" s="142"/>
      <c r="Q34" s="142"/>
      <c r="R34" s="142"/>
      <c r="S34" s="142"/>
      <c r="T34" s="142"/>
      <c r="U34" s="692"/>
      <c r="V34" s="693"/>
      <c r="W34" s="694"/>
      <c r="X34" s="695"/>
      <c r="Y34" s="275" t="s">
        <v>17</v>
      </c>
      <c r="Z34" s="131"/>
      <c r="AA34" s="131"/>
      <c r="AB34" s="131"/>
      <c r="AC34" s="132"/>
      <c r="AD34" s="274"/>
      <c r="AE34" s="134"/>
      <c r="AF34" s="274"/>
      <c r="AG34" s="134"/>
      <c r="AH34" s="141" t="s">
        <v>1272</v>
      </c>
      <c r="AI34" s="139"/>
      <c r="AJ34" s="139"/>
      <c r="AK34" s="139"/>
      <c r="AL34" s="139"/>
      <c r="AM34" s="139"/>
      <c r="AN34" s="139"/>
      <c r="AO34" s="139"/>
      <c r="AP34" s="139"/>
      <c r="AQ34" s="139"/>
      <c r="AR34" s="139"/>
      <c r="AS34" s="139"/>
      <c r="AT34" s="139"/>
      <c r="AU34" s="139"/>
      <c r="AV34" s="139"/>
      <c r="AW34" s="139"/>
      <c r="AX34" s="139"/>
      <c r="AY34" s="139"/>
      <c r="AZ34" s="139"/>
      <c r="BA34" s="140"/>
      <c r="BB34" s="139"/>
      <c r="BC34" s="139"/>
      <c r="BD34" s="139"/>
      <c r="BE34" s="139"/>
      <c r="BF34" s="139"/>
      <c r="BG34" s="43"/>
      <c r="BK34" s="52" t="s">
        <v>355</v>
      </c>
      <c r="BL34" s="51" t="s">
        <v>477</v>
      </c>
    </row>
    <row r="35" spans="1:64">
      <c r="A35" s="681">
        <v>28</v>
      </c>
      <c r="B35" s="682"/>
      <c r="C35" s="457" t="str">
        <f t="shared" si="0"/>
        <v>含税合同总价(万元)</v>
      </c>
      <c r="D35" s="458"/>
      <c r="E35" s="458"/>
      <c r="F35" s="458"/>
      <c r="G35" s="458"/>
      <c r="H35" s="458"/>
      <c r="I35" s="458"/>
      <c r="J35" s="458"/>
      <c r="K35" s="459"/>
      <c r="L35" s="1" t="s">
        <v>1719</v>
      </c>
      <c r="M35" s="142"/>
      <c r="N35" s="142"/>
      <c r="O35" s="142"/>
      <c r="P35" s="142"/>
      <c r="Q35" s="142"/>
      <c r="R35" s="142"/>
      <c r="S35" s="142"/>
      <c r="T35" s="142"/>
      <c r="U35" s="692"/>
      <c r="V35" s="693"/>
      <c r="W35" s="694"/>
      <c r="X35" s="695"/>
      <c r="Y35" s="275" t="s">
        <v>1266</v>
      </c>
      <c r="Z35" s="131"/>
      <c r="AA35" s="131"/>
      <c r="AB35" s="131"/>
      <c r="AC35" s="132"/>
      <c r="AD35" s="274">
        <v>19</v>
      </c>
      <c r="AE35" s="134"/>
      <c r="AF35" s="274">
        <v>6</v>
      </c>
      <c r="AG35" s="134"/>
      <c r="AH35" s="141" t="s">
        <v>1264</v>
      </c>
      <c r="AI35" s="139"/>
      <c r="AJ35" s="139"/>
      <c r="AK35" s="139"/>
      <c r="AL35" s="139"/>
      <c r="AM35" s="139"/>
      <c r="AN35" s="139"/>
      <c r="AO35" s="139"/>
      <c r="AP35" s="139"/>
      <c r="AQ35" s="139"/>
      <c r="AR35" s="139"/>
      <c r="AS35" s="139"/>
      <c r="AT35" s="139"/>
      <c r="AU35" s="139"/>
      <c r="AV35" s="139"/>
      <c r="AW35" s="139"/>
      <c r="AX35" s="139"/>
      <c r="AY35" s="139"/>
      <c r="AZ35" s="139"/>
      <c r="BA35" s="140"/>
      <c r="BB35" s="139"/>
      <c r="BC35" s="139"/>
      <c r="BD35" s="139"/>
      <c r="BE35" s="139"/>
      <c r="BF35" s="139"/>
      <c r="BG35" s="43"/>
      <c r="BK35" s="52" t="s">
        <v>358</v>
      </c>
      <c r="BL35" s="51" t="s">
        <v>478</v>
      </c>
    </row>
    <row r="36" spans="1:64">
      <c r="A36" s="681">
        <v>29</v>
      </c>
      <c r="B36" s="682"/>
      <c r="C36" s="59" t="str">
        <f t="shared" si="0"/>
        <v>合同工期(天)</v>
      </c>
      <c r="D36" s="139"/>
      <c r="E36" s="139"/>
      <c r="F36" s="139"/>
      <c r="G36" s="139"/>
      <c r="H36" s="139"/>
      <c r="I36" s="139"/>
      <c r="J36" s="139"/>
      <c r="K36" s="140"/>
      <c r="L36" s="36" t="s">
        <v>63</v>
      </c>
      <c r="M36" s="139"/>
      <c r="N36" s="139"/>
      <c r="O36" s="139"/>
      <c r="P36" s="139"/>
      <c r="Q36" s="139"/>
      <c r="R36" s="139"/>
      <c r="S36" s="139"/>
      <c r="T36" s="139"/>
      <c r="U36" s="683"/>
      <c r="V36" s="682"/>
      <c r="W36" s="684"/>
      <c r="X36" s="685"/>
      <c r="Y36" s="273" t="s">
        <v>16</v>
      </c>
      <c r="Z36" s="126"/>
      <c r="AA36" s="126"/>
      <c r="AB36" s="126"/>
      <c r="AC36" s="127"/>
      <c r="AD36" s="274">
        <v>100</v>
      </c>
      <c r="AE36" s="134"/>
      <c r="AF36" s="274">
        <v>0</v>
      </c>
      <c r="AG36" s="134"/>
      <c r="AH36" s="138"/>
      <c r="AI36" s="139"/>
      <c r="AJ36" s="139"/>
      <c r="AK36" s="139"/>
      <c r="AL36" s="139"/>
      <c r="AM36" s="139"/>
      <c r="AN36" s="139"/>
      <c r="AO36" s="139"/>
      <c r="AP36" s="139"/>
      <c r="AQ36" s="139"/>
      <c r="AR36" s="139"/>
      <c r="AS36" s="139"/>
      <c r="AT36" s="139"/>
      <c r="AU36" s="139"/>
      <c r="AV36" s="139"/>
      <c r="AW36" s="139"/>
      <c r="AX36" s="139"/>
      <c r="AY36" s="139"/>
      <c r="AZ36" s="139"/>
      <c r="BA36" s="140"/>
      <c r="BB36" s="139"/>
      <c r="BC36" s="139"/>
      <c r="BD36" s="139"/>
      <c r="BE36" s="139"/>
      <c r="BF36" s="139"/>
      <c r="BG36" s="43"/>
      <c r="BK36" s="52" t="s">
        <v>356</v>
      </c>
      <c r="BL36" s="51" t="s">
        <v>479</v>
      </c>
    </row>
    <row r="37" spans="1:64">
      <c r="A37" s="681">
        <v>30</v>
      </c>
      <c r="B37" s="682"/>
      <c r="C37" s="457" t="str">
        <f t="shared" si="0"/>
        <v>合同开工日期</v>
      </c>
      <c r="D37" s="460"/>
      <c r="E37" s="460"/>
      <c r="F37" s="460"/>
      <c r="G37" s="460"/>
      <c r="H37" s="460"/>
      <c r="I37" s="460"/>
      <c r="J37" s="460"/>
      <c r="K37" s="461"/>
      <c r="L37" s="36" t="s">
        <v>368</v>
      </c>
      <c r="M37" s="139"/>
      <c r="N37" s="139"/>
      <c r="O37" s="139"/>
      <c r="P37" s="139"/>
      <c r="Q37" s="139"/>
      <c r="R37" s="139"/>
      <c r="S37" s="139"/>
      <c r="T37" s="139"/>
      <c r="U37" s="683"/>
      <c r="V37" s="682"/>
      <c r="W37" s="684"/>
      <c r="X37" s="685"/>
      <c r="Y37" s="273" t="s">
        <v>17</v>
      </c>
      <c r="Z37" s="126"/>
      <c r="AA37" s="126"/>
      <c r="AB37" s="126"/>
      <c r="AC37" s="127"/>
      <c r="AD37" s="274"/>
      <c r="AE37" s="134"/>
      <c r="AF37" s="274"/>
      <c r="AG37" s="134"/>
      <c r="AH37" s="330" t="s">
        <v>1272</v>
      </c>
      <c r="AI37" s="139"/>
      <c r="AJ37" s="139"/>
      <c r="AK37" s="139"/>
      <c r="AL37" s="139"/>
      <c r="AM37" s="139"/>
      <c r="AN37" s="139"/>
      <c r="AO37" s="139"/>
      <c r="AP37" s="139"/>
      <c r="AQ37" s="139"/>
      <c r="AR37" s="139"/>
      <c r="AS37" s="139"/>
      <c r="AT37" s="139"/>
      <c r="AU37" s="139"/>
      <c r="AV37" s="139"/>
      <c r="AW37" s="139"/>
      <c r="AX37" s="139"/>
      <c r="AY37" s="139"/>
      <c r="AZ37" s="139"/>
      <c r="BA37" s="140"/>
      <c r="BB37" s="139"/>
      <c r="BC37" s="139"/>
      <c r="BD37" s="139"/>
      <c r="BE37" s="139"/>
      <c r="BF37" s="139"/>
      <c r="BG37" s="43"/>
      <c r="BK37" s="52" t="s">
        <v>357</v>
      </c>
      <c r="BL37" s="51" t="s">
        <v>480</v>
      </c>
    </row>
    <row r="38" spans="1:64">
      <c r="A38" s="681">
        <v>31</v>
      </c>
      <c r="B38" s="682"/>
      <c r="C38" s="59" t="str">
        <f t="shared" si="0"/>
        <v>实际开始时间</v>
      </c>
      <c r="D38" s="139"/>
      <c r="E38" s="139"/>
      <c r="F38" s="139"/>
      <c r="G38" s="139"/>
      <c r="H38" s="139"/>
      <c r="I38" s="139"/>
      <c r="J38" s="139"/>
      <c r="K38" s="140"/>
      <c r="L38" s="36" t="s">
        <v>369</v>
      </c>
      <c r="M38" s="139"/>
      <c r="N38" s="139"/>
      <c r="O38" s="139"/>
      <c r="P38" s="139"/>
      <c r="Q38" s="139"/>
      <c r="R38" s="139"/>
      <c r="S38" s="139"/>
      <c r="T38" s="139"/>
      <c r="U38" s="683"/>
      <c r="V38" s="682"/>
      <c r="W38" s="684"/>
      <c r="X38" s="685"/>
      <c r="Y38" s="273" t="s">
        <v>17</v>
      </c>
      <c r="Z38" s="126"/>
      <c r="AA38" s="126"/>
      <c r="AB38" s="126"/>
      <c r="AC38" s="127"/>
      <c r="AD38" s="274"/>
      <c r="AE38" s="134"/>
      <c r="AF38" s="274"/>
      <c r="AG38" s="134"/>
      <c r="AH38" s="330" t="s">
        <v>1272</v>
      </c>
      <c r="AI38" s="139"/>
      <c r="AJ38" s="139"/>
      <c r="AK38" s="139"/>
      <c r="AL38" s="139"/>
      <c r="AM38" s="139"/>
      <c r="AN38" s="139"/>
      <c r="AO38" s="139"/>
      <c r="AP38" s="139"/>
      <c r="AQ38" s="139"/>
      <c r="AR38" s="139"/>
      <c r="AS38" s="139"/>
      <c r="AT38" s="139"/>
      <c r="AU38" s="139"/>
      <c r="AV38" s="139"/>
      <c r="AW38" s="139"/>
      <c r="AX38" s="139"/>
      <c r="AY38" s="139"/>
      <c r="AZ38" s="139"/>
      <c r="BA38" s="140"/>
      <c r="BB38" s="139"/>
      <c r="BC38" s="139"/>
      <c r="BD38" s="139"/>
      <c r="BE38" s="139"/>
      <c r="BF38" s="139"/>
      <c r="BG38" s="43"/>
      <c r="BK38" s="52" t="s">
        <v>360</v>
      </c>
      <c r="BL38" s="51" t="s">
        <v>481</v>
      </c>
    </row>
    <row r="39" spans="1:64">
      <c r="A39" s="681">
        <v>32</v>
      </c>
      <c r="B39" s="682"/>
      <c r="C39" s="457" t="str">
        <f t="shared" si="0"/>
        <v>合同竣工日期</v>
      </c>
      <c r="D39" s="460"/>
      <c r="E39" s="460"/>
      <c r="F39" s="460"/>
      <c r="G39" s="460"/>
      <c r="H39" s="460"/>
      <c r="I39" s="460"/>
      <c r="J39" s="460"/>
      <c r="K39" s="461"/>
      <c r="L39" s="36" t="s">
        <v>370</v>
      </c>
      <c r="M39" s="139"/>
      <c r="N39" s="139"/>
      <c r="O39" s="139"/>
      <c r="P39" s="139"/>
      <c r="Q39" s="139"/>
      <c r="R39" s="139"/>
      <c r="S39" s="139"/>
      <c r="T39" s="139"/>
      <c r="U39" s="683"/>
      <c r="V39" s="682"/>
      <c r="W39" s="684"/>
      <c r="X39" s="685"/>
      <c r="Y39" s="273" t="s">
        <v>17</v>
      </c>
      <c r="Z39" s="126"/>
      <c r="AA39" s="126"/>
      <c r="AB39" s="126"/>
      <c r="AC39" s="127"/>
      <c r="AD39" s="274"/>
      <c r="AE39" s="134"/>
      <c r="AF39" s="274"/>
      <c r="AG39" s="134"/>
      <c r="AH39" s="330" t="s">
        <v>1272</v>
      </c>
      <c r="AI39" s="139"/>
      <c r="AJ39" s="139"/>
      <c r="AK39" s="139"/>
      <c r="AL39" s="139"/>
      <c r="AM39" s="139"/>
      <c r="AN39" s="139"/>
      <c r="AO39" s="139"/>
      <c r="AP39" s="139"/>
      <c r="AQ39" s="139"/>
      <c r="AR39" s="139"/>
      <c r="AS39" s="139"/>
      <c r="AT39" s="139"/>
      <c r="AU39" s="139"/>
      <c r="AV39" s="139"/>
      <c r="AW39" s="139"/>
      <c r="AX39" s="139"/>
      <c r="AY39" s="139"/>
      <c r="AZ39" s="139"/>
      <c r="BA39" s="140"/>
      <c r="BB39" s="139"/>
      <c r="BC39" s="139"/>
      <c r="BD39" s="139"/>
      <c r="BE39" s="139"/>
      <c r="BF39" s="139"/>
      <c r="BG39" s="43"/>
      <c r="BK39" s="52" t="s">
        <v>368</v>
      </c>
      <c r="BL39" s="51" t="s">
        <v>482</v>
      </c>
    </row>
    <row r="40" spans="1:64">
      <c r="A40" s="681">
        <v>33</v>
      </c>
      <c r="B40" s="682"/>
      <c r="C40" s="59" t="str">
        <f t="shared" si="0"/>
        <v>实际结束时间</v>
      </c>
      <c r="D40" s="139"/>
      <c r="E40" s="139"/>
      <c r="F40" s="139"/>
      <c r="G40" s="139"/>
      <c r="H40" s="139"/>
      <c r="I40" s="139"/>
      <c r="J40" s="139"/>
      <c r="K40" s="140"/>
      <c r="L40" s="36" t="s">
        <v>371</v>
      </c>
      <c r="M40" s="139"/>
      <c r="N40" s="139"/>
      <c r="O40" s="139"/>
      <c r="P40" s="139"/>
      <c r="Q40" s="139"/>
      <c r="R40" s="139"/>
      <c r="S40" s="139"/>
      <c r="T40" s="139"/>
      <c r="U40" s="683"/>
      <c r="V40" s="682"/>
      <c r="W40" s="684"/>
      <c r="X40" s="685"/>
      <c r="Y40" s="273" t="s">
        <v>17</v>
      </c>
      <c r="Z40" s="126"/>
      <c r="AA40" s="126"/>
      <c r="AB40" s="126"/>
      <c r="AC40" s="127"/>
      <c r="AD40" s="274"/>
      <c r="AE40" s="134"/>
      <c r="AF40" s="274"/>
      <c r="AG40" s="134"/>
      <c r="AH40" s="330" t="s">
        <v>1285</v>
      </c>
      <c r="AI40" s="139"/>
      <c r="AJ40" s="139"/>
      <c r="AK40" s="139"/>
      <c r="AL40" s="139"/>
      <c r="AM40" s="139"/>
      <c r="AN40" s="139"/>
      <c r="AO40" s="139"/>
      <c r="AP40" s="139"/>
      <c r="AQ40" s="139"/>
      <c r="AR40" s="139"/>
      <c r="AS40" s="139"/>
      <c r="AT40" s="139"/>
      <c r="AU40" s="139"/>
      <c r="AV40" s="139"/>
      <c r="AW40" s="139"/>
      <c r="AX40" s="139"/>
      <c r="AY40" s="139"/>
      <c r="AZ40" s="139"/>
      <c r="BA40" s="140"/>
      <c r="BB40" s="139"/>
      <c r="BC40" s="139"/>
      <c r="BD40" s="139"/>
      <c r="BE40" s="139"/>
      <c r="BF40" s="139"/>
      <c r="BG40" s="43"/>
      <c r="BK40" s="52" t="s">
        <v>369</v>
      </c>
      <c r="BL40" s="51" t="s">
        <v>483</v>
      </c>
    </row>
    <row r="41" spans="1:64">
      <c r="A41" s="681">
        <v>34</v>
      </c>
      <c r="B41" s="682"/>
      <c r="C41" s="59" t="str">
        <f t="shared" ref="C41:C72" si="1">VLOOKUP(L41,$BK$7:$BL$276,2,FALSE)</f>
        <v>工程规模</v>
      </c>
      <c r="D41" s="139"/>
      <c r="E41" s="139"/>
      <c r="F41" s="139"/>
      <c r="G41" s="139"/>
      <c r="H41" s="139"/>
      <c r="I41" s="139"/>
      <c r="J41" s="139"/>
      <c r="K41" s="140"/>
      <c r="L41" s="1" t="s">
        <v>1224</v>
      </c>
      <c r="M41" s="139"/>
      <c r="N41" s="139"/>
      <c r="O41" s="139"/>
      <c r="P41" s="139"/>
      <c r="Q41" s="139"/>
      <c r="R41" s="139"/>
      <c r="S41" s="139"/>
      <c r="T41" s="139"/>
      <c r="U41" s="683"/>
      <c r="V41" s="682"/>
      <c r="W41" s="684"/>
      <c r="X41" s="685"/>
      <c r="Y41" s="273" t="s">
        <v>16</v>
      </c>
      <c r="Z41" s="126"/>
      <c r="AA41" s="126"/>
      <c r="AB41" s="126"/>
      <c r="AC41" s="127"/>
      <c r="AD41" s="274">
        <v>50</v>
      </c>
      <c r="AE41" s="134"/>
      <c r="AF41" s="274">
        <v>0</v>
      </c>
      <c r="AG41" s="134"/>
      <c r="AH41" s="138"/>
      <c r="AI41" s="139"/>
      <c r="AJ41" s="139"/>
      <c r="AK41" s="139"/>
      <c r="AL41" s="139"/>
      <c r="AM41" s="139"/>
      <c r="AN41" s="139"/>
      <c r="AO41" s="139"/>
      <c r="AP41" s="139"/>
      <c r="AQ41" s="139"/>
      <c r="AR41" s="139"/>
      <c r="AS41" s="139"/>
      <c r="AT41" s="139"/>
      <c r="AU41" s="139"/>
      <c r="AV41" s="139"/>
      <c r="AW41" s="139"/>
      <c r="AX41" s="139"/>
      <c r="AY41" s="139"/>
      <c r="AZ41" s="139"/>
      <c r="BA41" s="140"/>
      <c r="BB41" s="139"/>
      <c r="BC41" s="139"/>
      <c r="BD41" s="139"/>
      <c r="BE41" s="139"/>
      <c r="BF41" s="139"/>
      <c r="BG41" s="43"/>
      <c r="BK41" s="52" t="s">
        <v>371</v>
      </c>
      <c r="BL41" s="51" t="s">
        <v>484</v>
      </c>
    </row>
    <row r="42" spans="1:64">
      <c r="A42" s="681">
        <v>35</v>
      </c>
      <c r="B42" s="682"/>
      <c r="C42" s="59" t="str">
        <f t="shared" si="1"/>
        <v>监理单位</v>
      </c>
      <c r="D42" s="139"/>
      <c r="E42" s="139"/>
      <c r="F42" s="139"/>
      <c r="G42" s="139"/>
      <c r="H42" s="139"/>
      <c r="I42" s="139"/>
      <c r="J42" s="139"/>
      <c r="K42" s="140"/>
      <c r="L42" s="36" t="s">
        <v>372</v>
      </c>
      <c r="M42" s="139"/>
      <c r="N42" s="139"/>
      <c r="O42" s="139"/>
      <c r="P42" s="139"/>
      <c r="Q42" s="139"/>
      <c r="R42" s="139"/>
      <c r="S42" s="139"/>
      <c r="T42" s="139"/>
      <c r="U42" s="683"/>
      <c r="V42" s="682"/>
      <c r="W42" s="684"/>
      <c r="X42" s="685"/>
      <c r="Y42" s="273" t="s">
        <v>16</v>
      </c>
      <c r="Z42" s="126"/>
      <c r="AA42" s="126"/>
      <c r="AB42" s="126"/>
      <c r="AC42" s="127"/>
      <c r="AD42" s="274">
        <v>64</v>
      </c>
      <c r="AE42" s="134"/>
      <c r="AF42" s="274">
        <v>0</v>
      </c>
      <c r="AG42" s="134"/>
      <c r="AH42" s="138"/>
      <c r="AI42" s="139"/>
      <c r="AJ42" s="139"/>
      <c r="AK42" s="139"/>
      <c r="AL42" s="139"/>
      <c r="AM42" s="139"/>
      <c r="AN42" s="139"/>
      <c r="AO42" s="139"/>
      <c r="AP42" s="139"/>
      <c r="AQ42" s="139"/>
      <c r="AR42" s="139"/>
      <c r="AS42" s="139"/>
      <c r="AT42" s="139"/>
      <c r="AU42" s="139"/>
      <c r="AV42" s="139"/>
      <c r="AW42" s="139"/>
      <c r="AX42" s="139"/>
      <c r="AY42" s="139"/>
      <c r="AZ42" s="139"/>
      <c r="BA42" s="140"/>
      <c r="BB42" s="139"/>
      <c r="BC42" s="139"/>
      <c r="BD42" s="139"/>
      <c r="BE42" s="139"/>
      <c r="BF42" s="139"/>
      <c r="BG42" s="43"/>
      <c r="BK42" s="52" t="s">
        <v>386</v>
      </c>
      <c r="BL42" s="51" t="s">
        <v>485</v>
      </c>
    </row>
    <row r="43" spans="1:64">
      <c r="A43" s="681">
        <v>36</v>
      </c>
      <c r="B43" s="682"/>
      <c r="C43" s="59" t="str">
        <f t="shared" si="1"/>
        <v>监理单位电话</v>
      </c>
      <c r="D43" s="139"/>
      <c r="E43" s="139"/>
      <c r="F43" s="139"/>
      <c r="G43" s="139"/>
      <c r="H43" s="139"/>
      <c r="I43" s="139"/>
      <c r="J43" s="139"/>
      <c r="K43" s="140"/>
      <c r="L43" s="36" t="s">
        <v>373</v>
      </c>
      <c r="M43" s="139"/>
      <c r="N43" s="139"/>
      <c r="O43" s="139"/>
      <c r="P43" s="139"/>
      <c r="Q43" s="139"/>
      <c r="R43" s="139"/>
      <c r="S43" s="139"/>
      <c r="T43" s="139"/>
      <c r="U43" s="683"/>
      <c r="V43" s="682"/>
      <c r="W43" s="684"/>
      <c r="X43" s="685"/>
      <c r="Y43" s="273" t="s">
        <v>16</v>
      </c>
      <c r="Z43" s="126"/>
      <c r="AA43" s="126"/>
      <c r="AB43" s="126"/>
      <c r="AC43" s="127"/>
      <c r="AD43" s="274">
        <v>64</v>
      </c>
      <c r="AE43" s="134"/>
      <c r="AF43" s="274">
        <v>0</v>
      </c>
      <c r="AG43" s="134"/>
      <c r="AH43" s="138"/>
      <c r="AI43" s="139"/>
      <c r="AJ43" s="139"/>
      <c r="AK43" s="139"/>
      <c r="AL43" s="139"/>
      <c r="AM43" s="139"/>
      <c r="AN43" s="139"/>
      <c r="AO43" s="139"/>
      <c r="AP43" s="139"/>
      <c r="AQ43" s="139"/>
      <c r="AR43" s="139"/>
      <c r="AS43" s="139"/>
      <c r="AT43" s="139"/>
      <c r="AU43" s="139"/>
      <c r="AV43" s="139"/>
      <c r="AW43" s="139"/>
      <c r="AX43" s="139"/>
      <c r="AY43" s="139"/>
      <c r="AZ43" s="139"/>
      <c r="BA43" s="140"/>
      <c r="BB43" s="139"/>
      <c r="BC43" s="139"/>
      <c r="BD43" s="139"/>
      <c r="BE43" s="139"/>
      <c r="BF43" s="139"/>
      <c r="BG43" s="43"/>
      <c r="BK43" s="52" t="s">
        <v>372</v>
      </c>
      <c r="BL43" s="51" t="s">
        <v>486</v>
      </c>
    </row>
    <row r="44" spans="1:64">
      <c r="A44" s="681">
        <v>37</v>
      </c>
      <c r="B44" s="682"/>
      <c r="C44" s="59" t="str">
        <f t="shared" si="1"/>
        <v>业主联系电话</v>
      </c>
      <c r="D44" s="139"/>
      <c r="E44" s="139"/>
      <c r="F44" s="139"/>
      <c r="G44" s="139"/>
      <c r="H44" s="139"/>
      <c r="I44" s="139"/>
      <c r="J44" s="139"/>
      <c r="K44" s="140"/>
      <c r="L44" s="36" t="s">
        <v>374</v>
      </c>
      <c r="M44" s="139"/>
      <c r="N44" s="139"/>
      <c r="O44" s="139"/>
      <c r="P44" s="139"/>
      <c r="Q44" s="139"/>
      <c r="R44" s="139"/>
      <c r="S44" s="139"/>
      <c r="T44" s="139"/>
      <c r="U44" s="683"/>
      <c r="V44" s="682"/>
      <c r="W44" s="684"/>
      <c r="X44" s="685"/>
      <c r="Y44" s="273" t="s">
        <v>16</v>
      </c>
      <c r="Z44" s="126"/>
      <c r="AA44" s="126"/>
      <c r="AB44" s="126"/>
      <c r="AC44" s="127"/>
      <c r="AD44" s="274">
        <v>64</v>
      </c>
      <c r="AE44" s="134"/>
      <c r="AF44" s="274">
        <v>0</v>
      </c>
      <c r="AG44" s="134"/>
      <c r="AH44" s="138"/>
      <c r="AI44" s="139"/>
      <c r="AJ44" s="139"/>
      <c r="AK44" s="139"/>
      <c r="AL44" s="139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  <c r="AX44" s="139"/>
      <c r="AY44" s="139"/>
      <c r="AZ44" s="139"/>
      <c r="BA44" s="140"/>
      <c r="BB44" s="139"/>
      <c r="BC44" s="139"/>
      <c r="BD44" s="139"/>
      <c r="BE44" s="139"/>
      <c r="BF44" s="139"/>
      <c r="BG44" s="43"/>
      <c r="BK44" s="52" t="s">
        <v>458</v>
      </c>
      <c r="BL44" s="51" t="s">
        <v>487</v>
      </c>
    </row>
    <row r="45" spans="1:64">
      <c r="A45" s="681">
        <v>38</v>
      </c>
      <c r="B45" s="682"/>
      <c r="C45" s="457" t="str">
        <f t="shared" si="1"/>
        <v>项目经理</v>
      </c>
      <c r="D45" s="460"/>
      <c r="E45" s="460"/>
      <c r="F45" s="460"/>
      <c r="G45" s="460"/>
      <c r="H45" s="460"/>
      <c r="I45" s="460"/>
      <c r="J45" s="460"/>
      <c r="K45" s="461"/>
      <c r="L45" s="36" t="s">
        <v>375</v>
      </c>
      <c r="M45" s="139"/>
      <c r="N45" s="139"/>
      <c r="O45" s="139"/>
      <c r="P45" s="139"/>
      <c r="Q45" s="139"/>
      <c r="R45" s="139"/>
      <c r="S45" s="139"/>
      <c r="T45" s="139"/>
      <c r="U45" s="683"/>
      <c r="V45" s="682"/>
      <c r="W45" s="684"/>
      <c r="X45" s="685"/>
      <c r="Y45" s="273" t="s">
        <v>16</v>
      </c>
      <c r="Z45" s="126"/>
      <c r="AA45" s="126"/>
      <c r="AB45" s="126"/>
      <c r="AC45" s="127"/>
      <c r="AD45" s="274">
        <v>16</v>
      </c>
      <c r="AE45" s="134"/>
      <c r="AF45" s="274">
        <v>0</v>
      </c>
      <c r="AG45" s="134"/>
      <c r="AH45" s="138"/>
      <c r="AI45" s="139"/>
      <c r="AJ45" s="139"/>
      <c r="AK45" s="139"/>
      <c r="AL45" s="139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  <c r="AX45" s="139"/>
      <c r="AY45" s="139"/>
      <c r="AZ45" s="139"/>
      <c r="BA45" s="140"/>
      <c r="BB45" s="139"/>
      <c r="BC45" s="139"/>
      <c r="BD45" s="139"/>
      <c r="BE45" s="139"/>
      <c r="BF45" s="139"/>
      <c r="BG45" s="43"/>
      <c r="BK45" s="52" t="s">
        <v>373</v>
      </c>
      <c r="BL45" s="51" t="s">
        <v>488</v>
      </c>
    </row>
    <row r="46" spans="1:64">
      <c r="A46" s="681">
        <v>39</v>
      </c>
      <c r="B46" s="682"/>
      <c r="C46" s="59" t="str">
        <f t="shared" si="1"/>
        <v>项目经理电话</v>
      </c>
      <c r="D46" s="139"/>
      <c r="E46" s="139"/>
      <c r="F46" s="139"/>
      <c r="G46" s="139"/>
      <c r="H46" s="139"/>
      <c r="I46" s="139"/>
      <c r="J46" s="139"/>
      <c r="K46" s="140"/>
      <c r="L46" s="36" t="s">
        <v>376</v>
      </c>
      <c r="M46" s="139"/>
      <c r="N46" s="139"/>
      <c r="O46" s="139"/>
      <c r="P46" s="139"/>
      <c r="Q46" s="139"/>
      <c r="R46" s="139"/>
      <c r="S46" s="139"/>
      <c r="T46" s="139"/>
      <c r="U46" s="683"/>
      <c r="V46" s="682"/>
      <c r="W46" s="684"/>
      <c r="X46" s="685"/>
      <c r="Y46" s="273" t="s">
        <v>16</v>
      </c>
      <c r="Z46" s="126"/>
      <c r="AA46" s="126"/>
      <c r="AB46" s="126"/>
      <c r="AC46" s="127"/>
      <c r="AD46" s="274">
        <v>64</v>
      </c>
      <c r="AE46" s="134"/>
      <c r="AF46" s="274">
        <v>0</v>
      </c>
      <c r="AG46" s="134"/>
      <c r="AH46" s="138"/>
      <c r="AI46" s="139"/>
      <c r="AJ46" s="139"/>
      <c r="AK46" s="139"/>
      <c r="AL46" s="139"/>
      <c r="AM46" s="139"/>
      <c r="AN46" s="139"/>
      <c r="AO46" s="139"/>
      <c r="AP46" s="139"/>
      <c r="AQ46" s="139"/>
      <c r="AR46" s="139"/>
      <c r="AS46" s="139"/>
      <c r="AT46" s="139"/>
      <c r="AU46" s="139"/>
      <c r="AV46" s="139"/>
      <c r="AW46" s="139"/>
      <c r="AX46" s="139"/>
      <c r="AY46" s="139"/>
      <c r="AZ46" s="139"/>
      <c r="BA46" s="140"/>
      <c r="BB46" s="139"/>
      <c r="BC46" s="139"/>
      <c r="BD46" s="139"/>
      <c r="BE46" s="139"/>
      <c r="BF46" s="139"/>
      <c r="BG46" s="43"/>
      <c r="BK46" s="52" t="s">
        <v>375</v>
      </c>
      <c r="BL46" s="51" t="s">
        <v>477</v>
      </c>
    </row>
    <row r="47" spans="1:64">
      <c r="A47" s="681">
        <v>40</v>
      </c>
      <c r="B47" s="682"/>
      <c r="C47" s="59" t="str">
        <f t="shared" si="1"/>
        <v>项目总工姓名</v>
      </c>
      <c r="D47" s="139"/>
      <c r="E47" s="139"/>
      <c r="F47" s="139"/>
      <c r="G47" s="139"/>
      <c r="H47" s="139"/>
      <c r="I47" s="139"/>
      <c r="J47" s="139"/>
      <c r="K47" s="140"/>
      <c r="L47" s="36" t="s">
        <v>377</v>
      </c>
      <c r="M47" s="139"/>
      <c r="N47" s="139"/>
      <c r="O47" s="139"/>
      <c r="P47" s="139"/>
      <c r="Q47" s="139"/>
      <c r="R47" s="139"/>
      <c r="S47" s="139"/>
      <c r="T47" s="139"/>
      <c r="U47" s="683"/>
      <c r="V47" s="682"/>
      <c r="W47" s="684"/>
      <c r="X47" s="685"/>
      <c r="Y47" s="273" t="s">
        <v>16</v>
      </c>
      <c r="Z47" s="126"/>
      <c r="AA47" s="126"/>
      <c r="AB47" s="126"/>
      <c r="AC47" s="127"/>
      <c r="AD47" s="274">
        <v>16</v>
      </c>
      <c r="AE47" s="134"/>
      <c r="AF47" s="274">
        <v>0</v>
      </c>
      <c r="AG47" s="134"/>
      <c r="AH47" s="138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139"/>
      <c r="AZ47" s="139"/>
      <c r="BA47" s="140"/>
      <c r="BB47" s="139"/>
      <c r="BC47" s="139"/>
      <c r="BD47" s="139"/>
      <c r="BE47" s="139"/>
      <c r="BF47" s="139"/>
      <c r="BG47" s="43"/>
      <c r="BK47" s="52" t="s">
        <v>377</v>
      </c>
      <c r="BL47" s="51" t="s">
        <v>489</v>
      </c>
    </row>
    <row r="48" spans="1:64">
      <c r="A48" s="681">
        <v>41</v>
      </c>
      <c r="B48" s="682"/>
      <c r="C48" s="59" t="str">
        <f t="shared" si="1"/>
        <v>项目总工电话</v>
      </c>
      <c r="D48" s="139"/>
      <c r="E48" s="139"/>
      <c r="F48" s="139"/>
      <c r="G48" s="139"/>
      <c r="H48" s="139"/>
      <c r="I48" s="139"/>
      <c r="J48" s="139"/>
      <c r="K48" s="140"/>
      <c r="L48" s="36" t="s">
        <v>378</v>
      </c>
      <c r="M48" s="139"/>
      <c r="N48" s="139"/>
      <c r="O48" s="139"/>
      <c r="P48" s="139"/>
      <c r="Q48" s="139"/>
      <c r="R48" s="139"/>
      <c r="S48" s="139"/>
      <c r="T48" s="139"/>
      <c r="U48" s="683"/>
      <c r="V48" s="682"/>
      <c r="W48" s="684"/>
      <c r="X48" s="685"/>
      <c r="Y48" s="273" t="s">
        <v>16</v>
      </c>
      <c r="Z48" s="126"/>
      <c r="AA48" s="126"/>
      <c r="AB48" s="126"/>
      <c r="AC48" s="127"/>
      <c r="AD48" s="274">
        <v>64</v>
      </c>
      <c r="AE48" s="134"/>
      <c r="AF48" s="274">
        <v>0</v>
      </c>
      <c r="AG48" s="134"/>
      <c r="AH48" s="138"/>
      <c r="AI48" s="139"/>
      <c r="AJ48" s="139"/>
      <c r="AK48" s="139"/>
      <c r="AL48" s="139"/>
      <c r="AM48" s="139"/>
      <c r="AN48" s="139"/>
      <c r="AO48" s="139"/>
      <c r="AP48" s="139"/>
      <c r="AQ48" s="139"/>
      <c r="AR48" s="139"/>
      <c r="AS48" s="139"/>
      <c r="AT48" s="139"/>
      <c r="AU48" s="139"/>
      <c r="AV48" s="139"/>
      <c r="AW48" s="139"/>
      <c r="AX48" s="139"/>
      <c r="AY48" s="139"/>
      <c r="AZ48" s="139"/>
      <c r="BA48" s="140"/>
      <c r="BB48" s="139"/>
      <c r="BC48" s="139"/>
      <c r="BD48" s="139"/>
      <c r="BE48" s="139"/>
      <c r="BF48" s="139"/>
      <c r="BG48" s="43"/>
      <c r="BK48" s="52" t="s">
        <v>376</v>
      </c>
      <c r="BL48" s="52" t="s">
        <v>490</v>
      </c>
    </row>
    <row r="49" spans="1:64">
      <c r="A49" s="681">
        <v>42</v>
      </c>
      <c r="B49" s="682"/>
      <c r="C49" s="59" t="str">
        <f t="shared" si="1"/>
        <v>是否有标的</v>
      </c>
      <c r="D49" s="142"/>
      <c r="E49" s="142"/>
      <c r="F49" s="142"/>
      <c r="G49" s="142"/>
      <c r="H49" s="142"/>
      <c r="I49" s="142"/>
      <c r="J49" s="142"/>
      <c r="K49" s="143"/>
      <c r="L49" s="1" t="s">
        <v>379</v>
      </c>
      <c r="M49" s="142"/>
      <c r="N49" s="142"/>
      <c r="O49" s="142"/>
      <c r="P49" s="142"/>
      <c r="Q49" s="142"/>
      <c r="R49" s="142"/>
      <c r="S49" s="142"/>
      <c r="T49" s="142"/>
      <c r="U49" s="692"/>
      <c r="V49" s="693"/>
      <c r="W49" s="694"/>
      <c r="X49" s="695"/>
      <c r="Y49" s="275" t="s">
        <v>16</v>
      </c>
      <c r="Z49" s="131"/>
      <c r="AA49" s="131"/>
      <c r="AB49" s="131"/>
      <c r="AC49" s="132"/>
      <c r="AD49" s="274">
        <v>16</v>
      </c>
      <c r="AE49" s="134"/>
      <c r="AF49" s="274">
        <v>0</v>
      </c>
      <c r="AG49" s="134"/>
      <c r="AH49" s="141"/>
      <c r="AI49" s="139"/>
      <c r="AJ49" s="139"/>
      <c r="AK49" s="139"/>
      <c r="AL49" s="139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  <c r="AX49" s="139"/>
      <c r="AY49" s="139"/>
      <c r="AZ49" s="139"/>
      <c r="BA49" s="140"/>
      <c r="BB49" s="48"/>
      <c r="BC49" s="48"/>
      <c r="BD49" s="48"/>
      <c r="BE49" s="48"/>
      <c r="BF49" s="48"/>
      <c r="BG49" s="49"/>
      <c r="BK49" s="52" t="s">
        <v>378</v>
      </c>
      <c r="BL49" s="51" t="s">
        <v>491</v>
      </c>
    </row>
    <row r="50" spans="1:64">
      <c r="A50" s="681">
        <v>43</v>
      </c>
      <c r="B50" s="682"/>
      <c r="C50" s="457" t="str">
        <f t="shared" si="1"/>
        <v>合同状态</v>
      </c>
      <c r="D50" s="458"/>
      <c r="E50" s="458"/>
      <c r="F50" s="458"/>
      <c r="G50" s="458"/>
      <c r="H50" s="458"/>
      <c r="I50" s="458"/>
      <c r="J50" s="458"/>
      <c r="K50" s="459"/>
      <c r="L50" s="1" t="s">
        <v>380</v>
      </c>
      <c r="M50" s="142"/>
      <c r="N50" s="142"/>
      <c r="O50" s="142"/>
      <c r="P50" s="142"/>
      <c r="Q50" s="142"/>
      <c r="R50" s="142"/>
      <c r="S50" s="142"/>
      <c r="T50" s="142"/>
      <c r="U50" s="692"/>
      <c r="V50" s="693"/>
      <c r="W50" s="694"/>
      <c r="X50" s="695"/>
      <c r="Y50" s="275" t="s">
        <v>16</v>
      </c>
      <c r="Z50" s="131"/>
      <c r="AA50" s="131"/>
      <c r="AB50" s="131"/>
      <c r="AC50" s="132"/>
      <c r="AD50" s="274">
        <v>16</v>
      </c>
      <c r="AE50" s="134"/>
      <c r="AF50" s="274">
        <v>0</v>
      </c>
      <c r="AG50" s="134"/>
      <c r="AH50" s="141" t="s">
        <v>1627</v>
      </c>
      <c r="AI50" s="139"/>
      <c r="AJ50" s="139"/>
      <c r="AK50" s="139"/>
      <c r="AL50" s="139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  <c r="AX50" s="139"/>
      <c r="AY50" s="139"/>
      <c r="AZ50" s="139"/>
      <c r="BA50" s="140"/>
      <c r="BB50" s="139"/>
      <c r="BC50" s="139"/>
      <c r="BD50" s="139"/>
      <c r="BE50" s="139"/>
      <c r="BF50" s="139"/>
      <c r="BG50" s="43"/>
      <c r="BK50" s="52" t="s">
        <v>459</v>
      </c>
      <c r="BL50" s="51" t="s">
        <v>49</v>
      </c>
    </row>
    <row r="51" spans="1:64">
      <c r="A51" s="681">
        <v>44</v>
      </c>
      <c r="B51" s="682"/>
      <c r="C51" s="59" t="str">
        <f t="shared" si="1"/>
        <v>项目编号</v>
      </c>
      <c r="D51" s="142"/>
      <c r="E51" s="142"/>
      <c r="F51" s="142"/>
      <c r="G51" s="142"/>
      <c r="H51" s="142"/>
      <c r="I51" s="142"/>
      <c r="J51" s="142"/>
      <c r="K51" s="143"/>
      <c r="L51" s="1" t="s">
        <v>381</v>
      </c>
      <c r="M51" s="142"/>
      <c r="N51" s="142"/>
      <c r="O51" s="142"/>
      <c r="P51" s="142"/>
      <c r="Q51" s="142"/>
      <c r="R51" s="142"/>
      <c r="S51" s="142"/>
      <c r="T51" s="142"/>
      <c r="U51" s="692"/>
      <c r="V51" s="693"/>
      <c r="W51" s="694"/>
      <c r="X51" s="695"/>
      <c r="Y51" s="275" t="s">
        <v>16</v>
      </c>
      <c r="Z51" s="131"/>
      <c r="AA51" s="131"/>
      <c r="AB51" s="131"/>
      <c r="AC51" s="132"/>
      <c r="AD51" s="274">
        <v>64</v>
      </c>
      <c r="AE51" s="134"/>
      <c r="AF51" s="274">
        <v>0</v>
      </c>
      <c r="AG51" s="134"/>
      <c r="AH51" s="141"/>
      <c r="AQ51" s="139"/>
      <c r="AR51" s="139"/>
      <c r="AS51" s="139"/>
      <c r="AT51" s="139"/>
      <c r="AU51" s="139"/>
      <c r="AV51" s="139"/>
      <c r="AW51" s="139"/>
      <c r="AX51" s="139"/>
      <c r="AY51" s="139"/>
      <c r="AZ51" s="139"/>
      <c r="BA51" s="140"/>
      <c r="BB51" s="139"/>
      <c r="BC51" s="139"/>
      <c r="BD51" s="139"/>
      <c r="BE51" s="139"/>
      <c r="BF51" s="139"/>
      <c r="BG51" s="43"/>
      <c r="BK51" s="52" t="s">
        <v>64</v>
      </c>
      <c r="BL51" s="51" t="s">
        <v>492</v>
      </c>
    </row>
    <row r="52" spans="1:64">
      <c r="A52" s="681">
        <v>45</v>
      </c>
      <c r="B52" s="682"/>
      <c r="C52" s="59" t="str">
        <f t="shared" si="1"/>
        <v>项目全称</v>
      </c>
      <c r="D52" s="142"/>
      <c r="E52" s="142"/>
      <c r="F52" s="142"/>
      <c r="G52" s="142"/>
      <c r="H52" s="142"/>
      <c r="I52" s="142"/>
      <c r="J52" s="142"/>
      <c r="K52" s="143"/>
      <c r="L52" s="1" t="s">
        <v>382</v>
      </c>
      <c r="M52" s="142"/>
      <c r="N52" s="142"/>
      <c r="O52" s="142"/>
      <c r="P52" s="142"/>
      <c r="Q52" s="142"/>
      <c r="R52" s="142"/>
      <c r="S52" s="142"/>
      <c r="T52" s="142"/>
      <c r="U52" s="692"/>
      <c r="V52" s="693"/>
      <c r="W52" s="694"/>
      <c r="X52" s="695"/>
      <c r="Y52" s="275" t="s">
        <v>16</v>
      </c>
      <c r="Z52" s="131"/>
      <c r="AA52" s="131"/>
      <c r="AB52" s="131"/>
      <c r="AC52" s="132"/>
      <c r="AD52" s="274">
        <v>200</v>
      </c>
      <c r="AE52" s="134"/>
      <c r="AF52" s="274">
        <v>0</v>
      </c>
      <c r="AG52" s="134"/>
      <c r="AH52" s="141"/>
      <c r="AI52" s="139"/>
      <c r="AJ52" s="139"/>
      <c r="AK52" s="139"/>
      <c r="AL52" s="139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  <c r="AX52" s="139"/>
      <c r="AY52" s="139"/>
      <c r="AZ52" s="139"/>
      <c r="BA52" s="140"/>
      <c r="BB52" s="139"/>
      <c r="BC52" s="139"/>
      <c r="BD52" s="139"/>
      <c r="BE52" s="139"/>
      <c r="BF52" s="139"/>
      <c r="BG52" s="43"/>
      <c r="BK52" s="52" t="s">
        <v>1593</v>
      </c>
      <c r="BL52" s="51" t="s">
        <v>493</v>
      </c>
    </row>
    <row r="53" spans="1:64">
      <c r="A53" s="681">
        <v>46</v>
      </c>
      <c r="B53" s="682"/>
      <c r="C53" s="59" t="str">
        <f t="shared" si="1"/>
        <v>项目简称</v>
      </c>
      <c r="D53" s="142"/>
      <c r="E53" s="142"/>
      <c r="F53" s="142"/>
      <c r="G53" s="142"/>
      <c r="H53" s="142"/>
      <c r="I53" s="142"/>
      <c r="J53" s="142"/>
      <c r="K53" s="143"/>
      <c r="L53" s="1" t="s">
        <v>383</v>
      </c>
      <c r="M53" s="142"/>
      <c r="N53" s="142"/>
      <c r="O53" s="142"/>
      <c r="P53" s="142"/>
      <c r="Q53" s="142"/>
      <c r="R53" s="142"/>
      <c r="S53" s="142"/>
      <c r="T53" s="142"/>
      <c r="U53" s="692"/>
      <c r="V53" s="693"/>
      <c r="W53" s="694"/>
      <c r="X53" s="695"/>
      <c r="Y53" s="275" t="s">
        <v>16</v>
      </c>
      <c r="Z53" s="131"/>
      <c r="AA53" s="131"/>
      <c r="AB53" s="131"/>
      <c r="AC53" s="132"/>
      <c r="AD53" s="274">
        <v>64</v>
      </c>
      <c r="AE53" s="134"/>
      <c r="AF53" s="274">
        <v>0</v>
      </c>
      <c r="AG53" s="134"/>
      <c r="AH53" s="141"/>
      <c r="AI53" s="139"/>
      <c r="AJ53" s="139"/>
      <c r="AK53" s="139"/>
      <c r="AL53" s="139"/>
      <c r="AM53" s="139"/>
      <c r="AN53" s="139"/>
      <c r="AO53" s="139"/>
      <c r="AP53" s="139"/>
      <c r="AQ53" s="139"/>
      <c r="AR53" s="139"/>
      <c r="AS53" s="139"/>
      <c r="AT53" s="139"/>
      <c r="AU53" s="139"/>
      <c r="AV53" s="139"/>
      <c r="AW53" s="139"/>
      <c r="AX53" s="139"/>
      <c r="AY53" s="139"/>
      <c r="AZ53" s="139"/>
      <c r="BA53" s="140"/>
      <c r="BB53" s="139"/>
      <c r="BC53" s="139"/>
      <c r="BD53" s="139"/>
      <c r="BE53" s="139"/>
      <c r="BF53" s="139"/>
      <c r="BG53" s="43"/>
      <c r="BK53" s="52" t="s">
        <v>42</v>
      </c>
      <c r="BL53" s="51" t="s">
        <v>55</v>
      </c>
    </row>
    <row r="54" spans="1:64">
      <c r="A54" s="681">
        <v>47</v>
      </c>
      <c r="B54" s="682"/>
      <c r="C54" s="59" t="str">
        <f t="shared" si="1"/>
        <v>风险抵押金</v>
      </c>
      <c r="D54" s="142"/>
      <c r="E54" s="142"/>
      <c r="F54" s="142"/>
      <c r="G54" s="142"/>
      <c r="H54" s="142"/>
      <c r="I54" s="142"/>
      <c r="J54" s="142"/>
      <c r="K54" s="143"/>
      <c r="L54" s="1" t="s">
        <v>384</v>
      </c>
      <c r="M54" s="142"/>
      <c r="N54" s="142"/>
      <c r="O54" s="142"/>
      <c r="P54" s="142"/>
      <c r="Q54" s="142"/>
      <c r="R54" s="142"/>
      <c r="S54" s="142"/>
      <c r="T54" s="142"/>
      <c r="U54" s="692"/>
      <c r="V54" s="693"/>
      <c r="W54" s="694"/>
      <c r="X54" s="695"/>
      <c r="Y54" s="350" t="s">
        <v>1260</v>
      </c>
      <c r="Z54" s="131"/>
      <c r="AA54" s="131"/>
      <c r="AB54" s="131"/>
      <c r="AC54" s="132"/>
      <c r="AD54" s="274">
        <v>19</v>
      </c>
      <c r="AE54" s="134"/>
      <c r="AF54" s="274">
        <v>6</v>
      </c>
      <c r="AG54" s="134"/>
      <c r="AH54" s="141" t="s">
        <v>1264</v>
      </c>
      <c r="AI54" s="139"/>
      <c r="AJ54" s="139"/>
      <c r="AK54" s="139"/>
      <c r="AL54" s="139"/>
      <c r="AM54" s="139"/>
      <c r="AN54" s="139"/>
      <c r="AO54" s="139"/>
      <c r="AP54" s="139"/>
      <c r="AQ54" s="139"/>
      <c r="AR54" s="139"/>
      <c r="AS54" s="139"/>
      <c r="AT54" s="139"/>
      <c r="AU54" s="139"/>
      <c r="AV54" s="139"/>
      <c r="AW54" s="139"/>
      <c r="AX54" s="139"/>
      <c r="AY54" s="139"/>
      <c r="AZ54" s="139"/>
      <c r="BA54" s="140"/>
      <c r="BB54" s="139"/>
      <c r="BC54" s="139"/>
      <c r="BD54" s="139"/>
      <c r="BE54" s="139"/>
      <c r="BF54" s="139"/>
      <c r="BG54" s="43"/>
      <c r="BK54" s="52" t="s">
        <v>354</v>
      </c>
      <c r="BL54" s="51" t="s">
        <v>254</v>
      </c>
    </row>
    <row r="55" spans="1:64">
      <c r="A55" s="681">
        <v>48</v>
      </c>
      <c r="B55" s="682"/>
      <c r="C55" s="59" t="str">
        <f t="shared" si="1"/>
        <v>内部承包总价(万元)</v>
      </c>
      <c r="D55" s="139"/>
      <c r="E55" s="139"/>
      <c r="F55" s="139"/>
      <c r="G55" s="139"/>
      <c r="H55" s="139"/>
      <c r="I55" s="139"/>
      <c r="J55" s="139"/>
      <c r="K55" s="140"/>
      <c r="L55" s="36" t="s">
        <v>385</v>
      </c>
      <c r="M55" s="139"/>
      <c r="N55" s="139"/>
      <c r="O55" s="139"/>
      <c r="P55" s="139"/>
      <c r="Q55" s="139"/>
      <c r="R55" s="139"/>
      <c r="S55" s="139"/>
      <c r="T55" s="139"/>
      <c r="U55" s="683"/>
      <c r="V55" s="682"/>
      <c r="W55" s="684"/>
      <c r="X55" s="685"/>
      <c r="Y55" s="350" t="s">
        <v>1262</v>
      </c>
      <c r="Z55" s="126"/>
      <c r="AA55" s="126"/>
      <c r="AB55" s="126"/>
      <c r="AC55" s="127"/>
      <c r="AD55" s="274">
        <v>19</v>
      </c>
      <c r="AE55" s="134"/>
      <c r="AF55" s="274">
        <v>6</v>
      </c>
      <c r="AG55" s="134"/>
      <c r="AH55" s="330" t="s">
        <v>1278</v>
      </c>
      <c r="AI55" s="139"/>
      <c r="AJ55" s="139"/>
      <c r="AK55" s="139"/>
      <c r="AL55" s="139"/>
      <c r="AM55" s="139"/>
      <c r="AN55" s="139"/>
      <c r="AO55" s="139"/>
      <c r="AP55" s="139"/>
      <c r="AQ55" s="139"/>
      <c r="AR55" s="139"/>
      <c r="AS55" s="139"/>
      <c r="AT55" s="139"/>
      <c r="AU55" s="139"/>
      <c r="AV55" s="139"/>
      <c r="AW55" s="139"/>
      <c r="AX55" s="139"/>
      <c r="AY55" s="139"/>
      <c r="AZ55" s="139"/>
      <c r="BA55" s="140"/>
      <c r="BB55" s="139"/>
      <c r="BC55" s="139"/>
      <c r="BD55" s="139"/>
      <c r="BE55" s="139"/>
      <c r="BF55" s="139"/>
      <c r="BG55" s="43"/>
      <c r="BK55" s="52" t="s">
        <v>389</v>
      </c>
      <c r="BL55" s="51" t="s">
        <v>494</v>
      </c>
    </row>
    <row r="56" spans="1:64">
      <c r="A56" s="681">
        <v>49</v>
      </c>
      <c r="B56" s="682"/>
      <c r="C56" s="59" t="str">
        <f t="shared" si="1"/>
        <v>税率</v>
      </c>
      <c r="D56" s="139"/>
      <c r="E56" s="139"/>
      <c r="F56" s="139"/>
      <c r="G56" s="139"/>
      <c r="H56" s="139"/>
      <c r="I56" s="139"/>
      <c r="J56" s="139"/>
      <c r="K56" s="140"/>
      <c r="L56" s="36" t="s">
        <v>386</v>
      </c>
      <c r="M56" s="139"/>
      <c r="N56" s="139"/>
      <c r="O56" s="139"/>
      <c r="P56" s="139"/>
      <c r="Q56" s="139"/>
      <c r="R56" s="139"/>
      <c r="S56" s="139"/>
      <c r="T56" s="139"/>
      <c r="U56" s="683"/>
      <c r="V56" s="682"/>
      <c r="W56" s="684"/>
      <c r="X56" s="685"/>
      <c r="Y56" s="350" t="s">
        <v>1281</v>
      </c>
      <c r="Z56" s="126"/>
      <c r="AA56" s="126"/>
      <c r="AB56" s="126"/>
      <c r="AC56" s="127"/>
      <c r="AD56" s="274">
        <v>19</v>
      </c>
      <c r="AE56" s="134"/>
      <c r="AF56" s="274">
        <v>6</v>
      </c>
      <c r="AG56" s="134"/>
      <c r="AH56" s="330" t="s">
        <v>1264</v>
      </c>
      <c r="AI56" s="139"/>
      <c r="AJ56" s="139"/>
      <c r="AK56" s="139"/>
      <c r="AL56" s="139"/>
      <c r="AM56" s="139"/>
      <c r="AN56" s="139"/>
      <c r="AO56" s="139"/>
      <c r="AP56" s="139"/>
      <c r="AQ56" s="139"/>
      <c r="AR56" s="139"/>
      <c r="AS56" s="139"/>
      <c r="AT56" s="139"/>
      <c r="AU56" s="139"/>
      <c r="AV56" s="139"/>
      <c r="AW56" s="139"/>
      <c r="AX56" s="139"/>
      <c r="AY56" s="139"/>
      <c r="AZ56" s="139"/>
      <c r="BA56" s="140"/>
      <c r="BB56" s="139"/>
      <c r="BC56" s="139"/>
      <c r="BD56" s="139"/>
      <c r="BE56" s="139"/>
      <c r="BF56" s="139"/>
      <c r="BG56" s="43"/>
      <c r="BK56" s="52" t="s">
        <v>379</v>
      </c>
      <c r="BL56" s="51" t="s">
        <v>495</v>
      </c>
    </row>
    <row r="57" spans="1:64">
      <c r="A57" s="681">
        <v>50</v>
      </c>
      <c r="B57" s="682"/>
      <c r="C57" s="59" t="str">
        <f t="shared" si="1"/>
        <v>管理费率</v>
      </c>
      <c r="D57" s="139"/>
      <c r="E57" s="139"/>
      <c r="F57" s="139"/>
      <c r="G57" s="139"/>
      <c r="H57" s="139"/>
      <c r="I57" s="139"/>
      <c r="J57" s="139"/>
      <c r="K57" s="140"/>
      <c r="L57" s="36" t="s">
        <v>387</v>
      </c>
      <c r="M57" s="139"/>
      <c r="N57" s="139"/>
      <c r="O57" s="139"/>
      <c r="P57" s="139"/>
      <c r="Q57" s="139"/>
      <c r="R57" s="139"/>
      <c r="S57" s="139"/>
      <c r="T57" s="139"/>
      <c r="U57" s="683"/>
      <c r="V57" s="682"/>
      <c r="W57" s="684"/>
      <c r="X57" s="685"/>
      <c r="Y57" s="350" t="s">
        <v>1270</v>
      </c>
      <c r="Z57" s="126"/>
      <c r="AA57" s="126"/>
      <c r="AB57" s="126"/>
      <c r="AC57" s="127"/>
      <c r="AD57" s="274">
        <v>19</v>
      </c>
      <c r="AE57" s="134"/>
      <c r="AF57" s="274">
        <v>6</v>
      </c>
      <c r="AG57" s="134"/>
      <c r="AH57" s="330" t="s">
        <v>1278</v>
      </c>
      <c r="AI57" s="139"/>
      <c r="AJ57" s="139"/>
      <c r="AK57" s="139"/>
      <c r="AL57" s="139"/>
      <c r="AM57" s="139"/>
      <c r="AN57" s="139"/>
      <c r="AO57" s="139"/>
      <c r="AP57" s="139"/>
      <c r="AQ57" s="139"/>
      <c r="AR57" s="139"/>
      <c r="AS57" s="139"/>
      <c r="AT57" s="139"/>
      <c r="AU57" s="139"/>
      <c r="AV57" s="139"/>
      <c r="AW57" s="139"/>
      <c r="AX57" s="139"/>
      <c r="AY57" s="139"/>
      <c r="AZ57" s="139"/>
      <c r="BA57" s="140"/>
      <c r="BB57" s="139"/>
      <c r="BC57" s="139"/>
      <c r="BD57" s="139"/>
      <c r="BE57" s="139"/>
      <c r="BF57" s="139"/>
      <c r="BG57" s="43"/>
      <c r="BK57" s="52" t="s">
        <v>31</v>
      </c>
      <c r="BL57" s="51" t="s">
        <v>496</v>
      </c>
    </row>
    <row r="58" spans="1:64">
      <c r="A58" s="681">
        <v>51</v>
      </c>
      <c r="B58" s="682"/>
      <c r="C58" s="59" t="str">
        <f t="shared" si="1"/>
        <v>质保费率</v>
      </c>
      <c r="D58" s="139"/>
      <c r="E58" s="139"/>
      <c r="F58" s="139"/>
      <c r="G58" s="139"/>
      <c r="H58" s="139"/>
      <c r="I58" s="139"/>
      <c r="J58" s="139"/>
      <c r="K58" s="140"/>
      <c r="L58" s="36" t="s">
        <v>388</v>
      </c>
      <c r="M58" s="139"/>
      <c r="N58" s="139"/>
      <c r="O58" s="139"/>
      <c r="P58" s="139"/>
      <c r="Q58" s="139"/>
      <c r="R58" s="139"/>
      <c r="S58" s="139"/>
      <c r="T58" s="139"/>
      <c r="U58" s="683"/>
      <c r="V58" s="682"/>
      <c r="W58" s="684"/>
      <c r="X58" s="685"/>
      <c r="Y58" s="350" t="s">
        <v>1262</v>
      </c>
      <c r="Z58" s="126"/>
      <c r="AA58" s="126"/>
      <c r="AB58" s="126"/>
      <c r="AC58" s="127"/>
      <c r="AD58" s="274">
        <v>19</v>
      </c>
      <c r="AE58" s="134"/>
      <c r="AF58" s="274">
        <v>6</v>
      </c>
      <c r="AG58" s="134"/>
      <c r="AH58" s="330" t="s">
        <v>1279</v>
      </c>
      <c r="AI58" s="139"/>
      <c r="AJ58" s="139"/>
      <c r="AK58" s="139"/>
      <c r="AL58" s="139"/>
      <c r="AM58" s="139"/>
      <c r="AN58" s="139"/>
      <c r="AO58" s="139"/>
      <c r="AP58" s="139"/>
      <c r="AQ58" s="139"/>
      <c r="AR58" s="139"/>
      <c r="AS58" s="139"/>
      <c r="AT58" s="139"/>
      <c r="AU58" s="139"/>
      <c r="AV58" s="139"/>
      <c r="AW58" s="139"/>
      <c r="AX58" s="139"/>
      <c r="AY58" s="139"/>
      <c r="AZ58" s="139"/>
      <c r="BA58" s="140"/>
      <c r="BB58" s="139"/>
      <c r="BC58" s="139"/>
      <c r="BD58" s="139"/>
      <c r="BE58" s="139"/>
      <c r="BF58" s="139"/>
      <c r="BG58" s="43"/>
      <c r="BK58" s="52" t="s">
        <v>43</v>
      </c>
      <c r="BL58" s="51" t="s">
        <v>43</v>
      </c>
    </row>
    <row r="59" spans="1:64">
      <c r="A59" s="681">
        <v>52</v>
      </c>
      <c r="B59" s="682"/>
      <c r="C59" s="59" t="str">
        <f t="shared" si="1"/>
        <v>供货总额</v>
      </c>
      <c r="D59" s="139"/>
      <c r="E59" s="139"/>
      <c r="F59" s="139"/>
      <c r="G59" s="139"/>
      <c r="H59" s="139"/>
      <c r="I59" s="139"/>
      <c r="J59" s="139"/>
      <c r="K59" s="140"/>
      <c r="L59" s="36" t="s">
        <v>389</v>
      </c>
      <c r="M59" s="139"/>
      <c r="N59" s="139"/>
      <c r="O59" s="139"/>
      <c r="P59" s="139"/>
      <c r="Q59" s="139"/>
      <c r="R59" s="139"/>
      <c r="S59" s="139"/>
      <c r="T59" s="139"/>
      <c r="U59" s="683"/>
      <c r="V59" s="682"/>
      <c r="W59" s="684"/>
      <c r="X59" s="685"/>
      <c r="Y59" s="350" t="s">
        <v>1282</v>
      </c>
      <c r="Z59" s="126"/>
      <c r="AA59" s="126"/>
      <c r="AB59" s="126"/>
      <c r="AC59" s="127"/>
      <c r="AD59" s="274">
        <v>19</v>
      </c>
      <c r="AE59" s="134"/>
      <c r="AF59" s="274">
        <v>6</v>
      </c>
      <c r="AG59" s="134"/>
      <c r="AH59" s="330" t="s">
        <v>1263</v>
      </c>
      <c r="AI59" s="139"/>
      <c r="AJ59" s="139"/>
      <c r="AK59" s="139"/>
      <c r="AL59" s="139"/>
      <c r="AM59" s="139"/>
      <c r="AN59" s="139"/>
      <c r="AO59" s="139"/>
      <c r="AP59" s="139"/>
      <c r="AQ59" s="139"/>
      <c r="AR59" s="139"/>
      <c r="AS59" s="139"/>
      <c r="AT59" s="139"/>
      <c r="AU59" s="139"/>
      <c r="AV59" s="139"/>
      <c r="AW59" s="139"/>
      <c r="AX59" s="139"/>
      <c r="AY59" s="139"/>
      <c r="AZ59" s="139"/>
      <c r="BA59" s="140"/>
      <c r="BB59" s="139"/>
      <c r="BC59" s="139"/>
      <c r="BD59" s="139"/>
      <c r="BE59" s="139"/>
      <c r="BF59" s="139"/>
      <c r="BG59" s="43"/>
      <c r="BK59" s="52" t="s">
        <v>385</v>
      </c>
      <c r="BL59" s="51" t="s">
        <v>497</v>
      </c>
    </row>
    <row r="60" spans="1:64">
      <c r="A60" s="681">
        <v>53</v>
      </c>
      <c r="B60" s="682"/>
      <c r="C60" s="59" t="str">
        <f t="shared" si="1"/>
        <v>付款约定</v>
      </c>
      <c r="D60" s="139"/>
      <c r="E60" s="139"/>
      <c r="F60" s="139"/>
      <c r="G60" s="139"/>
      <c r="H60" s="139"/>
      <c r="I60" s="139"/>
      <c r="J60" s="139"/>
      <c r="K60" s="140"/>
      <c r="L60" s="36" t="s">
        <v>390</v>
      </c>
      <c r="M60" s="139"/>
      <c r="N60" s="139"/>
      <c r="O60" s="139"/>
      <c r="P60" s="139"/>
      <c r="Q60" s="139"/>
      <c r="R60" s="139"/>
      <c r="S60" s="139"/>
      <c r="T60" s="139"/>
      <c r="U60" s="683"/>
      <c r="V60" s="682"/>
      <c r="W60" s="684"/>
      <c r="X60" s="685"/>
      <c r="Y60" s="273" t="s">
        <v>16</v>
      </c>
      <c r="Z60" s="126"/>
      <c r="AA60" s="126"/>
      <c r="AB60" s="126"/>
      <c r="AC60" s="127"/>
      <c r="AD60" s="274">
        <v>5</v>
      </c>
      <c r="AE60" s="134"/>
      <c r="AF60" s="274">
        <v>0</v>
      </c>
      <c r="AG60" s="134"/>
      <c r="AH60" s="138"/>
      <c r="AI60" s="139"/>
      <c r="AJ60" s="139"/>
      <c r="AK60" s="139"/>
      <c r="AL60" s="139"/>
      <c r="AM60" s="139"/>
      <c r="AN60" s="139"/>
      <c r="AO60" s="139"/>
      <c r="AP60" s="139"/>
      <c r="AQ60" s="139"/>
      <c r="AR60" s="139"/>
      <c r="AS60" s="139"/>
      <c r="AT60" s="139"/>
      <c r="AU60" s="139"/>
      <c r="AV60" s="139"/>
      <c r="AW60" s="139"/>
      <c r="AX60" s="139"/>
      <c r="AY60" s="139"/>
      <c r="AZ60" s="139"/>
      <c r="BA60" s="140"/>
      <c r="BB60" s="139"/>
      <c r="BC60" s="139"/>
      <c r="BD60" s="139"/>
      <c r="BE60" s="139"/>
      <c r="BF60" s="139"/>
      <c r="BG60" s="43"/>
      <c r="BK60" s="52" t="s">
        <v>393</v>
      </c>
      <c r="BL60" s="51" t="s">
        <v>498</v>
      </c>
    </row>
    <row r="61" spans="1:64">
      <c r="A61" s="681">
        <v>54</v>
      </c>
      <c r="B61" s="682"/>
      <c r="C61" s="59" t="str">
        <f t="shared" si="1"/>
        <v>装运方式约定</v>
      </c>
      <c r="D61" s="139"/>
      <c r="E61" s="139"/>
      <c r="F61" s="139"/>
      <c r="G61" s="139"/>
      <c r="H61" s="139"/>
      <c r="I61" s="139"/>
      <c r="J61" s="139"/>
      <c r="K61" s="140"/>
      <c r="L61" s="36" t="s">
        <v>391</v>
      </c>
      <c r="M61" s="139"/>
      <c r="N61" s="139"/>
      <c r="O61" s="139"/>
      <c r="P61" s="139"/>
      <c r="Q61" s="139"/>
      <c r="R61" s="139"/>
      <c r="S61" s="139"/>
      <c r="T61" s="139"/>
      <c r="U61" s="683"/>
      <c r="V61" s="682"/>
      <c r="W61" s="684"/>
      <c r="X61" s="685"/>
      <c r="Y61" s="273" t="s">
        <v>16</v>
      </c>
      <c r="Z61" s="126"/>
      <c r="AA61" s="126"/>
      <c r="AB61" s="126"/>
      <c r="AC61" s="127"/>
      <c r="AD61" s="274">
        <v>5</v>
      </c>
      <c r="AE61" s="134"/>
      <c r="AF61" s="274">
        <v>0</v>
      </c>
      <c r="AG61" s="134"/>
      <c r="AH61" s="138"/>
      <c r="AI61" s="139"/>
      <c r="AJ61" s="139"/>
      <c r="AK61" s="139"/>
      <c r="AL61" s="139"/>
      <c r="AM61" s="139"/>
      <c r="AN61" s="139"/>
      <c r="AO61" s="139"/>
      <c r="AP61" s="139"/>
      <c r="AQ61" s="139"/>
      <c r="AR61" s="139"/>
      <c r="AS61" s="139"/>
      <c r="AT61" s="139"/>
      <c r="AU61" s="139"/>
      <c r="AV61" s="139"/>
      <c r="AW61" s="139"/>
      <c r="AX61" s="139"/>
      <c r="AY61" s="139"/>
      <c r="AZ61" s="139"/>
      <c r="BA61" s="140"/>
      <c r="BB61" s="139"/>
      <c r="BC61" s="139"/>
      <c r="BD61" s="139"/>
      <c r="BE61" s="139"/>
      <c r="BF61" s="139"/>
      <c r="BG61" s="43"/>
      <c r="BK61" s="52" t="s">
        <v>387</v>
      </c>
      <c r="BL61" s="51" t="s">
        <v>499</v>
      </c>
    </row>
    <row r="62" spans="1:64">
      <c r="A62" s="681">
        <v>55</v>
      </c>
      <c r="B62" s="682"/>
      <c r="C62" s="59" t="str">
        <f t="shared" si="1"/>
        <v>其他条款</v>
      </c>
      <c r="D62" s="139"/>
      <c r="E62" s="139"/>
      <c r="F62" s="139"/>
      <c r="G62" s="139"/>
      <c r="H62" s="139"/>
      <c r="I62" s="139"/>
      <c r="J62" s="139"/>
      <c r="K62" s="140"/>
      <c r="L62" s="36" t="s">
        <v>392</v>
      </c>
      <c r="M62" s="139"/>
      <c r="N62" s="139"/>
      <c r="O62" s="139"/>
      <c r="P62" s="139"/>
      <c r="Q62" s="139"/>
      <c r="R62" s="139"/>
      <c r="S62" s="139"/>
      <c r="T62" s="139"/>
      <c r="U62" s="683"/>
      <c r="V62" s="682"/>
      <c r="W62" s="684"/>
      <c r="X62" s="685"/>
      <c r="Y62" s="273" t="s">
        <v>16</v>
      </c>
      <c r="Z62" s="126"/>
      <c r="AA62" s="126"/>
      <c r="AB62" s="126"/>
      <c r="AC62" s="127"/>
      <c r="AD62" s="274">
        <v>5</v>
      </c>
      <c r="AE62" s="134"/>
      <c r="AF62" s="274">
        <v>0</v>
      </c>
      <c r="AG62" s="134"/>
      <c r="AH62" s="138"/>
      <c r="AI62" s="139"/>
      <c r="AJ62" s="139"/>
      <c r="AK62" s="139"/>
      <c r="AL62" s="139"/>
      <c r="AM62" s="139"/>
      <c r="AN62" s="139"/>
      <c r="AO62" s="139"/>
      <c r="AP62" s="139"/>
      <c r="AQ62" s="139"/>
      <c r="AR62" s="139"/>
      <c r="AS62" s="139"/>
      <c r="AT62" s="139"/>
      <c r="AU62" s="139"/>
      <c r="AV62" s="139"/>
      <c r="AW62" s="139"/>
      <c r="AX62" s="139"/>
      <c r="AY62" s="139"/>
      <c r="AZ62" s="139"/>
      <c r="BA62" s="140"/>
      <c r="BB62" s="139"/>
      <c r="BC62" s="139"/>
      <c r="BD62" s="139"/>
      <c r="BE62" s="139"/>
      <c r="BF62" s="139"/>
      <c r="BG62" s="43"/>
      <c r="BK62" s="52" t="s">
        <v>392</v>
      </c>
      <c r="BL62" s="51" t="s">
        <v>500</v>
      </c>
    </row>
    <row r="63" spans="1:64">
      <c r="A63" s="681">
        <v>56</v>
      </c>
      <c r="B63" s="682"/>
      <c r="C63" s="457" t="str">
        <f t="shared" si="1"/>
        <v>乙方性质</v>
      </c>
      <c r="D63" s="460"/>
      <c r="E63" s="460"/>
      <c r="F63" s="460"/>
      <c r="G63" s="460"/>
      <c r="H63" s="460"/>
      <c r="I63" s="460"/>
      <c r="J63" s="460"/>
      <c r="K63" s="461"/>
      <c r="L63" s="36" t="s">
        <v>64</v>
      </c>
      <c r="M63" s="139"/>
      <c r="N63" s="139"/>
      <c r="O63" s="139"/>
      <c r="P63" s="139"/>
      <c r="Q63" s="139"/>
      <c r="R63" s="139"/>
      <c r="S63" s="139"/>
      <c r="T63" s="139"/>
      <c r="U63" s="683"/>
      <c r="V63" s="682"/>
      <c r="W63" s="684"/>
      <c r="X63" s="685"/>
      <c r="Y63" s="273" t="s">
        <v>16</v>
      </c>
      <c r="Z63" s="126"/>
      <c r="AA63" s="126"/>
      <c r="AB63" s="126"/>
      <c r="AC63" s="127"/>
      <c r="AD63" s="274">
        <v>64</v>
      </c>
      <c r="AE63" s="134"/>
      <c r="AF63" s="274">
        <v>0</v>
      </c>
      <c r="AG63" s="134"/>
      <c r="AH63" s="330" t="s">
        <v>1628</v>
      </c>
      <c r="AI63" s="139"/>
      <c r="AJ63" s="139"/>
      <c r="AK63" s="139"/>
      <c r="AL63" s="139"/>
      <c r="AM63" s="139"/>
      <c r="AN63" s="139"/>
      <c r="AO63" s="139"/>
      <c r="AP63" s="139"/>
      <c r="AQ63" s="139"/>
      <c r="AR63" s="139"/>
      <c r="AS63" s="139"/>
      <c r="AT63" s="139"/>
      <c r="AU63" s="139"/>
      <c r="AV63" s="139"/>
      <c r="AW63" s="139"/>
      <c r="AX63" s="139"/>
      <c r="AY63" s="139"/>
      <c r="AZ63" s="139"/>
      <c r="BA63" s="140"/>
      <c r="BB63" s="139"/>
      <c r="BC63" s="139"/>
      <c r="BD63" s="139"/>
      <c r="BE63" s="139"/>
      <c r="BF63" s="139"/>
      <c r="BG63" s="43"/>
      <c r="BK63" s="52" t="s">
        <v>374</v>
      </c>
      <c r="BL63" s="51" t="s">
        <v>501</v>
      </c>
    </row>
    <row r="64" spans="1:64">
      <c r="A64" s="681">
        <v>57</v>
      </c>
      <c r="B64" s="682"/>
      <c r="C64" s="59" t="str">
        <f t="shared" si="1"/>
        <v>经营指标</v>
      </c>
      <c r="D64" s="139"/>
      <c r="E64" s="139"/>
      <c r="F64" s="139"/>
      <c r="G64" s="139"/>
      <c r="H64" s="139"/>
      <c r="I64" s="139"/>
      <c r="J64" s="139"/>
      <c r="K64" s="140"/>
      <c r="L64" s="1" t="s">
        <v>1941</v>
      </c>
      <c r="M64" s="139"/>
      <c r="N64" s="139"/>
      <c r="O64" s="139"/>
      <c r="P64" s="139"/>
      <c r="Q64" s="139"/>
      <c r="R64" s="139"/>
      <c r="S64" s="139"/>
      <c r="T64" s="139"/>
      <c r="U64" s="683"/>
      <c r="V64" s="682"/>
      <c r="W64" s="684"/>
      <c r="X64" s="685"/>
      <c r="Y64" s="273" t="s">
        <v>16</v>
      </c>
      <c r="Z64" s="126"/>
      <c r="AA64" s="126"/>
      <c r="AB64" s="126"/>
      <c r="AC64" s="127"/>
      <c r="AD64" s="274">
        <v>5</v>
      </c>
      <c r="AE64" s="134"/>
      <c r="AF64" s="274">
        <v>0</v>
      </c>
      <c r="AG64" s="134"/>
      <c r="AH64" s="138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40"/>
      <c r="BB64" s="139"/>
      <c r="BC64" s="139"/>
      <c r="BD64" s="139"/>
      <c r="BE64" s="139"/>
      <c r="BF64" s="139"/>
      <c r="BG64" s="43"/>
      <c r="BK64" s="52" t="s">
        <v>390</v>
      </c>
      <c r="BL64" s="51" t="s">
        <v>502</v>
      </c>
    </row>
    <row r="65" spans="1:64">
      <c r="A65" s="681">
        <v>58</v>
      </c>
      <c r="B65" s="682"/>
      <c r="C65" s="59" t="str">
        <f t="shared" si="1"/>
        <v>施工单位</v>
      </c>
      <c r="D65" s="139"/>
      <c r="E65" s="139"/>
      <c r="F65" s="139"/>
      <c r="G65" s="139"/>
      <c r="H65" s="139"/>
      <c r="I65" s="139"/>
      <c r="J65" s="139"/>
      <c r="K65" s="140"/>
      <c r="L65" s="36" t="s">
        <v>394</v>
      </c>
      <c r="M65" s="139"/>
      <c r="N65" s="139"/>
      <c r="O65" s="139"/>
      <c r="P65" s="139"/>
      <c r="Q65" s="139"/>
      <c r="R65" s="139"/>
      <c r="S65" s="139"/>
      <c r="T65" s="139"/>
      <c r="U65" s="683"/>
      <c r="V65" s="682"/>
      <c r="W65" s="684"/>
      <c r="X65" s="685"/>
      <c r="Y65" s="273" t="s">
        <v>16</v>
      </c>
      <c r="Z65" s="126"/>
      <c r="AA65" s="126"/>
      <c r="AB65" s="126"/>
      <c r="AC65" s="127"/>
      <c r="AD65" s="274">
        <v>64</v>
      </c>
      <c r="AE65" s="134"/>
      <c r="AF65" s="274">
        <v>0</v>
      </c>
      <c r="AG65" s="134"/>
      <c r="AH65" s="138"/>
      <c r="AI65" s="139"/>
      <c r="AJ65" s="139"/>
      <c r="AK65" s="139"/>
      <c r="AL65" s="139"/>
      <c r="AM65" s="139"/>
      <c r="AN65" s="139"/>
      <c r="AO65" s="139"/>
      <c r="AP65" s="139"/>
      <c r="AQ65" s="139"/>
      <c r="AR65" s="139"/>
      <c r="AS65" s="139"/>
      <c r="AT65" s="139"/>
      <c r="AU65" s="139"/>
      <c r="AV65" s="139"/>
      <c r="AW65" s="139"/>
      <c r="AX65" s="139"/>
      <c r="AY65" s="139"/>
      <c r="AZ65" s="139"/>
      <c r="BA65" s="140"/>
      <c r="BB65" s="139"/>
      <c r="BC65" s="139"/>
      <c r="BD65" s="139"/>
      <c r="BE65" s="139"/>
      <c r="BF65" s="139"/>
      <c r="BG65" s="43"/>
      <c r="BK65" s="52" t="s">
        <v>362</v>
      </c>
      <c r="BL65" s="51" t="s">
        <v>503</v>
      </c>
    </row>
    <row r="66" spans="1:64">
      <c r="A66" s="681">
        <v>59</v>
      </c>
      <c r="B66" s="682"/>
      <c r="C66" s="59" t="str">
        <f t="shared" si="1"/>
        <v>设计单位</v>
      </c>
      <c r="D66" s="139"/>
      <c r="E66" s="139"/>
      <c r="F66" s="139"/>
      <c r="G66" s="139"/>
      <c r="H66" s="139"/>
      <c r="I66" s="139"/>
      <c r="J66" s="139"/>
      <c r="K66" s="140"/>
      <c r="L66" s="36" t="s">
        <v>395</v>
      </c>
      <c r="M66" s="139"/>
      <c r="N66" s="139"/>
      <c r="O66" s="139"/>
      <c r="P66" s="139"/>
      <c r="Q66" s="139"/>
      <c r="R66" s="139"/>
      <c r="S66" s="139"/>
      <c r="T66" s="139"/>
      <c r="U66" s="683"/>
      <c r="V66" s="682"/>
      <c r="W66" s="684"/>
      <c r="X66" s="685"/>
      <c r="Y66" s="273" t="s">
        <v>16</v>
      </c>
      <c r="Z66" s="126"/>
      <c r="AA66" s="126"/>
      <c r="AB66" s="126"/>
      <c r="AC66" s="127"/>
      <c r="AD66" s="274">
        <v>64</v>
      </c>
      <c r="AE66" s="134"/>
      <c r="AF66" s="274">
        <v>0</v>
      </c>
      <c r="AG66" s="134"/>
      <c r="AH66" s="138"/>
      <c r="AI66" s="139"/>
      <c r="AJ66" s="139"/>
      <c r="AK66" s="139"/>
      <c r="AL66" s="139"/>
      <c r="AM66" s="139"/>
      <c r="AN66" s="139"/>
      <c r="AO66" s="139"/>
      <c r="AP66" s="139"/>
      <c r="AQ66" s="139"/>
      <c r="AR66" s="139"/>
      <c r="AS66" s="139"/>
      <c r="AT66" s="139"/>
      <c r="AU66" s="139"/>
      <c r="AV66" s="139"/>
      <c r="AW66" s="139"/>
      <c r="AX66" s="139"/>
      <c r="AY66" s="139"/>
      <c r="AZ66" s="139"/>
      <c r="BA66" s="140"/>
      <c r="BB66" s="139"/>
      <c r="BC66" s="139"/>
      <c r="BD66" s="139"/>
      <c r="BE66" s="139"/>
      <c r="BF66" s="139"/>
      <c r="BG66" s="43"/>
      <c r="BK66" s="52" t="s">
        <v>365</v>
      </c>
      <c r="BL66" s="51" t="s">
        <v>504</v>
      </c>
    </row>
    <row r="67" spans="1:64">
      <c r="A67" s="681">
        <v>60</v>
      </c>
      <c r="B67" s="682"/>
      <c r="C67" s="59" t="str">
        <f t="shared" si="1"/>
        <v>经办人</v>
      </c>
      <c r="D67" s="139"/>
      <c r="E67" s="139"/>
      <c r="F67" s="139"/>
      <c r="G67" s="139"/>
      <c r="H67" s="139"/>
      <c r="I67" s="139"/>
      <c r="J67" s="139"/>
      <c r="K67" s="140"/>
      <c r="L67" s="36" t="s">
        <v>396</v>
      </c>
      <c r="M67" s="139"/>
      <c r="N67" s="139"/>
      <c r="O67" s="139"/>
      <c r="P67" s="139"/>
      <c r="Q67" s="139"/>
      <c r="R67" s="139"/>
      <c r="S67" s="139"/>
      <c r="T67" s="139"/>
      <c r="U67" s="683"/>
      <c r="V67" s="682"/>
      <c r="W67" s="684"/>
      <c r="X67" s="685"/>
      <c r="Y67" s="273" t="s">
        <v>16</v>
      </c>
      <c r="Z67" s="126"/>
      <c r="AA67" s="126"/>
      <c r="AB67" s="126"/>
      <c r="AC67" s="127"/>
      <c r="AD67" s="274">
        <v>5</v>
      </c>
      <c r="AE67" s="134"/>
      <c r="AF67" s="274">
        <v>0</v>
      </c>
      <c r="AG67" s="134"/>
      <c r="AH67" s="138"/>
      <c r="AI67" s="139"/>
      <c r="AJ67" s="139"/>
      <c r="AK67" s="139"/>
      <c r="AL67" s="139"/>
      <c r="AM67" s="139"/>
      <c r="AN67" s="139"/>
      <c r="AO67" s="139"/>
      <c r="AP67" s="139"/>
      <c r="AQ67" s="139"/>
      <c r="AR67" s="139"/>
      <c r="AS67" s="139"/>
      <c r="AT67" s="139"/>
      <c r="AU67" s="139"/>
      <c r="AV67" s="139"/>
      <c r="AW67" s="139"/>
      <c r="AX67" s="139"/>
      <c r="AY67" s="139"/>
      <c r="AZ67" s="139"/>
      <c r="BA67" s="140"/>
      <c r="BB67" s="139"/>
      <c r="BC67" s="139"/>
      <c r="BD67" s="139"/>
      <c r="BE67" s="139"/>
      <c r="BF67" s="139"/>
      <c r="BG67" s="43"/>
      <c r="BK67" s="52" t="s">
        <v>33</v>
      </c>
      <c r="BL67" s="52" t="s">
        <v>52</v>
      </c>
    </row>
    <row r="68" spans="1:64">
      <c r="A68" s="681">
        <v>61</v>
      </c>
      <c r="B68" s="682"/>
      <c r="C68" s="59" t="str">
        <f t="shared" si="1"/>
        <v>指定的</v>
      </c>
      <c r="D68" s="139"/>
      <c r="E68" s="139"/>
      <c r="F68" s="139"/>
      <c r="G68" s="139"/>
      <c r="H68" s="139"/>
      <c r="I68" s="139"/>
      <c r="J68" s="139"/>
      <c r="K68" s="140"/>
      <c r="L68" s="278" t="s">
        <v>397</v>
      </c>
      <c r="M68" s="139"/>
      <c r="N68" s="139"/>
      <c r="O68" s="139"/>
      <c r="P68" s="139"/>
      <c r="Q68" s="139"/>
      <c r="R68" s="139"/>
      <c r="S68" s="139"/>
      <c r="T68" s="139"/>
      <c r="U68" s="683"/>
      <c r="V68" s="682"/>
      <c r="W68" s="684"/>
      <c r="X68" s="685"/>
      <c r="Y68" s="275" t="s">
        <v>16</v>
      </c>
      <c r="Z68" s="131"/>
      <c r="AA68" s="131"/>
      <c r="AB68" s="131"/>
      <c r="AC68" s="132"/>
      <c r="AD68" s="274">
        <v>16</v>
      </c>
      <c r="AE68" s="134"/>
      <c r="AF68" s="274">
        <v>0</v>
      </c>
      <c r="AG68" s="134"/>
      <c r="AH68" s="141" t="s">
        <v>1415</v>
      </c>
      <c r="AI68" s="142"/>
      <c r="AJ68" s="139"/>
      <c r="AK68" s="139"/>
      <c r="AL68" s="139"/>
      <c r="AM68" s="139"/>
      <c r="AN68" s="139"/>
      <c r="AO68" s="139"/>
      <c r="AP68" s="139"/>
      <c r="AQ68" s="139"/>
      <c r="AR68" s="139"/>
      <c r="AS68" s="139"/>
      <c r="AT68" s="139"/>
      <c r="AU68" s="139"/>
      <c r="AV68" s="139"/>
      <c r="AW68" s="139"/>
      <c r="AX68" s="139"/>
      <c r="AY68" s="139"/>
      <c r="AZ68" s="139"/>
      <c r="BA68" s="140"/>
      <c r="BB68" s="139"/>
      <c r="BC68" s="139"/>
      <c r="BD68" s="139"/>
      <c r="BE68" s="139"/>
      <c r="BF68" s="139"/>
      <c r="BG68" s="43"/>
      <c r="BH68" s="36"/>
      <c r="BK68" s="52" t="s">
        <v>353</v>
      </c>
      <c r="BL68" s="52" t="s">
        <v>505</v>
      </c>
    </row>
    <row r="69" spans="1:64">
      <c r="A69" s="681">
        <v>62</v>
      </c>
      <c r="B69" s="682"/>
      <c r="C69" s="59" t="str">
        <f t="shared" si="1"/>
        <v>是否指定合同</v>
      </c>
      <c r="D69" s="142"/>
      <c r="E69" s="142"/>
      <c r="F69" s="142"/>
      <c r="G69" s="142"/>
      <c r="H69" s="142"/>
      <c r="I69" s="142"/>
      <c r="J69" s="142"/>
      <c r="K69" s="143"/>
      <c r="L69" s="1" t="s">
        <v>1942</v>
      </c>
      <c r="M69" s="142"/>
      <c r="N69" s="142"/>
      <c r="O69" s="142"/>
      <c r="P69" s="142"/>
      <c r="Q69" s="142"/>
      <c r="R69" s="142"/>
      <c r="S69" s="142"/>
      <c r="T69" s="142"/>
      <c r="U69" s="692"/>
      <c r="V69" s="693"/>
      <c r="W69" s="694"/>
      <c r="X69" s="695"/>
      <c r="Y69" s="275" t="s">
        <v>16</v>
      </c>
      <c r="Z69" s="131"/>
      <c r="AA69" s="131"/>
      <c r="AB69" s="131"/>
      <c r="AC69" s="132"/>
      <c r="AD69" s="274">
        <v>16</v>
      </c>
      <c r="AE69" s="134"/>
      <c r="AF69" s="274">
        <v>0</v>
      </c>
      <c r="AG69" s="134"/>
      <c r="AH69" s="141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3"/>
      <c r="BB69" s="139"/>
      <c r="BC69" s="139"/>
      <c r="BD69" s="139"/>
      <c r="BE69" s="139"/>
      <c r="BF69" s="139"/>
      <c r="BG69" s="43"/>
      <c r="BH69" s="36"/>
      <c r="BK69" s="52" t="s">
        <v>361</v>
      </c>
      <c r="BL69" s="51" t="s">
        <v>506</v>
      </c>
    </row>
    <row r="70" spans="1:64">
      <c r="A70" s="681">
        <v>63</v>
      </c>
      <c r="B70" s="682"/>
      <c r="C70" s="414" t="str">
        <f t="shared" si="1"/>
        <v>备注</v>
      </c>
      <c r="D70" s="417"/>
      <c r="E70" s="417"/>
      <c r="F70" s="417"/>
      <c r="G70" s="417"/>
      <c r="H70" s="417"/>
      <c r="I70" s="417"/>
      <c r="J70" s="417"/>
      <c r="K70" s="418"/>
      <c r="L70" s="1" t="s">
        <v>29</v>
      </c>
      <c r="M70" s="142"/>
      <c r="N70" s="142"/>
      <c r="O70" s="142"/>
      <c r="P70" s="142"/>
      <c r="Q70" s="142"/>
      <c r="R70" s="142"/>
      <c r="S70" s="142"/>
      <c r="T70" s="142"/>
      <c r="U70" s="692"/>
      <c r="V70" s="693"/>
      <c r="W70" s="694"/>
      <c r="X70" s="695"/>
      <c r="Y70" s="275" t="s">
        <v>16</v>
      </c>
      <c r="Z70" s="131"/>
      <c r="AA70" s="131"/>
      <c r="AB70" s="131"/>
      <c r="AC70" s="132"/>
      <c r="AD70" s="274">
        <v>1024</v>
      </c>
      <c r="AE70" s="134"/>
      <c r="AF70" s="274">
        <v>0</v>
      </c>
      <c r="AG70" s="134"/>
      <c r="AH70" s="141"/>
      <c r="AI70" s="139"/>
      <c r="AJ70" s="139"/>
      <c r="AK70" s="139"/>
      <c r="AL70" s="139"/>
      <c r="AM70" s="139"/>
      <c r="AN70" s="139"/>
      <c r="AO70" s="139"/>
      <c r="AP70" s="139"/>
      <c r="AQ70" s="139"/>
      <c r="AR70" s="139"/>
      <c r="AS70" s="139"/>
      <c r="AT70" s="139"/>
      <c r="AU70" s="139"/>
      <c r="AV70" s="139"/>
      <c r="AW70" s="139"/>
      <c r="AX70" s="139"/>
      <c r="AY70" s="139"/>
      <c r="AZ70" s="139"/>
      <c r="BA70" s="140"/>
      <c r="BB70" s="48"/>
      <c r="BC70" s="48"/>
      <c r="BD70" s="48"/>
      <c r="BE70" s="48"/>
      <c r="BF70" s="48"/>
      <c r="BG70" s="49"/>
      <c r="BK70" s="52" t="s">
        <v>391</v>
      </c>
      <c r="BL70" s="51" t="s">
        <v>507</v>
      </c>
    </row>
    <row r="71" spans="1:64">
      <c r="A71" s="681">
        <v>64</v>
      </c>
      <c r="B71" s="682"/>
      <c r="C71" s="59" t="str">
        <f t="shared" si="1"/>
        <v>乙方(手机)</v>
      </c>
      <c r="D71" s="142"/>
      <c r="E71" s="142"/>
      <c r="F71" s="142"/>
      <c r="G71" s="142"/>
      <c r="H71" s="142"/>
      <c r="I71" s="142"/>
      <c r="J71" s="142"/>
      <c r="K71" s="143"/>
      <c r="L71" s="1" t="s">
        <v>1464</v>
      </c>
      <c r="M71" s="142"/>
      <c r="N71" s="142"/>
      <c r="O71" s="142"/>
      <c r="P71" s="142"/>
      <c r="Q71" s="142"/>
      <c r="R71" s="142"/>
      <c r="S71" s="142"/>
      <c r="T71" s="142"/>
      <c r="U71" s="692"/>
      <c r="V71" s="693"/>
      <c r="W71" s="694"/>
      <c r="X71" s="695"/>
      <c r="Y71" s="275" t="s">
        <v>16</v>
      </c>
      <c r="Z71" s="131"/>
      <c r="AA71" s="131"/>
      <c r="AB71" s="131"/>
      <c r="AC71" s="132"/>
      <c r="AD71" s="274">
        <v>20</v>
      </c>
      <c r="AE71" s="134"/>
      <c r="AF71" s="274">
        <v>0</v>
      </c>
      <c r="AG71" s="134"/>
      <c r="AH71" s="141"/>
      <c r="AI71" s="139"/>
      <c r="AJ71" s="139"/>
      <c r="AK71" s="139"/>
      <c r="AL71" s="139"/>
      <c r="AM71" s="139"/>
      <c r="AN71" s="139"/>
      <c r="AO71" s="139"/>
      <c r="AP71" s="139"/>
      <c r="AQ71" s="139"/>
      <c r="AR71" s="139"/>
      <c r="AS71" s="139"/>
      <c r="AT71" s="139"/>
      <c r="AU71" s="139"/>
      <c r="AV71" s="139"/>
      <c r="AW71" s="139"/>
      <c r="AX71" s="139"/>
      <c r="AY71" s="139"/>
      <c r="AZ71" s="139"/>
      <c r="BA71" s="140"/>
      <c r="BB71" s="139"/>
      <c r="BC71" s="139"/>
      <c r="BD71" s="139"/>
      <c r="BE71" s="139"/>
      <c r="BF71" s="139"/>
      <c r="BG71" s="43"/>
      <c r="BK71" s="52" t="s">
        <v>384</v>
      </c>
      <c r="BL71" s="51" t="s">
        <v>508</v>
      </c>
    </row>
    <row r="72" spans="1:64">
      <c r="A72" s="681">
        <v>65</v>
      </c>
      <c r="B72" s="682"/>
      <c r="C72" s="59" t="str">
        <f t="shared" si="1"/>
        <v>乙方(传真)</v>
      </c>
      <c r="D72" s="142"/>
      <c r="E72" s="142"/>
      <c r="F72" s="142"/>
      <c r="G72" s="142"/>
      <c r="H72" s="142"/>
      <c r="I72" s="142"/>
      <c r="J72" s="142"/>
      <c r="K72" s="143"/>
      <c r="L72" s="1" t="s">
        <v>67</v>
      </c>
      <c r="M72" s="142"/>
      <c r="N72" s="142"/>
      <c r="O72" s="142"/>
      <c r="P72" s="142"/>
      <c r="Q72" s="142"/>
      <c r="R72" s="142"/>
      <c r="S72" s="142"/>
      <c r="T72" s="142"/>
      <c r="U72" s="692"/>
      <c r="V72" s="693"/>
      <c r="W72" s="694"/>
      <c r="X72" s="695"/>
      <c r="Y72" s="275" t="s">
        <v>16</v>
      </c>
      <c r="Z72" s="131"/>
      <c r="AA72" s="131"/>
      <c r="AB72" s="131"/>
      <c r="AC72" s="132"/>
      <c r="AD72" s="274">
        <v>50</v>
      </c>
      <c r="AE72" s="134"/>
      <c r="AF72" s="274">
        <v>0</v>
      </c>
      <c r="AG72" s="134"/>
      <c r="AH72" s="141"/>
      <c r="AQ72" s="139"/>
      <c r="AR72" s="139"/>
      <c r="AS72" s="139"/>
      <c r="AT72" s="139"/>
      <c r="AU72" s="139"/>
      <c r="AV72" s="139"/>
      <c r="AW72" s="139"/>
      <c r="AX72" s="139"/>
      <c r="AY72" s="139"/>
      <c r="AZ72" s="139"/>
      <c r="BA72" s="140"/>
      <c r="BB72" s="139"/>
      <c r="BC72" s="139"/>
      <c r="BD72" s="139"/>
      <c r="BE72" s="139"/>
      <c r="BF72" s="139"/>
      <c r="BG72" s="43"/>
      <c r="BK72" s="52" t="s">
        <v>82</v>
      </c>
      <c r="BL72" s="51" t="s">
        <v>509</v>
      </c>
    </row>
    <row r="73" spans="1:64">
      <c r="A73" s="681">
        <v>66</v>
      </c>
      <c r="B73" s="682"/>
      <c r="C73" s="59" t="str">
        <f t="shared" ref="C73:C80" si="2">VLOOKUP(L73,$BK$7:$BL$276,2,FALSE)</f>
        <v>合同类型</v>
      </c>
      <c r="D73" s="142"/>
      <c r="E73" s="142"/>
      <c r="F73" s="142"/>
      <c r="G73" s="142"/>
      <c r="H73" s="142"/>
      <c r="I73" s="142"/>
      <c r="J73" s="142"/>
      <c r="K73" s="143"/>
      <c r="L73" s="1" t="s">
        <v>68</v>
      </c>
      <c r="M73" s="142"/>
      <c r="N73" s="142"/>
      <c r="O73" s="142"/>
      <c r="P73" s="142"/>
      <c r="Q73" s="142"/>
      <c r="R73" s="142"/>
      <c r="S73" s="142"/>
      <c r="T73" s="142"/>
      <c r="U73" s="692"/>
      <c r="V73" s="693"/>
      <c r="W73" s="694"/>
      <c r="X73" s="695"/>
      <c r="Y73" s="275" t="s">
        <v>16</v>
      </c>
      <c r="Z73" s="131"/>
      <c r="AA73" s="131"/>
      <c r="AB73" s="131"/>
      <c r="AC73" s="132"/>
      <c r="AD73" s="274">
        <v>20</v>
      </c>
      <c r="AE73" s="134"/>
      <c r="AF73" s="274">
        <v>0</v>
      </c>
      <c r="AG73" s="134"/>
      <c r="AH73" s="141"/>
      <c r="AI73" s="139"/>
      <c r="AJ73" s="139"/>
      <c r="AK73" s="139"/>
      <c r="AL73" s="139"/>
      <c r="AM73" s="139"/>
      <c r="AN73" s="139"/>
      <c r="AO73" s="139"/>
      <c r="AP73" s="139"/>
      <c r="AQ73" s="139"/>
      <c r="AR73" s="139"/>
      <c r="AS73" s="139"/>
      <c r="AT73" s="139"/>
      <c r="AU73" s="139"/>
      <c r="AV73" s="139"/>
      <c r="AW73" s="139"/>
      <c r="AX73" s="139"/>
      <c r="AY73" s="139"/>
      <c r="AZ73" s="139"/>
      <c r="BA73" s="140"/>
      <c r="BB73" s="139"/>
      <c r="BC73" s="139"/>
      <c r="BD73" s="139"/>
      <c r="BE73" s="139"/>
      <c r="BF73" s="139"/>
      <c r="BG73" s="43"/>
      <c r="BK73" s="52" t="s">
        <v>83</v>
      </c>
      <c r="BL73" s="51" t="s">
        <v>212</v>
      </c>
    </row>
    <row r="74" spans="1:64">
      <c r="A74" s="681">
        <v>67</v>
      </c>
      <c r="B74" s="682"/>
      <c r="C74" s="59" t="str">
        <f t="shared" si="2"/>
        <v>累计结算金额</v>
      </c>
      <c r="D74" s="142"/>
      <c r="E74" s="142"/>
      <c r="F74" s="142"/>
      <c r="G74" s="142"/>
      <c r="H74" s="142"/>
      <c r="I74" s="142"/>
      <c r="J74" s="142"/>
      <c r="K74" s="143"/>
      <c r="L74" s="1" t="s">
        <v>44</v>
      </c>
      <c r="M74" s="142"/>
      <c r="N74" s="142"/>
      <c r="O74" s="142"/>
      <c r="P74" s="142"/>
      <c r="Q74" s="142"/>
      <c r="R74" s="142"/>
      <c r="S74" s="142"/>
      <c r="T74" s="142"/>
      <c r="U74" s="692"/>
      <c r="V74" s="693"/>
      <c r="W74" s="694"/>
      <c r="X74" s="695"/>
      <c r="Y74" s="275" t="s">
        <v>16</v>
      </c>
      <c r="Z74" s="131"/>
      <c r="AA74" s="131"/>
      <c r="AB74" s="131"/>
      <c r="AC74" s="132"/>
      <c r="AD74" s="274">
        <v>256</v>
      </c>
      <c r="AE74" s="134"/>
      <c r="AF74" s="274">
        <v>0</v>
      </c>
      <c r="AG74" s="134"/>
      <c r="AH74" s="141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40"/>
      <c r="BB74" s="139"/>
      <c r="BC74" s="139"/>
      <c r="BD74" s="139"/>
      <c r="BE74" s="139"/>
      <c r="BF74" s="139"/>
      <c r="BG74" s="43"/>
      <c r="BK74" s="52" t="s">
        <v>68</v>
      </c>
      <c r="BL74" s="51" t="s">
        <v>55</v>
      </c>
    </row>
    <row r="75" spans="1:64">
      <c r="A75" s="681">
        <v>68</v>
      </c>
      <c r="B75" s="682"/>
      <c r="C75" s="59" t="str">
        <f t="shared" si="2"/>
        <v>累计支付金额</v>
      </c>
      <c r="D75" s="142"/>
      <c r="E75" s="142"/>
      <c r="F75" s="142"/>
      <c r="G75" s="142"/>
      <c r="H75" s="142"/>
      <c r="I75" s="142"/>
      <c r="J75" s="142"/>
      <c r="K75" s="143"/>
      <c r="L75" s="1" t="s">
        <v>45</v>
      </c>
      <c r="M75" s="142"/>
      <c r="N75" s="142"/>
      <c r="O75" s="142"/>
      <c r="P75" s="142"/>
      <c r="Q75" s="142"/>
      <c r="R75" s="142"/>
      <c r="S75" s="142"/>
      <c r="T75" s="142"/>
      <c r="U75" s="692"/>
      <c r="V75" s="693"/>
      <c r="W75" s="694"/>
      <c r="X75" s="695"/>
      <c r="Y75" s="275" t="s">
        <v>16</v>
      </c>
      <c r="Z75" s="131"/>
      <c r="AA75" s="131"/>
      <c r="AB75" s="131"/>
      <c r="AC75" s="132"/>
      <c r="AD75" s="274">
        <v>256</v>
      </c>
      <c r="AE75" s="134"/>
      <c r="AF75" s="274">
        <v>0</v>
      </c>
      <c r="AG75" s="134"/>
      <c r="AH75" s="141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40"/>
      <c r="BB75" s="139"/>
      <c r="BC75" s="139"/>
      <c r="BD75" s="139"/>
      <c r="BE75" s="139"/>
      <c r="BF75" s="139"/>
      <c r="BG75" s="43"/>
      <c r="BK75" s="52" t="s">
        <v>36</v>
      </c>
      <c r="BL75" s="51" t="s">
        <v>510</v>
      </c>
    </row>
    <row r="76" spans="1:64">
      <c r="A76" s="681">
        <v>69</v>
      </c>
      <c r="B76" s="682"/>
      <c r="C76" s="59" t="str">
        <f t="shared" si="2"/>
        <v>pp6</v>
      </c>
      <c r="D76" s="139"/>
      <c r="E76" s="139"/>
      <c r="F76" s="139"/>
      <c r="G76" s="139"/>
      <c r="H76" s="139"/>
      <c r="I76" s="139"/>
      <c r="J76" s="139"/>
      <c r="K76" s="140"/>
      <c r="L76" s="36" t="s">
        <v>38</v>
      </c>
      <c r="M76" s="139"/>
      <c r="N76" s="139"/>
      <c r="O76" s="139"/>
      <c r="P76" s="139"/>
      <c r="Q76" s="139"/>
      <c r="R76" s="139"/>
      <c r="S76" s="139"/>
      <c r="T76" s="139"/>
      <c r="U76" s="683"/>
      <c r="V76" s="682"/>
      <c r="W76" s="684"/>
      <c r="X76" s="685"/>
      <c r="Y76" s="273" t="s">
        <v>16</v>
      </c>
      <c r="Z76" s="126"/>
      <c r="AA76" s="126"/>
      <c r="AB76" s="126"/>
      <c r="AC76" s="127"/>
      <c r="AD76" s="274">
        <v>64</v>
      </c>
      <c r="AE76" s="134"/>
      <c r="AF76" s="274">
        <v>0</v>
      </c>
      <c r="AG76" s="134"/>
      <c r="AH76" s="138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40"/>
      <c r="BB76" s="139"/>
      <c r="BC76" s="139"/>
      <c r="BD76" s="139"/>
      <c r="BE76" s="139"/>
      <c r="BF76" s="139"/>
      <c r="BG76" s="43"/>
      <c r="BK76" s="52" t="s">
        <v>67</v>
      </c>
      <c r="BL76" s="51" t="s">
        <v>511</v>
      </c>
    </row>
    <row r="77" spans="1:64">
      <c r="A77" s="681">
        <v>70</v>
      </c>
      <c r="B77" s="682"/>
      <c r="C77" s="59" t="str">
        <f t="shared" si="2"/>
        <v>pp7</v>
      </c>
      <c r="D77" s="139"/>
      <c r="E77" s="139"/>
      <c r="F77" s="139"/>
      <c r="G77" s="139"/>
      <c r="H77" s="139"/>
      <c r="I77" s="139"/>
      <c r="J77" s="139"/>
      <c r="K77" s="140"/>
      <c r="L77" s="36" t="s">
        <v>34</v>
      </c>
      <c r="M77" s="139"/>
      <c r="N77" s="139"/>
      <c r="O77" s="139"/>
      <c r="P77" s="139"/>
      <c r="Q77" s="139"/>
      <c r="R77" s="139"/>
      <c r="S77" s="139"/>
      <c r="T77" s="139"/>
      <c r="U77" s="683"/>
      <c r="V77" s="682"/>
      <c r="W77" s="684"/>
      <c r="X77" s="685"/>
      <c r="Y77" s="273" t="s">
        <v>16</v>
      </c>
      <c r="Z77" s="126"/>
      <c r="AA77" s="126"/>
      <c r="AB77" s="126"/>
      <c r="AC77" s="127"/>
      <c r="AD77" s="274">
        <v>64</v>
      </c>
      <c r="AE77" s="134"/>
      <c r="AF77" s="274">
        <v>0</v>
      </c>
      <c r="AG77" s="134"/>
      <c r="AH77" s="330" t="s">
        <v>1548</v>
      </c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39"/>
      <c r="AV77" s="139"/>
      <c r="AW77" s="139"/>
      <c r="AX77" s="139"/>
      <c r="AY77" s="139"/>
      <c r="AZ77" s="139"/>
      <c r="BA77" s="140"/>
      <c r="BB77" s="139"/>
      <c r="BC77" s="139"/>
      <c r="BD77" s="139"/>
      <c r="BE77" s="139"/>
      <c r="BF77" s="139"/>
      <c r="BG77" s="43"/>
      <c r="BK77" s="52" t="s">
        <v>44</v>
      </c>
      <c r="BL77" s="51" t="s">
        <v>512</v>
      </c>
    </row>
    <row r="78" spans="1:64">
      <c r="A78" s="681">
        <v>71</v>
      </c>
      <c r="B78" s="682"/>
      <c r="C78" s="59" t="str">
        <f t="shared" si="2"/>
        <v>清单</v>
      </c>
      <c r="D78" s="139"/>
      <c r="E78" s="139"/>
      <c r="F78" s="139"/>
      <c r="G78" s="139"/>
      <c r="H78" s="139"/>
      <c r="I78" s="139"/>
      <c r="J78" s="139"/>
      <c r="K78" s="140"/>
      <c r="L78" s="36" t="s">
        <v>37</v>
      </c>
      <c r="M78" s="139"/>
      <c r="N78" s="139"/>
      <c r="O78" s="139"/>
      <c r="P78" s="139"/>
      <c r="Q78" s="139"/>
      <c r="R78" s="139"/>
      <c r="S78" s="139"/>
      <c r="T78" s="139"/>
      <c r="U78" s="683"/>
      <c r="V78" s="682"/>
      <c r="W78" s="684"/>
      <c r="X78" s="685"/>
      <c r="Y78" s="273" t="s">
        <v>16</v>
      </c>
      <c r="Z78" s="126"/>
      <c r="AA78" s="126"/>
      <c r="AB78" s="126"/>
      <c r="AC78" s="127"/>
      <c r="AD78" s="274">
        <v>64</v>
      </c>
      <c r="AE78" s="134"/>
      <c r="AF78" s="274">
        <v>0</v>
      </c>
      <c r="AG78" s="134"/>
      <c r="AH78" s="138"/>
      <c r="AI78" s="139"/>
      <c r="AJ78" s="139"/>
      <c r="AK78" s="139"/>
      <c r="AL78" s="139"/>
      <c r="AM78" s="139"/>
      <c r="AN78" s="139"/>
      <c r="AO78" s="139"/>
      <c r="AP78" s="139"/>
      <c r="AQ78" s="139"/>
      <c r="AR78" s="139"/>
      <c r="AS78" s="139"/>
      <c r="AT78" s="139"/>
      <c r="AU78" s="139"/>
      <c r="AV78" s="139"/>
      <c r="AW78" s="139"/>
      <c r="AX78" s="139"/>
      <c r="AY78" s="139"/>
      <c r="AZ78" s="139"/>
      <c r="BA78" s="140"/>
      <c r="BB78" s="139"/>
      <c r="BC78" s="139"/>
      <c r="BD78" s="139"/>
      <c r="BE78" s="139"/>
      <c r="BF78" s="139"/>
      <c r="BG78" s="43"/>
      <c r="BK78" s="52" t="s">
        <v>45</v>
      </c>
      <c r="BL78" s="51" t="s">
        <v>513</v>
      </c>
    </row>
    <row r="79" spans="1:64">
      <c r="A79" s="681">
        <v>72</v>
      </c>
      <c r="B79" s="682"/>
      <c r="C79" s="59" t="str">
        <f t="shared" si="2"/>
        <v>pp9</v>
      </c>
      <c r="D79" s="139"/>
      <c r="E79" s="139"/>
      <c r="F79" s="139"/>
      <c r="G79" s="139"/>
      <c r="H79" s="139"/>
      <c r="I79" s="139"/>
      <c r="J79" s="139"/>
      <c r="K79" s="140"/>
      <c r="L79" s="36" t="s">
        <v>69</v>
      </c>
      <c r="M79" s="139"/>
      <c r="N79" s="139"/>
      <c r="O79" s="139"/>
      <c r="P79" s="139"/>
      <c r="Q79" s="139"/>
      <c r="R79" s="139"/>
      <c r="S79" s="139"/>
      <c r="T79" s="139"/>
      <c r="U79" s="683"/>
      <c r="V79" s="682"/>
      <c r="W79" s="684"/>
      <c r="X79" s="685"/>
      <c r="Y79" s="273" t="s">
        <v>16</v>
      </c>
      <c r="Z79" s="126"/>
      <c r="AA79" s="126"/>
      <c r="AB79" s="126"/>
      <c r="AC79" s="127"/>
      <c r="AD79" s="274">
        <v>64</v>
      </c>
      <c r="AE79" s="134"/>
      <c r="AF79" s="274">
        <v>0</v>
      </c>
      <c r="AG79" s="134"/>
      <c r="AH79" s="330" t="s">
        <v>1549</v>
      </c>
      <c r="AI79" s="139"/>
      <c r="AJ79" s="139"/>
      <c r="AK79" s="139"/>
      <c r="AL79" s="139"/>
      <c r="AM79" s="139"/>
      <c r="AN79" s="139"/>
      <c r="AO79" s="139"/>
      <c r="AP79" s="139"/>
      <c r="AQ79" s="139"/>
      <c r="AR79" s="139"/>
      <c r="AS79" s="139"/>
      <c r="AT79" s="139"/>
      <c r="AU79" s="139"/>
      <c r="AV79" s="139"/>
      <c r="AW79" s="139"/>
      <c r="AX79" s="139"/>
      <c r="AY79" s="139"/>
      <c r="AZ79" s="139"/>
      <c r="BA79" s="140"/>
      <c r="BB79" s="139"/>
      <c r="BC79" s="139"/>
      <c r="BD79" s="139"/>
      <c r="BE79" s="139"/>
      <c r="BF79" s="139"/>
      <c r="BG79" s="43"/>
      <c r="BK79" s="52" t="s">
        <v>461</v>
      </c>
      <c r="BL79" s="51" t="s">
        <v>208</v>
      </c>
    </row>
    <row r="80" spans="1:64">
      <c r="A80" s="681">
        <v>73</v>
      </c>
      <c r="B80" s="682"/>
      <c r="C80" s="59" t="str">
        <f t="shared" si="2"/>
        <v>pp10</v>
      </c>
      <c r="D80" s="139"/>
      <c r="E80" s="139"/>
      <c r="F80" s="139"/>
      <c r="G80" s="139"/>
      <c r="H80" s="139"/>
      <c r="I80" s="139"/>
      <c r="J80" s="139"/>
      <c r="K80" s="140"/>
      <c r="L80" s="36" t="s">
        <v>70</v>
      </c>
      <c r="M80" s="139"/>
      <c r="N80" s="139"/>
      <c r="O80" s="139"/>
      <c r="P80" s="139"/>
      <c r="Q80" s="139"/>
      <c r="R80" s="139"/>
      <c r="S80" s="139"/>
      <c r="T80" s="139"/>
      <c r="U80" s="683"/>
      <c r="V80" s="682"/>
      <c r="W80" s="684"/>
      <c r="X80" s="685"/>
      <c r="Y80" s="273" t="s">
        <v>16</v>
      </c>
      <c r="Z80" s="126"/>
      <c r="AA80" s="126"/>
      <c r="AB80" s="126"/>
      <c r="AC80" s="127"/>
      <c r="AD80" s="274">
        <v>64</v>
      </c>
      <c r="AE80" s="134"/>
      <c r="AF80" s="274">
        <v>0</v>
      </c>
      <c r="AG80" s="134"/>
      <c r="AH80" s="330" t="s">
        <v>1550</v>
      </c>
      <c r="AI80" s="139"/>
      <c r="AJ80" s="139"/>
      <c r="AK80" s="139"/>
      <c r="AL80" s="139"/>
      <c r="AM80" s="139"/>
      <c r="AN80" s="139"/>
      <c r="AO80" s="139"/>
      <c r="AP80" s="139"/>
      <c r="AQ80" s="139"/>
      <c r="AR80" s="139"/>
      <c r="AS80" s="139"/>
      <c r="AT80" s="139"/>
      <c r="AU80" s="139"/>
      <c r="AV80" s="139"/>
      <c r="AW80" s="139"/>
      <c r="AX80" s="139"/>
      <c r="AY80" s="139"/>
      <c r="AZ80" s="139"/>
      <c r="BA80" s="140"/>
      <c r="BB80" s="139"/>
      <c r="BC80" s="139"/>
      <c r="BD80" s="139"/>
      <c r="BE80" s="139"/>
      <c r="BF80" s="139"/>
      <c r="BG80" s="43"/>
      <c r="BK80" s="52" t="s">
        <v>27</v>
      </c>
      <c r="BL80" s="51" t="s">
        <v>514</v>
      </c>
    </row>
    <row r="81" spans="1:64">
      <c r="A81" s="681">
        <v>74</v>
      </c>
      <c r="B81" s="682"/>
      <c r="C81" s="397" t="s">
        <v>1465</v>
      </c>
      <c r="D81" s="398"/>
      <c r="E81" s="398"/>
      <c r="F81" s="398"/>
      <c r="G81" s="398"/>
      <c r="H81" s="398"/>
      <c r="I81" s="398"/>
      <c r="J81" s="398"/>
      <c r="K81" s="399"/>
      <c r="L81" s="462" t="s">
        <v>1471</v>
      </c>
      <c r="M81" s="458"/>
      <c r="N81" s="458"/>
      <c r="O81" s="458"/>
      <c r="P81" s="458"/>
      <c r="Q81" s="458"/>
      <c r="R81" s="458"/>
      <c r="S81" s="458"/>
      <c r="T81" s="458"/>
      <c r="U81" s="692"/>
      <c r="V81" s="693"/>
      <c r="W81" s="694"/>
      <c r="X81" s="695"/>
      <c r="Y81" s="406" t="s">
        <v>16</v>
      </c>
      <c r="Z81" s="407"/>
      <c r="AA81" s="407"/>
      <c r="AB81" s="407"/>
      <c r="AC81" s="408"/>
      <c r="AD81" s="404">
        <v>256</v>
      </c>
      <c r="AE81" s="405"/>
      <c r="AF81" s="404">
        <v>0</v>
      </c>
      <c r="AG81" s="405"/>
      <c r="AH81" s="330"/>
      <c r="AI81" s="334"/>
      <c r="AJ81" s="334"/>
      <c r="AK81" s="334"/>
      <c r="AL81" s="334"/>
      <c r="AM81" s="334"/>
      <c r="AN81" s="334"/>
      <c r="AO81" s="334"/>
      <c r="AP81" s="334"/>
      <c r="AQ81" s="334"/>
      <c r="AR81" s="334"/>
      <c r="AS81" s="334"/>
      <c r="AT81" s="334"/>
      <c r="AU81" s="334"/>
      <c r="AV81" s="334"/>
      <c r="AW81" s="334"/>
      <c r="AX81" s="334"/>
      <c r="AY81" s="334"/>
      <c r="AZ81" s="334"/>
      <c r="BA81" s="335"/>
      <c r="BB81" s="334"/>
      <c r="BC81" s="334"/>
      <c r="BD81" s="334"/>
      <c r="BE81" s="334"/>
      <c r="BF81" s="334"/>
      <c r="BG81" s="43"/>
      <c r="BK81" s="52" t="s">
        <v>28</v>
      </c>
      <c r="BL81" s="51" t="s">
        <v>515</v>
      </c>
    </row>
    <row r="82" spans="1:64">
      <c r="A82" s="681">
        <v>75</v>
      </c>
      <c r="B82" s="682"/>
      <c r="C82" s="397" t="s">
        <v>1466</v>
      </c>
      <c r="D82" s="398"/>
      <c r="E82" s="398"/>
      <c r="F82" s="398"/>
      <c r="G82" s="398"/>
      <c r="H82" s="398"/>
      <c r="I82" s="398"/>
      <c r="J82" s="398"/>
      <c r="K82" s="399"/>
      <c r="L82" s="462" t="s">
        <v>1472</v>
      </c>
      <c r="M82" s="458"/>
      <c r="N82" s="458"/>
      <c r="O82" s="458"/>
      <c r="P82" s="458"/>
      <c r="Q82" s="458"/>
      <c r="R82" s="458"/>
      <c r="S82" s="458"/>
      <c r="T82" s="458"/>
      <c r="U82" s="692"/>
      <c r="V82" s="693"/>
      <c r="W82" s="694"/>
      <c r="X82" s="695"/>
      <c r="Y82" s="406" t="s">
        <v>16</v>
      </c>
      <c r="Z82" s="407"/>
      <c r="AA82" s="407"/>
      <c r="AB82" s="407"/>
      <c r="AC82" s="408"/>
      <c r="AD82" s="404">
        <v>256</v>
      </c>
      <c r="AE82" s="405"/>
      <c r="AF82" s="404">
        <v>0</v>
      </c>
      <c r="AG82" s="405"/>
      <c r="AH82" s="330"/>
      <c r="AQ82" s="334"/>
      <c r="AR82" s="334"/>
      <c r="AS82" s="334"/>
      <c r="AT82" s="334"/>
      <c r="AU82" s="334"/>
      <c r="AV82" s="334"/>
      <c r="AW82" s="334"/>
      <c r="AX82" s="334"/>
      <c r="AY82" s="334"/>
      <c r="AZ82" s="334"/>
      <c r="BA82" s="335"/>
      <c r="BB82" s="334"/>
      <c r="BC82" s="334"/>
      <c r="BD82" s="334"/>
      <c r="BE82" s="334"/>
      <c r="BF82" s="334"/>
      <c r="BG82" s="43"/>
      <c r="BK82" s="52" t="s">
        <v>70</v>
      </c>
      <c r="BL82" s="51" t="s">
        <v>70</v>
      </c>
    </row>
    <row r="83" spans="1:64">
      <c r="A83" s="681">
        <v>76</v>
      </c>
      <c r="B83" s="682"/>
      <c r="C83" s="397" t="s">
        <v>1467</v>
      </c>
      <c r="D83" s="398"/>
      <c r="E83" s="398"/>
      <c r="F83" s="398"/>
      <c r="G83" s="398"/>
      <c r="H83" s="398"/>
      <c r="I83" s="398"/>
      <c r="J83" s="398"/>
      <c r="K83" s="399"/>
      <c r="L83" s="462" t="s">
        <v>1474</v>
      </c>
      <c r="M83" s="458"/>
      <c r="N83" s="458"/>
      <c r="O83" s="458"/>
      <c r="P83" s="458"/>
      <c r="Q83" s="458"/>
      <c r="R83" s="458"/>
      <c r="S83" s="458"/>
      <c r="T83" s="458"/>
      <c r="U83" s="692"/>
      <c r="V83" s="693"/>
      <c r="W83" s="694"/>
      <c r="X83" s="695"/>
      <c r="Y83" s="406" t="s">
        <v>16</v>
      </c>
      <c r="Z83" s="407"/>
      <c r="AA83" s="407"/>
      <c r="AB83" s="407"/>
      <c r="AC83" s="408"/>
      <c r="AD83" s="404">
        <v>256</v>
      </c>
      <c r="AE83" s="405"/>
      <c r="AF83" s="404">
        <v>0</v>
      </c>
      <c r="AG83" s="405"/>
      <c r="AH83" s="330" t="s">
        <v>1756</v>
      </c>
      <c r="AI83" s="334"/>
      <c r="AJ83" s="334"/>
      <c r="AK83" s="334"/>
      <c r="AL83" s="334"/>
      <c r="AM83" s="334"/>
      <c r="AN83" s="334"/>
      <c r="AO83" s="334"/>
      <c r="AP83" s="334"/>
      <c r="AQ83" s="334"/>
      <c r="AR83" s="334"/>
      <c r="AS83" s="334"/>
      <c r="AT83" s="334"/>
      <c r="AU83" s="334"/>
      <c r="AV83" s="334"/>
      <c r="AW83" s="334"/>
      <c r="AX83" s="334"/>
      <c r="AY83" s="334"/>
      <c r="AZ83" s="334"/>
      <c r="BA83" s="335"/>
      <c r="BB83" s="334"/>
      <c r="BC83" s="334"/>
      <c r="BD83" s="334"/>
      <c r="BE83" s="334"/>
      <c r="BF83" s="334"/>
      <c r="BG83" s="43"/>
      <c r="BK83" s="52" t="s">
        <v>98</v>
      </c>
      <c r="BL83" s="51" t="s">
        <v>516</v>
      </c>
    </row>
    <row r="84" spans="1:64">
      <c r="A84" s="681">
        <v>77</v>
      </c>
      <c r="B84" s="682"/>
      <c r="C84" s="397" t="s">
        <v>1468</v>
      </c>
      <c r="D84" s="398"/>
      <c r="E84" s="398"/>
      <c r="F84" s="398"/>
      <c r="G84" s="398"/>
      <c r="H84" s="398"/>
      <c r="I84" s="398"/>
      <c r="J84" s="398"/>
      <c r="K84" s="399"/>
      <c r="L84" s="1" t="s">
        <v>1475</v>
      </c>
      <c r="M84" s="331"/>
      <c r="N84" s="331"/>
      <c r="O84" s="331"/>
      <c r="P84" s="331"/>
      <c r="Q84" s="331"/>
      <c r="R84" s="331"/>
      <c r="S84" s="331"/>
      <c r="T84" s="331"/>
      <c r="U84" s="692"/>
      <c r="V84" s="693"/>
      <c r="W84" s="694"/>
      <c r="X84" s="695"/>
      <c r="Y84" s="406" t="s">
        <v>1258</v>
      </c>
      <c r="Z84" s="402"/>
      <c r="AA84" s="402"/>
      <c r="AB84" s="402"/>
      <c r="AC84" s="403"/>
      <c r="AD84" s="404">
        <v>19</v>
      </c>
      <c r="AE84" s="405"/>
      <c r="AF84" s="404">
        <v>6</v>
      </c>
      <c r="AG84" s="405"/>
      <c r="AH84" s="330" t="s">
        <v>1479</v>
      </c>
      <c r="AI84" s="334"/>
      <c r="AJ84" s="334"/>
      <c r="AK84" s="334"/>
      <c r="AL84" s="334"/>
      <c r="AM84" s="334"/>
      <c r="AN84" s="334"/>
      <c r="AO84" s="334"/>
      <c r="AP84" s="334"/>
      <c r="AQ84" s="334"/>
      <c r="AR84" s="334"/>
      <c r="AS84" s="334"/>
      <c r="AT84" s="334"/>
      <c r="AU84" s="334"/>
      <c r="AV84" s="334"/>
      <c r="AW84" s="334"/>
      <c r="AX84" s="334"/>
      <c r="AY84" s="334"/>
      <c r="AZ84" s="334"/>
      <c r="BA84" s="335"/>
      <c r="BB84" s="334"/>
      <c r="BC84" s="334"/>
      <c r="BD84" s="334"/>
      <c r="BE84" s="334"/>
      <c r="BF84" s="334"/>
      <c r="BG84" s="43"/>
      <c r="BK84" s="52" t="s">
        <v>108</v>
      </c>
      <c r="BL84" s="51" t="s">
        <v>248</v>
      </c>
    </row>
    <row r="85" spans="1:64">
      <c r="A85" s="681">
        <v>78</v>
      </c>
      <c r="B85" s="682"/>
      <c r="C85" s="397" t="s">
        <v>1469</v>
      </c>
      <c r="D85" s="398"/>
      <c r="E85" s="398"/>
      <c r="F85" s="398"/>
      <c r="G85" s="398"/>
      <c r="H85" s="398"/>
      <c r="I85" s="398"/>
      <c r="J85" s="398"/>
      <c r="K85" s="399"/>
      <c r="L85" s="1" t="s">
        <v>1476</v>
      </c>
      <c r="M85" s="331"/>
      <c r="N85" s="331"/>
      <c r="O85" s="331"/>
      <c r="P85" s="331"/>
      <c r="Q85" s="331"/>
      <c r="R85" s="331"/>
      <c r="S85" s="331"/>
      <c r="T85" s="331"/>
      <c r="U85" s="692"/>
      <c r="V85" s="693"/>
      <c r="W85" s="694"/>
      <c r="X85" s="695"/>
      <c r="Y85" s="406" t="s">
        <v>1258</v>
      </c>
      <c r="Z85" s="402"/>
      <c r="AA85" s="402"/>
      <c r="AB85" s="402"/>
      <c r="AC85" s="403"/>
      <c r="AD85" s="404">
        <v>19</v>
      </c>
      <c r="AE85" s="405"/>
      <c r="AF85" s="404">
        <v>6</v>
      </c>
      <c r="AG85" s="405"/>
      <c r="AH85" s="330" t="s">
        <v>1479</v>
      </c>
      <c r="AI85" s="334"/>
      <c r="AJ85" s="334"/>
      <c r="AK85" s="334"/>
      <c r="AL85" s="334"/>
      <c r="AM85" s="334"/>
      <c r="AN85" s="334"/>
      <c r="AO85" s="334"/>
      <c r="AP85" s="334"/>
      <c r="AQ85" s="334"/>
      <c r="AR85" s="334"/>
      <c r="AS85" s="334"/>
      <c r="AT85" s="334"/>
      <c r="AU85" s="334"/>
      <c r="AV85" s="334"/>
      <c r="AW85" s="334"/>
      <c r="AX85" s="334"/>
      <c r="AY85" s="334"/>
      <c r="AZ85" s="334"/>
      <c r="BA85" s="335"/>
      <c r="BB85" s="334"/>
      <c r="BC85" s="334"/>
      <c r="BD85" s="334"/>
      <c r="BE85" s="334"/>
      <c r="BF85" s="334"/>
      <c r="BG85" s="43"/>
      <c r="BK85" s="52" t="s">
        <v>100</v>
      </c>
      <c r="BL85" s="51" t="s">
        <v>517</v>
      </c>
    </row>
    <row r="86" spans="1:64">
      <c r="A86" s="681">
        <v>79</v>
      </c>
      <c r="B86" s="682"/>
      <c r="C86" s="397" t="s">
        <v>1470</v>
      </c>
      <c r="D86" s="230"/>
      <c r="E86" s="230"/>
      <c r="F86" s="230"/>
      <c r="G86" s="230"/>
      <c r="H86" s="230"/>
      <c r="I86" s="230"/>
      <c r="J86" s="230"/>
      <c r="K86" s="238"/>
      <c r="L86" s="1" t="s">
        <v>1477</v>
      </c>
      <c r="M86" s="334"/>
      <c r="N86" s="334"/>
      <c r="O86" s="334"/>
      <c r="P86" s="334"/>
      <c r="Q86" s="334"/>
      <c r="R86" s="334"/>
      <c r="S86" s="334"/>
      <c r="T86" s="334"/>
      <c r="U86" s="683"/>
      <c r="V86" s="682"/>
      <c r="W86" s="684"/>
      <c r="X86" s="685"/>
      <c r="Y86" s="401" t="s">
        <v>16</v>
      </c>
      <c r="Z86" s="402"/>
      <c r="AA86" s="402"/>
      <c r="AB86" s="402"/>
      <c r="AC86" s="403"/>
      <c r="AD86" s="404">
        <v>64</v>
      </c>
      <c r="AE86" s="405"/>
      <c r="AF86" s="404">
        <v>0</v>
      </c>
      <c r="AG86" s="405"/>
      <c r="AH86" s="333"/>
      <c r="AI86" s="334"/>
      <c r="AJ86" s="334"/>
      <c r="AK86" s="334"/>
      <c r="AL86" s="334"/>
      <c r="AM86" s="334"/>
      <c r="AN86" s="334"/>
      <c r="AO86" s="334"/>
      <c r="AP86" s="334"/>
      <c r="AQ86" s="334"/>
      <c r="AR86" s="334"/>
      <c r="AS86" s="334"/>
      <c r="AT86" s="334"/>
      <c r="AU86" s="334"/>
      <c r="AV86" s="334"/>
      <c r="AW86" s="334"/>
      <c r="AX86" s="334"/>
      <c r="AY86" s="334"/>
      <c r="AZ86" s="334"/>
      <c r="BA86" s="335"/>
      <c r="BB86" s="334"/>
      <c r="BC86" s="334"/>
      <c r="BD86" s="334"/>
      <c r="BE86" s="334"/>
      <c r="BF86" s="334"/>
      <c r="BG86" s="43"/>
      <c r="BK86" s="52" t="s">
        <v>101</v>
      </c>
      <c r="BL86" s="51" t="s">
        <v>518</v>
      </c>
    </row>
    <row r="87" spans="1:64">
      <c r="A87" s="681">
        <v>80</v>
      </c>
      <c r="B87" s="682"/>
      <c r="C87" s="457" t="str">
        <f t="shared" ref="C87:C102" si="3">VLOOKUP(L87,$BK$7:$BL$276,2,FALSE)</f>
        <v>评审状态</v>
      </c>
      <c r="D87" s="460"/>
      <c r="E87" s="460"/>
      <c r="F87" s="460"/>
      <c r="G87" s="460"/>
      <c r="H87" s="460"/>
      <c r="I87" s="460"/>
      <c r="J87" s="460"/>
      <c r="K87" s="461"/>
      <c r="L87" s="36" t="s">
        <v>398</v>
      </c>
      <c r="M87" s="139"/>
      <c r="N87" s="139"/>
      <c r="O87" s="139"/>
      <c r="P87" s="139"/>
      <c r="Q87" s="139"/>
      <c r="R87" s="139"/>
      <c r="S87" s="139"/>
      <c r="T87" s="139"/>
      <c r="U87" s="683"/>
      <c r="V87" s="682"/>
      <c r="W87" s="684"/>
      <c r="X87" s="685"/>
      <c r="Y87" s="273" t="s">
        <v>16</v>
      </c>
      <c r="Z87" s="126"/>
      <c r="AA87" s="126"/>
      <c r="AB87" s="126"/>
      <c r="AC87" s="127"/>
      <c r="AD87" s="274">
        <v>32</v>
      </c>
      <c r="AE87" s="134"/>
      <c r="AF87" s="274">
        <v>0</v>
      </c>
      <c r="AG87" s="134"/>
      <c r="AH87" s="330" t="s">
        <v>1760</v>
      </c>
      <c r="AI87" s="139"/>
      <c r="AJ87" s="139"/>
      <c r="AK87" s="139"/>
      <c r="AL87" s="139"/>
      <c r="AM87" s="139"/>
      <c r="AN87" s="139"/>
      <c r="AO87" s="139"/>
      <c r="AP87" s="139"/>
      <c r="AQ87" s="139"/>
      <c r="AR87" s="139"/>
      <c r="AS87" s="139"/>
      <c r="AT87" s="139"/>
      <c r="AU87" s="139"/>
      <c r="AV87" s="139"/>
      <c r="AW87" s="139"/>
      <c r="AX87" s="139"/>
      <c r="AY87" s="139"/>
      <c r="AZ87" s="139"/>
      <c r="BA87" s="140"/>
      <c r="BB87" s="139"/>
      <c r="BC87" s="139"/>
      <c r="BD87" s="139"/>
      <c r="BE87" s="139"/>
      <c r="BF87" s="139"/>
      <c r="BG87" s="43"/>
      <c r="BK87" s="52" t="s">
        <v>404</v>
      </c>
      <c r="BL87" s="51" t="s">
        <v>519</v>
      </c>
    </row>
    <row r="88" spans="1:64">
      <c r="A88" s="681">
        <v>81</v>
      </c>
      <c r="B88" s="682"/>
      <c r="C88" s="59" t="str">
        <f t="shared" si="3"/>
        <v>最后编辑时间</v>
      </c>
      <c r="D88" s="139"/>
      <c r="E88" s="139"/>
      <c r="F88" s="139"/>
      <c r="G88" s="139"/>
      <c r="H88" s="139"/>
      <c r="I88" s="139"/>
      <c r="J88" s="139"/>
      <c r="K88" s="140"/>
      <c r="L88" s="36" t="s">
        <v>30</v>
      </c>
      <c r="M88" s="139"/>
      <c r="N88" s="139"/>
      <c r="O88" s="139"/>
      <c r="P88" s="139"/>
      <c r="Q88" s="139"/>
      <c r="R88" s="139"/>
      <c r="S88" s="139"/>
      <c r="T88" s="139"/>
      <c r="U88" s="683"/>
      <c r="V88" s="682"/>
      <c r="W88" s="684"/>
      <c r="X88" s="685"/>
      <c r="Y88" s="273" t="s">
        <v>17</v>
      </c>
      <c r="Z88" s="126"/>
      <c r="AA88" s="126"/>
      <c r="AB88" s="126"/>
      <c r="AC88" s="127"/>
      <c r="AD88" s="274"/>
      <c r="AE88" s="134"/>
      <c r="AF88" s="274"/>
      <c r="AG88" s="134"/>
      <c r="AH88" s="330" t="s">
        <v>1286</v>
      </c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40"/>
      <c r="BB88" s="139"/>
      <c r="BC88" s="139"/>
      <c r="BD88" s="139"/>
      <c r="BE88" s="139"/>
      <c r="BF88" s="139"/>
      <c r="BG88" s="43"/>
      <c r="BK88" s="52" t="s">
        <v>177</v>
      </c>
      <c r="BL88" s="52" t="s">
        <v>177</v>
      </c>
    </row>
    <row r="89" spans="1:64">
      <c r="A89" s="681">
        <v>82</v>
      </c>
      <c r="B89" s="682"/>
      <c r="C89" s="59" t="str">
        <f t="shared" si="3"/>
        <v>甲方地址</v>
      </c>
      <c r="D89" s="139"/>
      <c r="E89" s="139"/>
      <c r="F89" s="139"/>
      <c r="G89" s="139"/>
      <c r="H89" s="139"/>
      <c r="I89" s="139"/>
      <c r="J89" s="139"/>
      <c r="K89" s="140"/>
      <c r="L89" s="36" t="s">
        <v>399</v>
      </c>
      <c r="M89" s="139"/>
      <c r="N89" s="139"/>
      <c r="O89" s="139"/>
      <c r="P89" s="139"/>
      <c r="Q89" s="139"/>
      <c r="R89" s="139"/>
      <c r="S89" s="139"/>
      <c r="T89" s="139"/>
      <c r="U89" s="683"/>
      <c r="V89" s="682"/>
      <c r="W89" s="684"/>
      <c r="X89" s="685"/>
      <c r="Y89" s="273" t="s">
        <v>16</v>
      </c>
      <c r="Z89" s="126"/>
      <c r="AA89" s="126"/>
      <c r="AB89" s="126"/>
      <c r="AC89" s="127"/>
      <c r="AD89" s="274">
        <v>100</v>
      </c>
      <c r="AE89" s="134"/>
      <c r="AF89" s="274">
        <v>0</v>
      </c>
      <c r="AG89" s="134"/>
      <c r="AH89" s="138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40"/>
      <c r="BB89" s="139"/>
      <c r="BC89" s="139"/>
      <c r="BD89" s="139"/>
      <c r="BE89" s="139"/>
      <c r="BF89" s="139"/>
      <c r="BG89" s="43"/>
      <c r="BK89" s="52" t="s">
        <v>109</v>
      </c>
      <c r="BL89" s="51" t="s">
        <v>221</v>
      </c>
    </row>
    <row r="90" spans="1:64">
      <c r="A90" s="681">
        <v>83</v>
      </c>
      <c r="B90" s="682"/>
      <c r="C90" s="669" t="str">
        <f t="shared" si="3"/>
        <v>设计单位电话</v>
      </c>
      <c r="D90" s="670"/>
      <c r="E90" s="670"/>
      <c r="F90" s="670"/>
      <c r="G90" s="670"/>
      <c r="H90" s="670"/>
      <c r="I90" s="670"/>
      <c r="J90" s="670"/>
      <c r="K90" s="671"/>
      <c r="L90" s="36" t="s">
        <v>400</v>
      </c>
      <c r="M90" s="139"/>
      <c r="N90" s="139"/>
      <c r="O90" s="139"/>
      <c r="P90" s="139"/>
      <c r="Q90" s="139"/>
      <c r="R90" s="139"/>
      <c r="S90" s="139"/>
      <c r="T90" s="139"/>
      <c r="U90" s="683"/>
      <c r="V90" s="682"/>
      <c r="W90" s="684"/>
      <c r="X90" s="685"/>
      <c r="Y90" s="273" t="s">
        <v>16</v>
      </c>
      <c r="Z90" s="126"/>
      <c r="AA90" s="126"/>
      <c r="AB90" s="126"/>
      <c r="AC90" s="127"/>
      <c r="AD90" s="274">
        <v>64</v>
      </c>
      <c r="AE90" s="134"/>
      <c r="AF90" s="274">
        <v>0</v>
      </c>
      <c r="AG90" s="134"/>
      <c r="AH90" s="138"/>
      <c r="AI90" s="139"/>
      <c r="AJ90" s="139"/>
      <c r="AK90" s="139"/>
      <c r="AL90" s="139"/>
      <c r="AM90" s="139"/>
      <c r="AN90" s="139"/>
      <c r="AO90" s="139"/>
      <c r="AP90" s="139"/>
      <c r="AQ90" s="139"/>
      <c r="AR90" s="139"/>
      <c r="AS90" s="139"/>
      <c r="AT90" s="139"/>
      <c r="AU90" s="139"/>
      <c r="AV90" s="139"/>
      <c r="AW90" s="139"/>
      <c r="AX90" s="139"/>
      <c r="AY90" s="139"/>
      <c r="AZ90" s="139"/>
      <c r="BA90" s="140"/>
      <c r="BB90" s="139"/>
      <c r="BC90" s="139"/>
      <c r="BD90" s="139"/>
      <c r="BE90" s="139"/>
      <c r="BF90" s="139"/>
      <c r="BG90" s="43"/>
      <c r="BK90" s="52" t="s">
        <v>110</v>
      </c>
      <c r="BL90" s="51" t="s">
        <v>222</v>
      </c>
    </row>
    <row r="91" spans="1:64">
      <c r="A91" s="681">
        <v>84</v>
      </c>
      <c r="B91" s="682"/>
      <c r="C91" s="669" t="str">
        <f t="shared" si="3"/>
        <v>当前合同总造价（万元）</v>
      </c>
      <c r="D91" s="670"/>
      <c r="E91" s="670"/>
      <c r="F91" s="670"/>
      <c r="G91" s="670"/>
      <c r="H91" s="670"/>
      <c r="I91" s="670"/>
      <c r="J91" s="670"/>
      <c r="K91" s="671"/>
      <c r="L91" s="36" t="s">
        <v>401</v>
      </c>
      <c r="M91" s="139"/>
      <c r="N91" s="139"/>
      <c r="O91" s="139"/>
      <c r="P91" s="139"/>
      <c r="Q91" s="139"/>
      <c r="R91" s="139"/>
      <c r="S91" s="139"/>
      <c r="T91" s="139"/>
      <c r="U91" s="683"/>
      <c r="V91" s="682"/>
      <c r="W91" s="684"/>
      <c r="X91" s="685"/>
      <c r="Y91" s="350" t="s">
        <v>1262</v>
      </c>
      <c r="Z91" s="126"/>
      <c r="AA91" s="126"/>
      <c r="AB91" s="126"/>
      <c r="AC91" s="127"/>
      <c r="AD91" s="274">
        <v>19</v>
      </c>
      <c r="AE91" s="134"/>
      <c r="AF91" s="274">
        <v>6</v>
      </c>
      <c r="AG91" s="134"/>
      <c r="AH91" s="330" t="s">
        <v>1264</v>
      </c>
      <c r="AI91" s="139"/>
      <c r="AJ91" s="139"/>
      <c r="AK91" s="139"/>
      <c r="AL91" s="139"/>
      <c r="AM91" s="139"/>
      <c r="AN91" s="139"/>
      <c r="AO91" s="139"/>
      <c r="AP91" s="139"/>
      <c r="AQ91" s="139"/>
      <c r="AR91" s="139"/>
      <c r="AS91" s="139"/>
      <c r="AT91" s="139"/>
      <c r="AU91" s="139"/>
      <c r="AV91" s="139"/>
      <c r="AW91" s="139"/>
      <c r="AX91" s="139"/>
      <c r="AY91" s="139"/>
      <c r="AZ91" s="139"/>
      <c r="BA91" s="140"/>
      <c r="BB91" s="139"/>
      <c r="BC91" s="139"/>
      <c r="BD91" s="139"/>
      <c r="BE91" s="139"/>
      <c r="BF91" s="139"/>
      <c r="BG91" s="43"/>
      <c r="BK91" s="52" t="s">
        <v>111</v>
      </c>
      <c r="BL91" s="51" t="s">
        <v>223</v>
      </c>
    </row>
    <row r="92" spans="1:64">
      <c r="A92" s="681">
        <v>85</v>
      </c>
      <c r="B92" s="682"/>
      <c r="C92" s="669" t="str">
        <f>VLOOKUP(L92,$BK$7:$BL$276,2,FALSE)</f>
        <v>设计单位地址</v>
      </c>
      <c r="D92" s="670"/>
      <c r="E92" s="670"/>
      <c r="F92" s="670"/>
      <c r="G92" s="670"/>
      <c r="H92" s="670"/>
      <c r="I92" s="670"/>
      <c r="J92" s="670"/>
      <c r="K92" s="671"/>
      <c r="L92" s="36" t="s">
        <v>402</v>
      </c>
      <c r="M92" s="139"/>
      <c r="N92" s="139"/>
      <c r="O92" s="139"/>
      <c r="P92" s="139"/>
      <c r="Q92" s="139"/>
      <c r="R92" s="139"/>
      <c r="S92" s="139"/>
      <c r="T92" s="139"/>
      <c r="U92" s="683"/>
      <c r="V92" s="682"/>
      <c r="W92" s="684"/>
      <c r="X92" s="685"/>
      <c r="Y92" s="273" t="s">
        <v>16</v>
      </c>
      <c r="Z92" s="126"/>
      <c r="AA92" s="126"/>
      <c r="AB92" s="126"/>
      <c r="AC92" s="127"/>
      <c r="AD92" s="274">
        <v>512</v>
      </c>
      <c r="AE92" s="134"/>
      <c r="AF92" s="274">
        <v>0</v>
      </c>
      <c r="AG92" s="134"/>
      <c r="AH92" s="138"/>
      <c r="AI92" s="139"/>
      <c r="AJ92" s="139"/>
      <c r="AK92" s="139"/>
      <c r="AL92" s="139"/>
      <c r="AM92" s="139"/>
      <c r="AN92" s="139"/>
      <c r="AO92" s="139"/>
      <c r="AP92" s="139"/>
      <c r="AQ92" s="139"/>
      <c r="AR92" s="139"/>
      <c r="AS92" s="139"/>
      <c r="AT92" s="139"/>
      <c r="AU92" s="139"/>
      <c r="AV92" s="139"/>
      <c r="AW92" s="139"/>
      <c r="AX92" s="139"/>
      <c r="AY92" s="139"/>
      <c r="AZ92" s="139"/>
      <c r="BA92" s="140"/>
      <c r="BB92" s="139"/>
      <c r="BC92" s="139"/>
      <c r="BD92" s="139"/>
      <c r="BE92" s="139"/>
      <c r="BF92" s="139"/>
      <c r="BG92" s="43"/>
      <c r="BK92" s="52" t="s">
        <v>112</v>
      </c>
      <c r="BL92" s="51" t="s">
        <v>224</v>
      </c>
    </row>
    <row r="93" spans="1:64">
      <c r="A93" s="681">
        <v>86</v>
      </c>
      <c r="B93" s="682"/>
      <c r="C93" s="669" t="str">
        <f t="shared" si="3"/>
        <v>监理单位电话:监理单位地址</v>
      </c>
      <c r="D93" s="674"/>
      <c r="E93" s="674"/>
      <c r="F93" s="674"/>
      <c r="G93" s="674"/>
      <c r="H93" s="674"/>
      <c r="I93" s="674"/>
      <c r="J93" s="674"/>
      <c r="K93" s="675"/>
      <c r="L93" s="36" t="s">
        <v>403</v>
      </c>
      <c r="M93" s="139"/>
      <c r="N93" s="139"/>
      <c r="O93" s="139"/>
      <c r="P93" s="139"/>
      <c r="Q93" s="139"/>
      <c r="R93" s="139"/>
      <c r="S93" s="139"/>
      <c r="T93" s="139"/>
      <c r="U93" s="683"/>
      <c r="V93" s="682"/>
      <c r="W93" s="684"/>
      <c r="X93" s="685"/>
      <c r="Y93" s="273" t="s">
        <v>16</v>
      </c>
      <c r="Z93" s="126"/>
      <c r="AA93" s="126"/>
      <c r="AB93" s="126"/>
      <c r="AC93" s="127"/>
      <c r="AD93" s="274">
        <v>512</v>
      </c>
      <c r="AE93" s="134"/>
      <c r="AF93" s="274">
        <v>0</v>
      </c>
      <c r="AG93" s="134"/>
      <c r="AH93" s="138"/>
      <c r="AI93" s="139"/>
      <c r="AJ93" s="139"/>
      <c r="AK93" s="139"/>
      <c r="AL93" s="139"/>
      <c r="AM93" s="139"/>
      <c r="AN93" s="139"/>
      <c r="AO93" s="139"/>
      <c r="AP93" s="139"/>
      <c r="AQ93" s="139"/>
      <c r="AR93" s="139"/>
      <c r="AS93" s="139"/>
      <c r="AT93" s="139"/>
      <c r="AU93" s="139"/>
      <c r="AV93" s="139"/>
      <c r="AW93" s="139"/>
      <c r="AX93" s="139"/>
      <c r="AY93" s="139"/>
      <c r="AZ93" s="139"/>
      <c r="BA93" s="140"/>
      <c r="BB93" s="139"/>
      <c r="BC93" s="139"/>
      <c r="BD93" s="139"/>
      <c r="BE93" s="139"/>
      <c r="BF93" s="139"/>
      <c r="BG93" s="43"/>
      <c r="BK93" s="52" t="s">
        <v>113</v>
      </c>
      <c r="BL93" s="51" t="s">
        <v>225</v>
      </c>
    </row>
    <row r="94" spans="1:64">
      <c r="A94" s="681">
        <v>87</v>
      </c>
      <c r="B94" s="682"/>
      <c r="C94" s="59" t="str">
        <f t="shared" si="3"/>
        <v>name</v>
      </c>
      <c r="D94" s="139"/>
      <c r="E94" s="139"/>
      <c r="F94" s="139"/>
      <c r="G94" s="139"/>
      <c r="H94" s="139"/>
      <c r="I94" s="139"/>
      <c r="J94" s="139"/>
      <c r="K94" s="140"/>
      <c r="L94" s="36" t="s">
        <v>73</v>
      </c>
      <c r="M94" s="139"/>
      <c r="N94" s="139"/>
      <c r="O94" s="139"/>
      <c r="P94" s="139"/>
      <c r="Q94" s="139"/>
      <c r="R94" s="139"/>
      <c r="S94" s="139"/>
      <c r="T94" s="139"/>
      <c r="U94" s="683"/>
      <c r="V94" s="682"/>
      <c r="W94" s="684"/>
      <c r="X94" s="685"/>
      <c r="Y94" s="273" t="s">
        <v>16</v>
      </c>
      <c r="Z94" s="126"/>
      <c r="AA94" s="126"/>
      <c r="AB94" s="126"/>
      <c r="AC94" s="127"/>
      <c r="AD94" s="274">
        <v>5</v>
      </c>
      <c r="AE94" s="134"/>
      <c r="AF94" s="274">
        <v>0</v>
      </c>
      <c r="AG94" s="134"/>
      <c r="AH94" s="138"/>
      <c r="AI94" s="139"/>
      <c r="AJ94" s="139"/>
      <c r="AK94" s="139"/>
      <c r="AL94" s="139"/>
      <c r="AM94" s="139"/>
      <c r="AN94" s="139"/>
      <c r="AO94" s="139"/>
      <c r="AP94" s="139"/>
      <c r="AQ94" s="139"/>
      <c r="AR94" s="139"/>
      <c r="AS94" s="139"/>
      <c r="AT94" s="139"/>
      <c r="AU94" s="139"/>
      <c r="AV94" s="139"/>
      <c r="AW94" s="139"/>
      <c r="AX94" s="139"/>
      <c r="AY94" s="139"/>
      <c r="AZ94" s="139"/>
      <c r="BA94" s="140"/>
      <c r="BB94" s="139"/>
      <c r="BC94" s="139"/>
      <c r="BD94" s="139"/>
      <c r="BE94" s="139"/>
      <c r="BF94" s="139"/>
      <c r="BG94" s="43"/>
      <c r="BK94" s="52" t="s">
        <v>1592</v>
      </c>
      <c r="BL94" s="51" t="s">
        <v>520</v>
      </c>
    </row>
    <row r="95" spans="1:64">
      <c r="A95" s="681">
        <v>88</v>
      </c>
      <c r="B95" s="682"/>
      <c r="C95" s="59" t="str">
        <f t="shared" si="3"/>
        <v>机构编码</v>
      </c>
      <c r="D95" s="142"/>
      <c r="E95" s="142"/>
      <c r="F95" s="142"/>
      <c r="G95" s="142"/>
      <c r="H95" s="142"/>
      <c r="I95" s="142"/>
      <c r="J95" s="142"/>
      <c r="K95" s="143"/>
      <c r="L95" s="1" t="s">
        <v>74</v>
      </c>
      <c r="M95" s="142"/>
      <c r="N95" s="142"/>
      <c r="O95" s="142"/>
      <c r="P95" s="142"/>
      <c r="Q95" s="142"/>
      <c r="R95" s="142"/>
      <c r="S95" s="142"/>
      <c r="T95" s="142"/>
      <c r="U95" s="692"/>
      <c r="V95" s="693"/>
      <c r="W95" s="694"/>
      <c r="X95" s="695"/>
      <c r="Y95" s="275" t="s">
        <v>16</v>
      </c>
      <c r="Z95" s="131"/>
      <c r="AA95" s="131"/>
      <c r="AB95" s="131"/>
      <c r="AC95" s="132"/>
      <c r="AD95" s="274">
        <v>56</v>
      </c>
      <c r="AE95" s="134"/>
      <c r="AF95" s="274">
        <v>0</v>
      </c>
      <c r="AG95" s="134"/>
      <c r="AH95" s="141"/>
      <c r="AI95" s="139"/>
      <c r="AJ95" s="139"/>
      <c r="AK95" s="139"/>
      <c r="AL95" s="139"/>
      <c r="AM95" s="139"/>
      <c r="AN95" s="139"/>
      <c r="AO95" s="139"/>
      <c r="AP95" s="139"/>
      <c r="AQ95" s="139"/>
      <c r="AR95" s="139"/>
      <c r="AS95" s="139"/>
      <c r="AT95" s="139"/>
      <c r="AU95" s="139"/>
      <c r="AV95" s="139"/>
      <c r="AW95" s="139"/>
      <c r="AX95" s="139"/>
      <c r="AY95" s="139"/>
      <c r="AZ95" s="139"/>
      <c r="BA95" s="140"/>
      <c r="BB95" s="48"/>
      <c r="BC95" s="48"/>
      <c r="BD95" s="48"/>
      <c r="BE95" s="48"/>
      <c r="BF95" s="48"/>
      <c r="BG95" s="49"/>
      <c r="BK95" s="52" t="s">
        <v>462</v>
      </c>
      <c r="BL95" s="51" t="s">
        <v>521</v>
      </c>
    </row>
    <row r="96" spans="1:64">
      <c r="A96" s="681">
        <v>89</v>
      </c>
      <c r="B96" s="682"/>
      <c r="C96" s="59" t="str">
        <f t="shared" si="3"/>
        <v>承建单位简称</v>
      </c>
      <c r="D96" s="142"/>
      <c r="E96" s="142"/>
      <c r="F96" s="142"/>
      <c r="G96" s="142"/>
      <c r="H96" s="142"/>
      <c r="I96" s="142"/>
      <c r="J96" s="142"/>
      <c r="K96" s="143"/>
      <c r="L96" s="1" t="s">
        <v>75</v>
      </c>
      <c r="M96" s="142"/>
      <c r="N96" s="142"/>
      <c r="O96" s="142"/>
      <c r="P96" s="142"/>
      <c r="Q96" s="142"/>
      <c r="R96" s="142"/>
      <c r="S96" s="142"/>
      <c r="T96" s="142"/>
      <c r="U96" s="692"/>
      <c r="V96" s="693"/>
      <c r="W96" s="694"/>
      <c r="X96" s="695"/>
      <c r="Y96" s="275" t="s">
        <v>16</v>
      </c>
      <c r="Z96" s="131"/>
      <c r="AA96" s="131"/>
      <c r="AB96" s="131"/>
      <c r="AC96" s="132"/>
      <c r="AD96" s="274">
        <v>20</v>
      </c>
      <c r="AE96" s="134"/>
      <c r="AF96" s="274">
        <v>0</v>
      </c>
      <c r="AG96" s="134"/>
      <c r="AH96" s="141"/>
      <c r="AI96" s="139"/>
      <c r="AJ96" s="139"/>
      <c r="AK96" s="139"/>
      <c r="AL96" s="139"/>
      <c r="AM96" s="139"/>
      <c r="AN96" s="139"/>
      <c r="AO96" s="139"/>
      <c r="AP96" s="139"/>
      <c r="AQ96" s="139"/>
      <c r="AR96" s="139"/>
      <c r="AS96" s="139"/>
      <c r="AT96" s="139"/>
      <c r="AU96" s="139"/>
      <c r="AV96" s="139"/>
      <c r="AW96" s="139"/>
      <c r="AX96" s="139"/>
      <c r="AY96" s="139"/>
      <c r="AZ96" s="139"/>
      <c r="BA96" s="140"/>
      <c r="BB96" s="139"/>
      <c r="BC96" s="139"/>
      <c r="BD96" s="139"/>
      <c r="BE96" s="139"/>
      <c r="BF96" s="139"/>
      <c r="BG96" s="43"/>
      <c r="BK96" s="52" t="s">
        <v>99</v>
      </c>
      <c r="BL96" s="51" t="s">
        <v>249</v>
      </c>
    </row>
    <row r="97" spans="1:64">
      <c r="A97" s="681">
        <v>90</v>
      </c>
      <c r="B97" s="682"/>
      <c r="C97" s="59" t="str">
        <f t="shared" si="3"/>
        <v>中标单位简称</v>
      </c>
      <c r="D97" s="142"/>
      <c r="E97" s="142"/>
      <c r="F97" s="142"/>
      <c r="G97" s="142"/>
      <c r="H97" s="142"/>
      <c r="I97" s="142"/>
      <c r="J97" s="142"/>
      <c r="K97" s="143"/>
      <c r="L97" s="1" t="s">
        <v>76</v>
      </c>
      <c r="M97" s="142"/>
      <c r="N97" s="142"/>
      <c r="O97" s="142"/>
      <c r="P97" s="142"/>
      <c r="Q97" s="142"/>
      <c r="R97" s="142"/>
      <c r="S97" s="142"/>
      <c r="T97" s="142"/>
      <c r="U97" s="692"/>
      <c r="V97" s="693"/>
      <c r="W97" s="694"/>
      <c r="X97" s="695"/>
      <c r="Y97" s="275" t="s">
        <v>16</v>
      </c>
      <c r="Z97" s="131"/>
      <c r="AA97" s="131"/>
      <c r="AB97" s="131"/>
      <c r="AC97" s="132"/>
      <c r="AD97" s="274">
        <v>20</v>
      </c>
      <c r="AE97" s="134"/>
      <c r="AF97" s="274">
        <v>0</v>
      </c>
      <c r="AG97" s="134"/>
      <c r="AH97" s="141"/>
      <c r="AQ97" s="139"/>
      <c r="AR97" s="139"/>
      <c r="AS97" s="139"/>
      <c r="AT97" s="139"/>
      <c r="AU97" s="139"/>
      <c r="AV97" s="139"/>
      <c r="AW97" s="139"/>
      <c r="AX97" s="139"/>
      <c r="AY97" s="139"/>
      <c r="AZ97" s="139"/>
      <c r="BA97" s="140"/>
      <c r="BB97" s="139"/>
      <c r="BC97" s="139"/>
      <c r="BD97" s="139"/>
      <c r="BE97" s="139"/>
      <c r="BF97" s="139"/>
      <c r="BG97" s="43"/>
      <c r="BK97" s="52" t="s">
        <v>104</v>
      </c>
      <c r="BL97" s="51" t="s">
        <v>250</v>
      </c>
    </row>
    <row r="98" spans="1:64">
      <c r="A98" s="681">
        <v>91</v>
      </c>
      <c r="B98" s="682"/>
      <c r="C98" s="457" t="str">
        <f t="shared" si="3"/>
        <v>项目所在省份简称</v>
      </c>
      <c r="D98" s="458"/>
      <c r="E98" s="458"/>
      <c r="F98" s="458"/>
      <c r="G98" s="458"/>
      <c r="H98" s="458"/>
      <c r="I98" s="458"/>
      <c r="J98" s="458"/>
      <c r="K98" s="459"/>
      <c r="L98" s="1" t="s">
        <v>77</v>
      </c>
      <c r="M98" s="142"/>
      <c r="N98" s="142"/>
      <c r="O98" s="142"/>
      <c r="P98" s="142"/>
      <c r="Q98" s="142"/>
      <c r="R98" s="142"/>
      <c r="S98" s="142"/>
      <c r="T98" s="142"/>
      <c r="U98" s="692"/>
      <c r="V98" s="693"/>
      <c r="W98" s="694"/>
      <c r="X98" s="695"/>
      <c r="Y98" s="275" t="s">
        <v>16</v>
      </c>
      <c r="Z98" s="131"/>
      <c r="AA98" s="131"/>
      <c r="AB98" s="131"/>
      <c r="AC98" s="132"/>
      <c r="AD98" s="274">
        <v>20</v>
      </c>
      <c r="AE98" s="134"/>
      <c r="AF98" s="274">
        <v>0</v>
      </c>
      <c r="AG98" s="134"/>
      <c r="AH98" s="141"/>
      <c r="AI98" s="139"/>
      <c r="AJ98" s="139"/>
      <c r="AK98" s="139"/>
      <c r="AL98" s="139"/>
      <c r="AM98" s="139"/>
      <c r="AN98" s="139"/>
      <c r="AO98" s="139"/>
      <c r="AP98" s="139"/>
      <c r="AQ98" s="139"/>
      <c r="AR98" s="139"/>
      <c r="AS98" s="139"/>
      <c r="AT98" s="139"/>
      <c r="AU98" s="139"/>
      <c r="AV98" s="139"/>
      <c r="AW98" s="139"/>
      <c r="AX98" s="139"/>
      <c r="AY98" s="139"/>
      <c r="AZ98" s="139"/>
      <c r="BA98" s="140"/>
      <c r="BB98" s="139"/>
      <c r="BC98" s="139"/>
      <c r="BD98" s="139"/>
      <c r="BE98" s="139"/>
      <c r="BF98" s="139"/>
      <c r="BG98" s="43"/>
      <c r="BK98" s="52" t="s">
        <v>451</v>
      </c>
      <c r="BL98" s="51" t="s">
        <v>522</v>
      </c>
    </row>
    <row r="99" spans="1:64">
      <c r="A99" s="681">
        <v>92</v>
      </c>
      <c r="B99" s="682"/>
      <c r="C99" s="59" t="str">
        <f t="shared" si="3"/>
        <v>项目简称</v>
      </c>
      <c r="D99" s="142"/>
      <c r="E99" s="142"/>
      <c r="F99" s="142"/>
      <c r="G99" s="142"/>
      <c r="H99" s="142"/>
      <c r="I99" s="142"/>
      <c r="J99" s="142"/>
      <c r="K99" s="143"/>
      <c r="L99" s="1" t="s">
        <v>78</v>
      </c>
      <c r="M99" s="142"/>
      <c r="N99" s="142"/>
      <c r="O99" s="142"/>
      <c r="P99" s="142"/>
      <c r="Q99" s="142"/>
      <c r="R99" s="142"/>
      <c r="S99" s="142"/>
      <c r="T99" s="142"/>
      <c r="U99" s="692"/>
      <c r="V99" s="693"/>
      <c r="W99" s="694"/>
      <c r="X99" s="695"/>
      <c r="Y99" s="275" t="s">
        <v>16</v>
      </c>
      <c r="Z99" s="131"/>
      <c r="AA99" s="131"/>
      <c r="AB99" s="131"/>
      <c r="AC99" s="132"/>
      <c r="AD99" s="274">
        <v>16</v>
      </c>
      <c r="AE99" s="134"/>
      <c r="AF99" s="274">
        <v>0</v>
      </c>
      <c r="AG99" s="134"/>
      <c r="AH99" s="141"/>
      <c r="AI99" s="139"/>
      <c r="AJ99" s="139"/>
      <c r="AK99" s="139"/>
      <c r="AL99" s="139"/>
      <c r="AM99" s="139"/>
      <c r="AN99" s="139"/>
      <c r="AO99" s="139"/>
      <c r="AP99" s="139"/>
      <c r="AQ99" s="139"/>
      <c r="AR99" s="139"/>
      <c r="AS99" s="139"/>
      <c r="AT99" s="139"/>
      <c r="AU99" s="139"/>
      <c r="AV99" s="139"/>
      <c r="AW99" s="139"/>
      <c r="AX99" s="139"/>
      <c r="AY99" s="139"/>
      <c r="AZ99" s="139"/>
      <c r="BA99" s="140"/>
      <c r="BB99" s="139"/>
      <c r="BC99" s="139"/>
      <c r="BD99" s="139"/>
      <c r="BE99" s="139"/>
      <c r="BF99" s="139"/>
      <c r="BG99" s="43"/>
      <c r="BK99" s="52" t="s">
        <v>452</v>
      </c>
      <c r="BL99" s="51" t="s">
        <v>523</v>
      </c>
    </row>
    <row r="100" spans="1:64">
      <c r="A100" s="681">
        <v>93</v>
      </c>
      <c r="B100" s="682"/>
      <c r="C100" s="59" t="str">
        <f t="shared" si="3"/>
        <v>标段号</v>
      </c>
      <c r="D100" s="142"/>
      <c r="E100" s="142"/>
      <c r="F100" s="142"/>
      <c r="G100" s="142"/>
      <c r="H100" s="142"/>
      <c r="I100" s="142"/>
      <c r="J100" s="142"/>
      <c r="K100" s="143"/>
      <c r="L100" s="1" t="s">
        <v>79</v>
      </c>
      <c r="M100" s="142"/>
      <c r="N100" s="142"/>
      <c r="O100" s="142"/>
      <c r="P100" s="142"/>
      <c r="Q100" s="142"/>
      <c r="R100" s="142"/>
      <c r="S100" s="142"/>
      <c r="T100" s="142"/>
      <c r="U100" s="692"/>
      <c r="V100" s="693"/>
      <c r="W100" s="694"/>
      <c r="X100" s="695"/>
      <c r="Y100" s="275" t="s">
        <v>16</v>
      </c>
      <c r="Z100" s="131"/>
      <c r="AA100" s="131"/>
      <c r="AB100" s="131"/>
      <c r="AC100" s="132"/>
      <c r="AD100" s="274">
        <v>4</v>
      </c>
      <c r="AE100" s="134"/>
      <c r="AF100" s="274">
        <v>0</v>
      </c>
      <c r="AG100" s="134"/>
      <c r="AH100" s="141"/>
      <c r="AI100" s="139"/>
      <c r="AJ100" s="139"/>
      <c r="AK100" s="139"/>
      <c r="AL100" s="139"/>
      <c r="AM100" s="139"/>
      <c r="AN100" s="139"/>
      <c r="AO100" s="139"/>
      <c r="AP100" s="139"/>
      <c r="AQ100" s="139"/>
      <c r="AR100" s="139"/>
      <c r="AS100" s="139"/>
      <c r="AT100" s="139"/>
      <c r="AU100" s="139"/>
      <c r="AV100" s="139"/>
      <c r="AW100" s="139"/>
      <c r="AX100" s="139"/>
      <c r="AY100" s="139"/>
      <c r="AZ100" s="139"/>
      <c r="BA100" s="140"/>
      <c r="BB100" s="139"/>
      <c r="BC100" s="139"/>
      <c r="BD100" s="139"/>
      <c r="BE100" s="139"/>
      <c r="BF100" s="139"/>
      <c r="BG100" s="43"/>
      <c r="BK100" s="52" t="s">
        <v>454</v>
      </c>
      <c r="BL100" s="51" t="s">
        <v>524</v>
      </c>
    </row>
    <row r="101" spans="1:64">
      <c r="A101" s="681">
        <v>94</v>
      </c>
      <c r="B101" s="682"/>
      <c r="C101" s="59" t="str">
        <f t="shared" si="3"/>
        <v>合同类别</v>
      </c>
      <c r="D101" s="139"/>
      <c r="E101" s="139"/>
      <c r="F101" s="139"/>
      <c r="G101" s="139"/>
      <c r="H101" s="139"/>
      <c r="I101" s="139"/>
      <c r="J101" s="139"/>
      <c r="K101" s="140"/>
      <c r="L101" s="36" t="s">
        <v>80</v>
      </c>
      <c r="M101" s="139"/>
      <c r="N101" s="139"/>
      <c r="O101" s="139"/>
      <c r="P101" s="139"/>
      <c r="Q101" s="139"/>
      <c r="R101" s="139"/>
      <c r="S101" s="139"/>
      <c r="T101" s="139"/>
      <c r="U101" s="683"/>
      <c r="V101" s="682"/>
      <c r="W101" s="684"/>
      <c r="X101" s="685"/>
      <c r="Y101" s="273" t="s">
        <v>16</v>
      </c>
      <c r="Z101" s="126"/>
      <c r="AA101" s="126"/>
      <c r="AB101" s="126"/>
      <c r="AC101" s="127"/>
      <c r="AD101" s="274">
        <v>20</v>
      </c>
      <c r="AE101" s="134"/>
      <c r="AF101" s="274">
        <v>0</v>
      </c>
      <c r="AG101" s="134"/>
      <c r="AH101" s="138"/>
      <c r="AI101" s="139"/>
      <c r="AJ101" s="139"/>
      <c r="AK101" s="139"/>
      <c r="AL101" s="139"/>
      <c r="AM101" s="139"/>
      <c r="AN101" s="139"/>
      <c r="AO101" s="139"/>
      <c r="AP101" s="139"/>
      <c r="AQ101" s="139"/>
      <c r="AR101" s="139"/>
      <c r="AS101" s="139"/>
      <c r="AT101" s="139"/>
      <c r="AU101" s="139"/>
      <c r="AV101" s="139"/>
      <c r="AW101" s="139"/>
      <c r="AX101" s="139"/>
      <c r="AY101" s="139"/>
      <c r="AZ101" s="139"/>
      <c r="BA101" s="140"/>
      <c r="BB101" s="139"/>
      <c r="BC101" s="139"/>
      <c r="BD101" s="139"/>
      <c r="BE101" s="139"/>
      <c r="BF101" s="139"/>
      <c r="BG101" s="43"/>
      <c r="BK101" s="52" t="s">
        <v>463</v>
      </c>
      <c r="BL101" s="51" t="s">
        <v>525</v>
      </c>
    </row>
    <row r="102" spans="1:64">
      <c r="A102" s="681">
        <v>95</v>
      </c>
      <c r="B102" s="682"/>
      <c r="C102" s="59" t="str">
        <f t="shared" si="3"/>
        <v>合同序号</v>
      </c>
      <c r="D102" s="139"/>
      <c r="E102" s="139"/>
      <c r="F102" s="139"/>
      <c r="G102" s="139"/>
      <c r="H102" s="139"/>
      <c r="I102" s="139"/>
      <c r="J102" s="139"/>
      <c r="K102" s="140"/>
      <c r="L102" s="36" t="s">
        <v>81</v>
      </c>
      <c r="M102" s="139"/>
      <c r="N102" s="139"/>
      <c r="O102" s="139"/>
      <c r="P102" s="139"/>
      <c r="Q102" s="139"/>
      <c r="R102" s="139"/>
      <c r="S102" s="139"/>
      <c r="T102" s="139"/>
      <c r="U102" s="683"/>
      <c r="V102" s="682"/>
      <c r="W102" s="684"/>
      <c r="X102" s="685"/>
      <c r="Y102" s="273" t="s">
        <v>16</v>
      </c>
      <c r="Z102" s="126"/>
      <c r="AA102" s="126"/>
      <c r="AB102" s="126"/>
      <c r="AC102" s="127"/>
      <c r="AD102" s="274">
        <v>6</v>
      </c>
      <c r="AE102" s="134"/>
      <c r="AF102" s="274">
        <v>0</v>
      </c>
      <c r="AG102" s="134"/>
      <c r="AH102" s="138"/>
      <c r="AI102" s="139"/>
      <c r="AJ102" s="139"/>
      <c r="AK102" s="139"/>
      <c r="AL102" s="139"/>
      <c r="AM102" s="139"/>
      <c r="AN102" s="139"/>
      <c r="AO102" s="139"/>
      <c r="AP102" s="139"/>
      <c r="AQ102" s="139"/>
      <c r="AR102" s="139"/>
      <c r="AS102" s="139"/>
      <c r="AT102" s="139"/>
      <c r="AU102" s="139"/>
      <c r="AV102" s="139"/>
      <c r="AW102" s="139"/>
      <c r="AX102" s="139"/>
      <c r="AY102" s="139"/>
      <c r="AZ102" s="139"/>
      <c r="BA102" s="140"/>
      <c r="BB102" s="139"/>
      <c r="BC102" s="139"/>
      <c r="BD102" s="139"/>
      <c r="BE102" s="139"/>
      <c r="BF102" s="139"/>
      <c r="BG102" s="43"/>
      <c r="BK102" s="52" t="s">
        <v>84</v>
      </c>
      <c r="BL102" s="51" t="s">
        <v>526</v>
      </c>
    </row>
    <row r="103" spans="1:64">
      <c r="A103" s="681">
        <v>96</v>
      </c>
      <c r="B103" s="682"/>
      <c r="C103" s="386" t="s">
        <v>1512</v>
      </c>
      <c r="D103" s="387"/>
      <c r="E103" s="387"/>
      <c r="F103" s="387"/>
      <c r="G103" s="387"/>
      <c r="H103" s="387"/>
      <c r="I103" s="387"/>
      <c r="J103" s="387"/>
      <c r="K103" s="388"/>
      <c r="L103" s="1" t="s">
        <v>1509</v>
      </c>
      <c r="M103" s="139"/>
      <c r="N103" s="139"/>
      <c r="O103" s="139"/>
      <c r="P103" s="139"/>
      <c r="Q103" s="139"/>
      <c r="R103" s="331"/>
      <c r="S103" s="139"/>
      <c r="T103" s="139"/>
      <c r="U103" s="683"/>
      <c r="V103" s="682"/>
      <c r="W103" s="684"/>
      <c r="X103" s="685"/>
      <c r="Y103" s="273" t="s">
        <v>16</v>
      </c>
      <c r="Z103" s="126"/>
      <c r="AA103" s="126"/>
      <c r="AB103" s="126"/>
      <c r="AC103" s="127"/>
      <c r="AD103" s="274">
        <v>100</v>
      </c>
      <c r="AE103" s="134"/>
      <c r="AF103" s="274">
        <v>0</v>
      </c>
      <c r="AG103" s="134"/>
      <c r="AH103" s="330" t="s">
        <v>1511</v>
      </c>
      <c r="AI103" s="139"/>
      <c r="AJ103" s="139"/>
      <c r="AK103" s="139"/>
      <c r="AL103" s="139"/>
      <c r="AM103" s="139"/>
      <c r="AN103" s="139"/>
      <c r="AO103" s="139"/>
      <c r="AP103" s="139"/>
      <c r="AQ103" s="139"/>
      <c r="AR103" s="139"/>
      <c r="AS103" s="139"/>
      <c r="AT103" s="139"/>
      <c r="AU103" s="139"/>
      <c r="AV103" s="139"/>
      <c r="AW103" s="139"/>
      <c r="AX103" s="139"/>
      <c r="AY103" s="139"/>
      <c r="AZ103" s="139"/>
      <c r="BA103" s="140"/>
      <c r="BB103" s="139"/>
      <c r="BC103" s="139"/>
      <c r="BD103" s="139"/>
      <c r="BE103" s="139"/>
      <c r="BF103" s="139"/>
      <c r="BG103" s="43"/>
      <c r="BK103" s="52" t="s">
        <v>406</v>
      </c>
      <c r="BL103" s="51" t="s">
        <v>527</v>
      </c>
    </row>
    <row r="104" spans="1:64">
      <c r="A104" s="681">
        <v>97</v>
      </c>
      <c r="B104" s="682"/>
      <c r="C104" s="59" t="str">
        <f t="shared" ref="C104:C135" si="4">VLOOKUP(L104,$BK$7:$BL$276,2,FALSE)</f>
        <v>业主合同功能码</v>
      </c>
      <c r="D104" s="139"/>
      <c r="E104" s="139"/>
      <c r="F104" s="139"/>
      <c r="G104" s="139"/>
      <c r="H104" s="139"/>
      <c r="I104" s="139"/>
      <c r="J104" s="139"/>
      <c r="K104" s="140"/>
      <c r="L104" s="36" t="s">
        <v>82</v>
      </c>
      <c r="M104" s="139"/>
      <c r="N104" s="139"/>
      <c r="O104" s="139"/>
      <c r="P104" s="139"/>
      <c r="Q104" s="139"/>
      <c r="R104" s="139"/>
      <c r="S104" s="139"/>
      <c r="T104" s="139"/>
      <c r="U104" s="683"/>
      <c r="V104" s="682"/>
      <c r="W104" s="684"/>
      <c r="X104" s="685"/>
      <c r="Y104" s="273" t="s">
        <v>16</v>
      </c>
      <c r="Z104" s="126"/>
      <c r="AA104" s="126"/>
      <c r="AB104" s="126"/>
      <c r="AC104" s="127"/>
      <c r="AD104" s="274">
        <v>20</v>
      </c>
      <c r="AE104" s="134"/>
      <c r="AF104" s="274">
        <v>0</v>
      </c>
      <c r="AG104" s="134"/>
      <c r="AH104" s="138"/>
      <c r="AI104" s="139"/>
      <c r="AJ104" s="139"/>
      <c r="AK104" s="139"/>
      <c r="AL104" s="139"/>
      <c r="AM104" s="139"/>
      <c r="AN104" s="139"/>
      <c r="AO104" s="139"/>
      <c r="AP104" s="139"/>
      <c r="AQ104" s="139"/>
      <c r="AR104" s="139"/>
      <c r="AS104" s="139"/>
      <c r="AT104" s="139"/>
      <c r="AU104" s="139"/>
      <c r="AV104" s="139"/>
      <c r="AW104" s="139"/>
      <c r="AX104" s="139"/>
      <c r="AY104" s="139"/>
      <c r="AZ104" s="139"/>
      <c r="BA104" s="140"/>
      <c r="BB104" s="139"/>
      <c r="BC104" s="139"/>
      <c r="BD104" s="139"/>
      <c r="BE104" s="139"/>
      <c r="BF104" s="139"/>
      <c r="BG104" s="43"/>
      <c r="BK104" s="52" t="s">
        <v>407</v>
      </c>
      <c r="BL104" s="51" t="s">
        <v>528</v>
      </c>
    </row>
    <row r="105" spans="1:64">
      <c r="A105" s="681">
        <v>98</v>
      </c>
      <c r="B105" s="682"/>
      <c r="C105" s="59" t="str">
        <f t="shared" si="4"/>
        <v>同一公司</v>
      </c>
      <c r="D105" s="139"/>
      <c r="E105" s="139"/>
      <c r="F105" s="139"/>
      <c r="G105" s="139"/>
      <c r="H105" s="139"/>
      <c r="I105" s="139"/>
      <c r="J105" s="139"/>
      <c r="K105" s="140"/>
      <c r="L105" s="36" t="s">
        <v>83</v>
      </c>
      <c r="M105" s="139"/>
      <c r="N105" s="139"/>
      <c r="O105" s="139"/>
      <c r="P105" s="139"/>
      <c r="Q105" s="139"/>
      <c r="R105" s="139"/>
      <c r="S105" s="139"/>
      <c r="T105" s="139"/>
      <c r="U105" s="683"/>
      <c r="V105" s="682"/>
      <c r="W105" s="684"/>
      <c r="X105" s="685"/>
      <c r="Y105" s="273" t="s">
        <v>16</v>
      </c>
      <c r="Z105" s="126"/>
      <c r="AA105" s="126"/>
      <c r="AB105" s="126"/>
      <c r="AC105" s="127"/>
      <c r="AD105" s="274">
        <v>8</v>
      </c>
      <c r="AE105" s="134"/>
      <c r="AF105" s="274">
        <v>0</v>
      </c>
      <c r="AG105" s="134"/>
      <c r="AH105" s="138"/>
      <c r="AI105" s="139"/>
      <c r="AJ105" s="139"/>
      <c r="AK105" s="139"/>
      <c r="AL105" s="139"/>
      <c r="AM105" s="139"/>
      <c r="AN105" s="139"/>
      <c r="AO105" s="139"/>
      <c r="AP105" s="139"/>
      <c r="AQ105" s="139"/>
      <c r="AR105" s="139"/>
      <c r="AS105" s="139"/>
      <c r="AT105" s="139"/>
      <c r="AU105" s="139"/>
      <c r="AV105" s="139"/>
      <c r="AW105" s="139"/>
      <c r="AX105" s="139"/>
      <c r="AY105" s="139"/>
      <c r="AZ105" s="139"/>
      <c r="BA105" s="140"/>
      <c r="BB105" s="139"/>
      <c r="BC105" s="139"/>
      <c r="BD105" s="139"/>
      <c r="BE105" s="139"/>
      <c r="BF105" s="139"/>
      <c r="BG105" s="43"/>
      <c r="BK105" s="52" t="s">
        <v>408</v>
      </c>
      <c r="BL105" s="51" t="s">
        <v>529</v>
      </c>
    </row>
    <row r="106" spans="1:64">
      <c r="A106" s="681">
        <v>99</v>
      </c>
      <c r="B106" s="682"/>
      <c r="C106" s="457" t="str">
        <f>VLOOKUP(L106,$BK$7:$BL$276,2,FALSE)</f>
        <v>评审开始时间</v>
      </c>
      <c r="D106" s="460"/>
      <c r="E106" s="460"/>
      <c r="F106" s="460"/>
      <c r="G106" s="460"/>
      <c r="H106" s="460"/>
      <c r="I106" s="460"/>
      <c r="J106" s="460"/>
      <c r="K106" s="461"/>
      <c r="L106" s="676" t="s">
        <v>405</v>
      </c>
      <c r="M106" s="460"/>
      <c r="N106" s="460"/>
      <c r="O106" s="460"/>
      <c r="P106" s="460"/>
      <c r="Q106" s="460"/>
      <c r="R106" s="460"/>
      <c r="S106" s="460"/>
      <c r="T106" s="460"/>
      <c r="U106" s="683"/>
      <c r="V106" s="682"/>
      <c r="W106" s="684"/>
      <c r="X106" s="685"/>
      <c r="Y106" s="273" t="s">
        <v>17</v>
      </c>
      <c r="Z106" s="126"/>
      <c r="AA106" s="126"/>
      <c r="AB106" s="126"/>
      <c r="AC106" s="127"/>
      <c r="AD106" s="274"/>
      <c r="AE106" s="134"/>
      <c r="AF106" s="274"/>
      <c r="AG106" s="134"/>
      <c r="AH106" s="330" t="s">
        <v>1272</v>
      </c>
      <c r="AI106" s="139"/>
      <c r="AJ106" s="139"/>
      <c r="AK106" s="139"/>
      <c r="AL106" s="139"/>
      <c r="AM106" s="139"/>
      <c r="AN106" s="139"/>
      <c r="AO106" s="139"/>
      <c r="AP106" s="139"/>
      <c r="AQ106" s="139"/>
      <c r="AR106" s="139"/>
      <c r="AS106" s="139"/>
      <c r="AT106" s="139"/>
      <c r="AU106" s="139"/>
      <c r="AV106" s="139"/>
      <c r="AW106" s="139"/>
      <c r="AX106" s="139"/>
      <c r="AY106" s="139"/>
      <c r="AZ106" s="139"/>
      <c r="BA106" s="140"/>
      <c r="BB106" s="139"/>
      <c r="BC106" s="139"/>
      <c r="BD106" s="139"/>
      <c r="BE106" s="139"/>
      <c r="BF106" s="139"/>
      <c r="BG106" s="43"/>
      <c r="BK106" s="52" t="s">
        <v>439</v>
      </c>
      <c r="BL106" s="51" t="s">
        <v>530</v>
      </c>
    </row>
    <row r="107" spans="1:64">
      <c r="A107" s="681">
        <v>100</v>
      </c>
      <c r="B107" s="682"/>
      <c r="C107" s="457" t="str">
        <f t="shared" si="4"/>
        <v>评审结束时间</v>
      </c>
      <c r="D107" s="460"/>
      <c r="E107" s="460"/>
      <c r="F107" s="460"/>
      <c r="G107" s="460"/>
      <c r="H107" s="460"/>
      <c r="I107" s="460"/>
      <c r="J107" s="460"/>
      <c r="K107" s="461"/>
      <c r="L107" s="676" t="s">
        <v>35</v>
      </c>
      <c r="M107" s="460"/>
      <c r="N107" s="460"/>
      <c r="O107" s="460"/>
      <c r="P107" s="460"/>
      <c r="Q107" s="460"/>
      <c r="R107" s="460"/>
      <c r="S107" s="460"/>
      <c r="T107" s="460"/>
      <c r="U107" s="683"/>
      <c r="V107" s="682"/>
      <c r="W107" s="684"/>
      <c r="X107" s="685"/>
      <c r="Y107" s="273" t="s">
        <v>17</v>
      </c>
      <c r="Z107" s="126"/>
      <c r="AA107" s="126"/>
      <c r="AB107" s="126"/>
      <c r="AC107" s="127"/>
      <c r="AD107" s="274"/>
      <c r="AE107" s="134"/>
      <c r="AF107" s="274"/>
      <c r="AG107" s="134"/>
      <c r="AH107" s="330" t="s">
        <v>1272</v>
      </c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40"/>
      <c r="BB107" s="139"/>
      <c r="BC107" s="139"/>
      <c r="BD107" s="139"/>
      <c r="BE107" s="139"/>
      <c r="BF107" s="139"/>
      <c r="BG107" s="43"/>
      <c r="BK107" s="52" t="s">
        <v>464</v>
      </c>
      <c r="BL107" s="52" t="s">
        <v>464</v>
      </c>
    </row>
    <row r="108" spans="1:64">
      <c r="A108" s="681">
        <v>101</v>
      </c>
      <c r="B108" s="682"/>
      <c r="C108" s="59" t="str">
        <f t="shared" si="4"/>
        <v>质量保证金扣除比例（%）</v>
      </c>
      <c r="D108" s="139"/>
      <c r="E108" s="139"/>
      <c r="F108" s="139"/>
      <c r="G108" s="139"/>
      <c r="H108" s="139"/>
      <c r="I108" s="139"/>
      <c r="J108" s="139"/>
      <c r="K108" s="140"/>
      <c r="L108" s="36" t="s">
        <v>406</v>
      </c>
      <c r="M108" s="139"/>
      <c r="N108" s="139"/>
      <c r="O108" s="139"/>
      <c r="P108" s="139"/>
      <c r="Q108" s="139"/>
      <c r="R108" s="139"/>
      <c r="S108" s="139"/>
      <c r="T108" s="139"/>
      <c r="U108" s="683"/>
      <c r="V108" s="682"/>
      <c r="W108" s="684"/>
      <c r="X108" s="685"/>
      <c r="Y108" s="350" t="s">
        <v>1266</v>
      </c>
      <c r="Z108" s="126"/>
      <c r="AA108" s="126"/>
      <c r="AB108" s="126"/>
      <c r="AC108" s="127"/>
      <c r="AD108" s="274">
        <v>19</v>
      </c>
      <c r="AE108" s="134"/>
      <c r="AF108" s="274">
        <v>6</v>
      </c>
      <c r="AG108" s="134"/>
      <c r="AH108" s="330" t="s">
        <v>1264</v>
      </c>
      <c r="AI108" s="139"/>
      <c r="AJ108" s="139"/>
      <c r="AK108" s="139"/>
      <c r="AL108" s="139"/>
      <c r="AM108" s="139"/>
      <c r="AN108" s="139"/>
      <c r="AO108" s="139"/>
      <c r="AP108" s="139"/>
      <c r="AQ108" s="139"/>
      <c r="AR108" s="139"/>
      <c r="AS108" s="139"/>
      <c r="AT108" s="139"/>
      <c r="AU108" s="139"/>
      <c r="AV108" s="139"/>
      <c r="AW108" s="139"/>
      <c r="AX108" s="139"/>
      <c r="AY108" s="139"/>
      <c r="AZ108" s="139"/>
      <c r="BA108" s="140"/>
      <c r="BB108" s="139"/>
      <c r="BC108" s="139"/>
      <c r="BD108" s="139"/>
      <c r="BE108" s="139"/>
      <c r="BF108" s="139"/>
      <c r="BG108" s="43"/>
      <c r="BK108" s="52" t="s">
        <v>69</v>
      </c>
      <c r="BL108" s="51" t="s">
        <v>69</v>
      </c>
    </row>
    <row r="109" spans="1:64">
      <c r="A109" s="681">
        <v>102</v>
      </c>
      <c r="B109" s="682"/>
      <c r="C109" s="59" t="str">
        <f t="shared" si="4"/>
        <v>安全生产保证金扣除比例（%）</v>
      </c>
      <c r="D109" s="139"/>
      <c r="E109" s="139"/>
      <c r="F109" s="139"/>
      <c r="G109" s="139"/>
      <c r="H109" s="139"/>
      <c r="I109" s="139"/>
      <c r="J109" s="139"/>
      <c r="K109" s="140"/>
      <c r="L109" s="36" t="s">
        <v>407</v>
      </c>
      <c r="M109" s="139"/>
      <c r="N109" s="139"/>
      <c r="O109" s="139"/>
      <c r="P109" s="139"/>
      <c r="Q109" s="139"/>
      <c r="R109" s="139"/>
      <c r="S109" s="139"/>
      <c r="T109" s="139"/>
      <c r="U109" s="683"/>
      <c r="V109" s="682"/>
      <c r="W109" s="684"/>
      <c r="X109" s="685"/>
      <c r="Y109" s="350" t="s">
        <v>1266</v>
      </c>
      <c r="Z109" s="126"/>
      <c r="AA109" s="126"/>
      <c r="AB109" s="126"/>
      <c r="AC109" s="127"/>
      <c r="AD109" s="274">
        <v>19</v>
      </c>
      <c r="AE109" s="134"/>
      <c r="AF109" s="274">
        <v>6</v>
      </c>
      <c r="AG109" s="134"/>
      <c r="AH109" s="330" t="s">
        <v>1264</v>
      </c>
      <c r="AI109" s="139"/>
      <c r="AJ109" s="139"/>
      <c r="AK109" s="139"/>
      <c r="AL109" s="139"/>
      <c r="AM109" s="139"/>
      <c r="AN109" s="139"/>
      <c r="AO109" s="139"/>
      <c r="AP109" s="139"/>
      <c r="AQ109" s="139"/>
      <c r="AR109" s="139"/>
      <c r="AS109" s="139"/>
      <c r="AT109" s="139"/>
      <c r="AU109" s="139"/>
      <c r="AV109" s="139"/>
      <c r="AW109" s="139"/>
      <c r="AX109" s="139"/>
      <c r="AY109" s="139"/>
      <c r="AZ109" s="139"/>
      <c r="BA109" s="140"/>
      <c r="BB109" s="139"/>
      <c r="BC109" s="139"/>
      <c r="BD109" s="139"/>
      <c r="BE109" s="139"/>
      <c r="BF109" s="139"/>
      <c r="BG109" s="43"/>
      <c r="BK109" s="52" t="s">
        <v>37</v>
      </c>
      <c r="BL109" s="51" t="s">
        <v>273</v>
      </c>
    </row>
    <row r="110" spans="1:64">
      <c r="A110" s="681">
        <v>103</v>
      </c>
      <c r="B110" s="682"/>
      <c r="C110" s="59" t="str">
        <f t="shared" si="4"/>
        <v>农民工工资偿付保证金扣除比例（%）</v>
      </c>
      <c r="D110" s="139"/>
      <c r="E110" s="139"/>
      <c r="F110" s="139"/>
      <c r="G110" s="139"/>
      <c r="H110" s="139"/>
      <c r="I110" s="139"/>
      <c r="J110" s="139"/>
      <c r="K110" s="140"/>
      <c r="L110" s="36" t="s">
        <v>408</v>
      </c>
      <c r="M110" s="139"/>
      <c r="N110" s="139"/>
      <c r="O110" s="139"/>
      <c r="P110" s="139"/>
      <c r="Q110" s="139"/>
      <c r="R110" s="139"/>
      <c r="S110" s="139"/>
      <c r="T110" s="139"/>
      <c r="U110" s="683"/>
      <c r="V110" s="682"/>
      <c r="W110" s="684"/>
      <c r="X110" s="685"/>
      <c r="Y110" s="350" t="s">
        <v>1262</v>
      </c>
      <c r="Z110" s="126"/>
      <c r="AA110" s="126"/>
      <c r="AB110" s="126"/>
      <c r="AC110" s="127"/>
      <c r="AD110" s="274">
        <v>19</v>
      </c>
      <c r="AE110" s="134"/>
      <c r="AF110" s="274">
        <v>6</v>
      </c>
      <c r="AG110" s="134"/>
      <c r="AH110" s="330" t="s">
        <v>1264</v>
      </c>
      <c r="AI110" s="139"/>
      <c r="AJ110" s="139"/>
      <c r="AK110" s="139"/>
      <c r="AL110" s="139"/>
      <c r="AM110" s="139"/>
      <c r="AN110" s="139"/>
      <c r="AO110" s="139"/>
      <c r="AP110" s="139"/>
      <c r="AQ110" s="139"/>
      <c r="AR110" s="139"/>
      <c r="AS110" s="139"/>
      <c r="AT110" s="139"/>
      <c r="AU110" s="139"/>
      <c r="AV110" s="139"/>
      <c r="AW110" s="139"/>
      <c r="AX110" s="139"/>
      <c r="AY110" s="139"/>
      <c r="AZ110" s="139"/>
      <c r="BA110" s="140"/>
      <c r="BB110" s="139"/>
      <c r="BC110" s="139"/>
      <c r="BD110" s="139"/>
      <c r="BE110" s="139"/>
      <c r="BF110" s="139"/>
      <c r="BG110" s="43"/>
      <c r="BK110" s="52" t="s">
        <v>440</v>
      </c>
      <c r="BL110" s="51" t="s">
        <v>531</v>
      </c>
    </row>
    <row r="111" spans="1:64">
      <c r="A111" s="681">
        <v>104</v>
      </c>
      <c r="B111" s="682"/>
      <c r="C111" s="59" t="str">
        <f t="shared" si="4"/>
        <v>实际开工日期</v>
      </c>
      <c r="D111" s="139"/>
      <c r="E111" s="139"/>
      <c r="F111" s="139"/>
      <c r="G111" s="139"/>
      <c r="H111" s="139"/>
      <c r="I111" s="139"/>
      <c r="J111" s="139"/>
      <c r="K111" s="140"/>
      <c r="L111" s="36" t="s">
        <v>409</v>
      </c>
      <c r="M111" s="139"/>
      <c r="N111" s="139"/>
      <c r="O111" s="139"/>
      <c r="P111" s="139"/>
      <c r="Q111" s="139"/>
      <c r="R111" s="139"/>
      <c r="S111" s="139"/>
      <c r="T111" s="139"/>
      <c r="U111" s="683"/>
      <c r="V111" s="682"/>
      <c r="W111" s="684"/>
      <c r="X111" s="685"/>
      <c r="Y111" s="273" t="s">
        <v>17</v>
      </c>
      <c r="Z111" s="126"/>
      <c r="AA111" s="126"/>
      <c r="AB111" s="126"/>
      <c r="AC111" s="127"/>
      <c r="AD111" s="274"/>
      <c r="AE111" s="134"/>
      <c r="AF111" s="274"/>
      <c r="AG111" s="134"/>
      <c r="AH111" s="330" t="s">
        <v>1272</v>
      </c>
      <c r="AI111" s="139"/>
      <c r="AJ111" s="139"/>
      <c r="AK111" s="139"/>
      <c r="AL111" s="139"/>
      <c r="AM111" s="139"/>
      <c r="AN111" s="139"/>
      <c r="AO111" s="139"/>
      <c r="AP111" s="139"/>
      <c r="AQ111" s="139"/>
      <c r="AR111" s="139"/>
      <c r="AS111" s="139"/>
      <c r="AT111" s="139"/>
      <c r="AU111" s="139"/>
      <c r="AV111" s="139"/>
      <c r="AW111" s="139"/>
      <c r="AX111" s="139"/>
      <c r="AY111" s="139"/>
      <c r="AZ111" s="139"/>
      <c r="BA111" s="140"/>
      <c r="BB111" s="139"/>
      <c r="BC111" s="139"/>
      <c r="BD111" s="139"/>
      <c r="BE111" s="139"/>
      <c r="BF111" s="139"/>
      <c r="BG111" s="43"/>
      <c r="BK111" s="52" t="s">
        <v>441</v>
      </c>
      <c r="BL111" s="51" t="s">
        <v>532</v>
      </c>
    </row>
    <row r="112" spans="1:64">
      <c r="A112" s="681">
        <v>105</v>
      </c>
      <c r="B112" s="682"/>
      <c r="C112" s="59" t="str">
        <f t="shared" si="4"/>
        <v>实际结束日期</v>
      </c>
      <c r="D112" s="139"/>
      <c r="E112" s="139"/>
      <c r="F112" s="139"/>
      <c r="G112" s="139"/>
      <c r="H112" s="139"/>
      <c r="I112" s="139"/>
      <c r="J112" s="139"/>
      <c r="K112" s="140"/>
      <c r="L112" s="36" t="s">
        <v>410</v>
      </c>
      <c r="M112" s="139"/>
      <c r="N112" s="139"/>
      <c r="O112" s="139"/>
      <c r="P112" s="139"/>
      <c r="Q112" s="139"/>
      <c r="R112" s="139"/>
      <c r="S112" s="139"/>
      <c r="T112" s="139"/>
      <c r="U112" s="683"/>
      <c r="V112" s="682"/>
      <c r="W112" s="684"/>
      <c r="X112" s="685"/>
      <c r="Y112" s="273" t="s">
        <v>17</v>
      </c>
      <c r="Z112" s="126"/>
      <c r="AA112" s="126"/>
      <c r="AB112" s="126"/>
      <c r="AC112" s="127"/>
      <c r="AD112" s="274"/>
      <c r="AE112" s="134"/>
      <c r="AF112" s="274"/>
      <c r="AG112" s="134"/>
      <c r="AH112" s="330" t="s">
        <v>1285</v>
      </c>
      <c r="AI112" s="139"/>
      <c r="AJ112" s="139"/>
      <c r="AK112" s="139"/>
      <c r="AL112" s="139"/>
      <c r="AM112" s="139"/>
      <c r="AN112" s="139"/>
      <c r="AO112" s="139"/>
      <c r="AP112" s="139"/>
      <c r="AQ112" s="139"/>
      <c r="AR112" s="139"/>
      <c r="AS112" s="139"/>
      <c r="AT112" s="139"/>
      <c r="AU112" s="139"/>
      <c r="AV112" s="139"/>
      <c r="AW112" s="139"/>
      <c r="AX112" s="139"/>
      <c r="AY112" s="139"/>
      <c r="AZ112" s="139"/>
      <c r="BA112" s="140"/>
      <c r="BB112" s="139"/>
      <c r="BC112" s="139"/>
      <c r="BD112" s="139"/>
      <c r="BE112" s="139"/>
      <c r="BF112" s="139"/>
      <c r="BG112" s="43"/>
      <c r="BK112" s="52" t="s">
        <v>448</v>
      </c>
      <c r="BL112" s="51" t="s">
        <v>533</v>
      </c>
    </row>
    <row r="113" spans="1:68">
      <c r="A113" s="681">
        <v>106</v>
      </c>
      <c r="B113" s="682"/>
      <c r="C113" s="59" t="str">
        <f t="shared" si="4"/>
        <v>是否局属项目</v>
      </c>
      <c r="D113" s="139"/>
      <c r="E113" s="139"/>
      <c r="F113" s="139"/>
      <c r="G113" s="139"/>
      <c r="H113" s="139"/>
      <c r="I113" s="139"/>
      <c r="J113" s="139"/>
      <c r="K113" s="140"/>
      <c r="L113" s="36" t="s">
        <v>411</v>
      </c>
      <c r="M113" s="139"/>
      <c r="N113" s="139"/>
      <c r="O113" s="139"/>
      <c r="P113" s="139"/>
      <c r="Q113" s="139"/>
      <c r="R113" s="139"/>
      <c r="S113" s="139"/>
      <c r="T113" s="139"/>
      <c r="U113" s="683"/>
      <c r="V113" s="682"/>
      <c r="W113" s="684"/>
      <c r="X113" s="685"/>
      <c r="Y113" s="273" t="s">
        <v>16</v>
      </c>
      <c r="Z113" s="126"/>
      <c r="AA113" s="126"/>
      <c r="AB113" s="126"/>
      <c r="AC113" s="127"/>
      <c r="AD113" s="274">
        <v>16</v>
      </c>
      <c r="AE113" s="134"/>
      <c r="AF113" s="274">
        <v>0</v>
      </c>
      <c r="AG113" s="134"/>
      <c r="AH113" s="138"/>
      <c r="AI113" s="139"/>
      <c r="AJ113" s="139"/>
      <c r="AK113" s="139"/>
      <c r="AL113" s="139"/>
      <c r="AM113" s="139"/>
      <c r="AN113" s="139"/>
      <c r="AO113" s="139"/>
      <c r="AP113" s="139"/>
      <c r="AQ113" s="139"/>
      <c r="AR113" s="139"/>
      <c r="AS113" s="139"/>
      <c r="AT113" s="139"/>
      <c r="AU113" s="139"/>
      <c r="AV113" s="139"/>
      <c r="AW113" s="139"/>
      <c r="AX113" s="139"/>
      <c r="AY113" s="139"/>
      <c r="AZ113" s="139"/>
      <c r="BA113" s="140"/>
      <c r="BB113" s="139"/>
      <c r="BC113" s="139"/>
      <c r="BD113" s="139"/>
      <c r="BE113" s="139"/>
      <c r="BF113" s="139"/>
      <c r="BG113" s="43"/>
      <c r="BK113" s="52"/>
      <c r="BL113" s="51"/>
    </row>
    <row r="114" spans="1:68">
      <c r="A114" s="681">
        <v>107</v>
      </c>
      <c r="B114" s="682"/>
      <c r="C114" s="59" t="str">
        <f t="shared" si="4"/>
        <v>局直属项目ID</v>
      </c>
      <c r="D114" s="142"/>
      <c r="E114" s="142"/>
      <c r="F114" s="142"/>
      <c r="G114" s="142"/>
      <c r="H114" s="142"/>
      <c r="I114" s="142"/>
      <c r="J114" s="142"/>
      <c r="K114" s="143"/>
      <c r="L114" s="1" t="s">
        <v>412</v>
      </c>
      <c r="M114" s="142"/>
      <c r="N114" s="142"/>
      <c r="O114" s="142"/>
      <c r="P114" s="142"/>
      <c r="Q114" s="142"/>
      <c r="R114" s="142"/>
      <c r="S114" s="142"/>
      <c r="T114" s="142"/>
      <c r="U114" s="692"/>
      <c r="V114" s="693"/>
      <c r="W114" s="694"/>
      <c r="X114" s="695"/>
      <c r="Y114" s="275" t="s">
        <v>16</v>
      </c>
      <c r="Z114" s="131"/>
      <c r="AA114" s="131"/>
      <c r="AB114" s="131"/>
      <c r="AC114" s="132"/>
      <c r="AD114" s="274">
        <v>100</v>
      </c>
      <c r="AE114" s="134"/>
      <c r="AF114" s="274">
        <v>0</v>
      </c>
      <c r="AG114" s="134"/>
      <c r="AH114" s="141"/>
      <c r="AI114" s="139"/>
      <c r="AJ114" s="139"/>
      <c r="AK114" s="139"/>
      <c r="AL114" s="139"/>
      <c r="AM114" s="139"/>
      <c r="AN114" s="139"/>
      <c r="AO114" s="139"/>
      <c r="AP114" s="139"/>
      <c r="AQ114" s="139"/>
      <c r="AR114" s="139"/>
      <c r="AS114" s="139"/>
      <c r="AT114" s="139"/>
      <c r="AU114" s="139"/>
      <c r="AV114" s="139"/>
      <c r="AW114" s="139"/>
      <c r="AX114" s="139"/>
      <c r="AY114" s="139"/>
      <c r="AZ114" s="139"/>
      <c r="BA114" s="140"/>
      <c r="BB114" s="48"/>
      <c r="BC114" s="48"/>
      <c r="BD114" s="48"/>
      <c r="BE114" s="48"/>
      <c r="BF114" s="48"/>
      <c r="BG114" s="49"/>
      <c r="BK114" s="413" t="s">
        <v>1067</v>
      </c>
      <c r="BL114" s="413"/>
      <c r="BM114" s="331"/>
      <c r="BN114" s="331"/>
    </row>
    <row r="115" spans="1:68">
      <c r="A115" s="681">
        <v>108</v>
      </c>
      <c r="B115" s="682"/>
      <c r="C115" s="59" t="str">
        <f t="shared" si="4"/>
        <v>局直属项目名称</v>
      </c>
      <c r="D115" s="142"/>
      <c r="E115" s="142"/>
      <c r="F115" s="142"/>
      <c r="G115" s="142"/>
      <c r="H115" s="142"/>
      <c r="I115" s="142"/>
      <c r="J115" s="142"/>
      <c r="K115" s="143"/>
      <c r="L115" s="1" t="s">
        <v>413</v>
      </c>
      <c r="M115" s="142"/>
      <c r="N115" s="142"/>
      <c r="O115" s="142"/>
      <c r="P115" s="142"/>
      <c r="Q115" s="142"/>
      <c r="R115" s="142"/>
      <c r="S115" s="142"/>
      <c r="T115" s="142"/>
      <c r="U115" s="692"/>
      <c r="V115" s="693"/>
      <c r="W115" s="694"/>
      <c r="X115" s="695"/>
      <c r="Y115" s="275" t="s">
        <v>16</v>
      </c>
      <c r="Z115" s="131"/>
      <c r="AA115" s="131"/>
      <c r="AB115" s="131"/>
      <c r="AC115" s="132"/>
      <c r="AD115" s="274">
        <v>256</v>
      </c>
      <c r="AE115" s="134"/>
      <c r="AF115" s="274">
        <v>0</v>
      </c>
      <c r="AG115" s="134"/>
      <c r="AH115" s="141"/>
      <c r="AI115" s="139"/>
      <c r="AJ115" s="139"/>
      <c r="AK115" s="139"/>
      <c r="AL115" s="139"/>
      <c r="AM115" s="139"/>
      <c r="AN115" s="139"/>
      <c r="AO115" s="139"/>
      <c r="AP115" s="139"/>
      <c r="AQ115" s="139"/>
      <c r="AR115" s="139"/>
      <c r="AS115" s="139"/>
      <c r="AT115" s="139"/>
      <c r="AU115" s="139"/>
      <c r="AV115" s="139"/>
      <c r="AW115" s="139"/>
      <c r="AX115" s="139"/>
      <c r="AY115" s="139"/>
      <c r="AZ115" s="139"/>
      <c r="BA115" s="140"/>
      <c r="BB115" s="139"/>
      <c r="BC115" s="139"/>
      <c r="BD115" s="139"/>
      <c r="BE115" s="139"/>
      <c r="BF115" s="139"/>
      <c r="BG115" s="43"/>
      <c r="BK115" s="50" t="s">
        <v>1068</v>
      </c>
      <c r="BL115" s="121" t="s">
        <v>505</v>
      </c>
      <c r="BM115" s="331"/>
      <c r="BN115" s="331"/>
    </row>
    <row r="116" spans="1:68">
      <c r="A116" s="681">
        <v>109</v>
      </c>
      <c r="B116" s="682"/>
      <c r="C116" s="59" t="str">
        <f t="shared" si="4"/>
        <v>用于物资审核</v>
      </c>
      <c r="D116" s="142"/>
      <c r="E116" s="142"/>
      <c r="F116" s="142"/>
      <c r="G116" s="142"/>
      <c r="H116" s="142"/>
      <c r="I116" s="142"/>
      <c r="J116" s="142"/>
      <c r="K116" s="143"/>
      <c r="L116" s="1" t="s">
        <v>414</v>
      </c>
      <c r="M116" s="142"/>
      <c r="N116" s="142"/>
      <c r="O116" s="142"/>
      <c r="P116" s="142"/>
      <c r="Q116" s="142"/>
      <c r="R116" s="142"/>
      <c r="S116" s="142"/>
      <c r="T116" s="142"/>
      <c r="U116" s="692"/>
      <c r="V116" s="693"/>
      <c r="W116" s="694"/>
      <c r="X116" s="695"/>
      <c r="Y116" s="275" t="s">
        <v>16</v>
      </c>
      <c r="Z116" s="131"/>
      <c r="AA116" s="131"/>
      <c r="AB116" s="131"/>
      <c r="AC116" s="132"/>
      <c r="AD116" s="274">
        <v>16</v>
      </c>
      <c r="AE116" s="134"/>
      <c r="AF116" s="274">
        <v>0</v>
      </c>
      <c r="AG116" s="134"/>
      <c r="AH116" s="141" t="s">
        <v>1420</v>
      </c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40"/>
      <c r="BB116" s="139"/>
      <c r="BC116" s="139"/>
      <c r="BD116" s="139"/>
      <c r="BE116" s="139"/>
      <c r="BF116" s="139"/>
      <c r="BG116" s="43"/>
      <c r="BK116" s="50" t="s">
        <v>1069</v>
      </c>
      <c r="BL116" s="121" t="s">
        <v>1189</v>
      </c>
      <c r="BM116" s="331"/>
      <c r="BN116" s="331"/>
    </row>
    <row r="117" spans="1:68">
      <c r="A117" s="681">
        <v>110</v>
      </c>
      <c r="B117" s="682"/>
      <c r="C117" s="59" t="str">
        <f t="shared" si="4"/>
        <v>合同管理中的租赁类型</v>
      </c>
      <c r="D117" s="142"/>
      <c r="E117" s="142"/>
      <c r="F117" s="142"/>
      <c r="G117" s="142"/>
      <c r="H117" s="142"/>
      <c r="I117" s="142"/>
      <c r="J117" s="142"/>
      <c r="K117" s="143"/>
      <c r="L117" s="1" t="s">
        <v>415</v>
      </c>
      <c r="M117" s="142"/>
      <c r="N117" s="142"/>
      <c r="O117" s="142"/>
      <c r="P117" s="142"/>
      <c r="Q117" s="142"/>
      <c r="R117" s="142"/>
      <c r="S117" s="142"/>
      <c r="T117" s="142"/>
      <c r="U117" s="692"/>
      <c r="V117" s="693"/>
      <c r="W117" s="694"/>
      <c r="X117" s="695"/>
      <c r="Y117" s="275" t="s">
        <v>16</v>
      </c>
      <c r="Z117" s="131"/>
      <c r="AA117" s="131"/>
      <c r="AB117" s="131"/>
      <c r="AC117" s="132"/>
      <c r="AD117" s="274">
        <v>64</v>
      </c>
      <c r="AE117" s="134"/>
      <c r="AF117" s="274">
        <v>0</v>
      </c>
      <c r="AG117" s="134"/>
      <c r="AH117" s="141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40"/>
      <c r="BB117" s="139"/>
      <c r="BC117" s="139"/>
      <c r="BD117" s="139"/>
      <c r="BE117" s="139"/>
      <c r="BF117" s="139"/>
      <c r="BG117" s="43"/>
      <c r="BK117" s="50" t="s">
        <v>1070</v>
      </c>
      <c r="BL117" s="52" t="s">
        <v>1071</v>
      </c>
    </row>
    <row r="118" spans="1:68">
      <c r="A118" s="681">
        <v>111</v>
      </c>
      <c r="B118" s="682"/>
      <c r="C118" s="457" t="str">
        <f t="shared" si="4"/>
        <v>变更后含税合同金额(万元)</v>
      </c>
      <c r="D118" s="458"/>
      <c r="E118" s="458"/>
      <c r="F118" s="458"/>
      <c r="G118" s="458"/>
      <c r="H118" s="458"/>
      <c r="I118" s="458"/>
      <c r="J118" s="458"/>
      <c r="K118" s="459"/>
      <c r="L118" s="1" t="s">
        <v>1720</v>
      </c>
      <c r="M118" s="142"/>
      <c r="N118" s="142"/>
      <c r="O118" s="142"/>
      <c r="P118" s="142"/>
      <c r="Q118" s="142"/>
      <c r="R118" s="142"/>
      <c r="S118" s="142"/>
      <c r="T118" s="142"/>
      <c r="U118" s="692"/>
      <c r="V118" s="693"/>
      <c r="W118" s="694"/>
      <c r="X118" s="695"/>
      <c r="Y118" s="275" t="s">
        <v>1268</v>
      </c>
      <c r="Z118" s="131"/>
      <c r="AA118" s="131"/>
      <c r="AB118" s="131"/>
      <c r="AC118" s="132"/>
      <c r="AD118" s="274">
        <v>19</v>
      </c>
      <c r="AE118" s="134"/>
      <c r="AF118" s="274">
        <v>6</v>
      </c>
      <c r="AG118" s="134"/>
      <c r="AH118" s="141" t="s">
        <v>1280</v>
      </c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40"/>
      <c r="BB118" s="139"/>
      <c r="BC118" s="139"/>
      <c r="BD118" s="139"/>
      <c r="BE118" s="139"/>
      <c r="BF118" s="139"/>
      <c r="BG118" s="43"/>
      <c r="BK118" s="50" t="s">
        <v>1072</v>
      </c>
      <c r="BL118" s="52" t="s">
        <v>1073</v>
      </c>
    </row>
    <row r="119" spans="1:68">
      <c r="A119" s="681">
        <v>112</v>
      </c>
      <c r="B119" s="682"/>
      <c r="C119" s="457" t="str">
        <f t="shared" si="4"/>
        <v>结算情况</v>
      </c>
      <c r="D119" s="458"/>
      <c r="E119" s="458"/>
      <c r="F119" s="458"/>
      <c r="G119" s="458"/>
      <c r="H119" s="458"/>
      <c r="I119" s="458"/>
      <c r="J119" s="458"/>
      <c r="K119" s="459"/>
      <c r="L119" s="1" t="s">
        <v>416</v>
      </c>
      <c r="M119" s="142"/>
      <c r="N119" s="142"/>
      <c r="O119" s="142"/>
      <c r="P119" s="142"/>
      <c r="Q119" s="142"/>
      <c r="R119" s="142"/>
      <c r="S119" s="142"/>
      <c r="T119" s="142"/>
      <c r="U119" s="692"/>
      <c r="V119" s="693"/>
      <c r="W119" s="694"/>
      <c r="X119" s="695"/>
      <c r="Y119" s="275" t="s">
        <v>16</v>
      </c>
      <c r="Z119" s="131"/>
      <c r="AA119" s="131"/>
      <c r="AB119" s="131"/>
      <c r="AC119" s="132"/>
      <c r="AD119" s="274">
        <v>64</v>
      </c>
      <c r="AE119" s="134"/>
      <c r="AF119" s="274">
        <v>0</v>
      </c>
      <c r="AG119" s="134"/>
      <c r="AH119" s="141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40"/>
      <c r="BB119" s="139"/>
      <c r="BC119" s="139"/>
      <c r="BD119" s="139"/>
      <c r="BE119" s="139"/>
      <c r="BF119" s="139"/>
      <c r="BG119" s="43"/>
      <c r="BK119" s="50" t="s">
        <v>1074</v>
      </c>
      <c r="BL119" s="52" t="s">
        <v>1075</v>
      </c>
    </row>
    <row r="120" spans="1:68">
      <c r="A120" s="681">
        <v>113</v>
      </c>
      <c r="B120" s="682"/>
      <c r="C120" s="669" t="str">
        <f t="shared" si="4"/>
        <v>物资来源</v>
      </c>
      <c r="D120" s="674"/>
      <c r="E120" s="674"/>
      <c r="F120" s="674"/>
      <c r="G120" s="674"/>
      <c r="H120" s="674"/>
      <c r="I120" s="674"/>
      <c r="J120" s="674"/>
      <c r="K120" s="675"/>
      <c r="L120" s="36" t="s">
        <v>89</v>
      </c>
      <c r="M120" s="139"/>
      <c r="N120" s="139"/>
      <c r="O120" s="139"/>
      <c r="P120" s="139"/>
      <c r="Q120" s="139"/>
      <c r="R120" s="139"/>
      <c r="S120" s="139"/>
      <c r="T120" s="139"/>
      <c r="U120" s="683"/>
      <c r="V120" s="682"/>
      <c r="W120" s="684"/>
      <c r="X120" s="685"/>
      <c r="Y120" s="350" t="s">
        <v>1287</v>
      </c>
      <c r="Z120" s="126"/>
      <c r="AA120" s="126"/>
      <c r="AB120" s="126"/>
      <c r="AC120" s="127"/>
      <c r="AD120" s="274">
        <v>8</v>
      </c>
      <c r="AE120" s="134"/>
      <c r="AF120" s="274">
        <v>0</v>
      </c>
      <c r="AG120" s="134"/>
      <c r="AH120" s="138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40"/>
      <c r="BB120" s="139"/>
      <c r="BC120" s="139"/>
      <c r="BD120" s="139"/>
      <c r="BE120" s="139"/>
      <c r="BF120" s="139"/>
      <c r="BG120" s="43"/>
      <c r="BK120" s="50" t="s">
        <v>1076</v>
      </c>
      <c r="BL120" s="52" t="s">
        <v>1077</v>
      </c>
      <c r="BO120" s="142"/>
      <c r="BP120" s="142"/>
    </row>
    <row r="121" spans="1:68">
      <c r="A121" s="681">
        <v>114</v>
      </c>
      <c r="B121" s="682"/>
      <c r="C121" s="669" t="str">
        <f t="shared" si="4"/>
        <v>基本信息审核按钮</v>
      </c>
      <c r="D121" s="674"/>
      <c r="E121" s="674"/>
      <c r="F121" s="674"/>
      <c r="G121" s="674"/>
      <c r="H121" s="674"/>
      <c r="I121" s="674"/>
      <c r="J121" s="674"/>
      <c r="K121" s="675"/>
      <c r="L121" s="36" t="s">
        <v>417</v>
      </c>
      <c r="M121" s="139"/>
      <c r="N121" s="139"/>
      <c r="O121" s="139"/>
      <c r="P121" s="139"/>
      <c r="Q121" s="139"/>
      <c r="R121" s="139"/>
      <c r="S121" s="139"/>
      <c r="T121" s="139"/>
      <c r="U121" s="683"/>
      <c r="V121" s="682"/>
      <c r="W121" s="684"/>
      <c r="X121" s="685"/>
      <c r="Y121" s="350" t="s">
        <v>1276</v>
      </c>
      <c r="Z121" s="126"/>
      <c r="AA121" s="126"/>
      <c r="AB121" s="126"/>
      <c r="AC121" s="127"/>
      <c r="AD121" s="274">
        <v>32</v>
      </c>
      <c r="AE121" s="134"/>
      <c r="AF121" s="274">
        <v>0</v>
      </c>
      <c r="AG121" s="134"/>
      <c r="AH121" s="330" t="s">
        <v>1274</v>
      </c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40"/>
      <c r="BB121" s="139"/>
      <c r="BC121" s="139"/>
      <c r="BD121" s="139"/>
      <c r="BE121" s="139"/>
      <c r="BF121" s="139"/>
      <c r="BG121" s="43"/>
      <c r="BK121" s="50" t="s">
        <v>1190</v>
      </c>
      <c r="BL121" s="52" t="s">
        <v>1191</v>
      </c>
      <c r="BO121" s="142"/>
      <c r="BP121" s="142"/>
    </row>
    <row r="122" spans="1:68">
      <c r="A122" s="681">
        <v>115</v>
      </c>
      <c r="B122" s="682"/>
      <c r="C122" s="669" t="str">
        <f t="shared" si="4"/>
        <v>所属区域</v>
      </c>
      <c r="D122" s="674"/>
      <c r="E122" s="674"/>
      <c r="F122" s="674"/>
      <c r="G122" s="674"/>
      <c r="H122" s="674"/>
      <c r="I122" s="674"/>
      <c r="J122" s="674"/>
      <c r="K122" s="675"/>
      <c r="L122" s="36" t="s">
        <v>418</v>
      </c>
      <c r="M122" s="139"/>
      <c r="N122" s="139"/>
      <c r="O122" s="139"/>
      <c r="P122" s="139"/>
      <c r="Q122" s="139"/>
      <c r="R122" s="139"/>
      <c r="S122" s="139"/>
      <c r="T122" s="139"/>
      <c r="U122" s="683"/>
      <c r="V122" s="682"/>
      <c r="W122" s="684"/>
      <c r="X122" s="685"/>
      <c r="Y122" s="273" t="s">
        <v>16</v>
      </c>
      <c r="Z122" s="126"/>
      <c r="AA122" s="126"/>
      <c r="AB122" s="126"/>
      <c r="AC122" s="127"/>
      <c r="AD122" s="274">
        <v>32</v>
      </c>
      <c r="AE122" s="134"/>
      <c r="AF122" s="274">
        <v>0</v>
      </c>
      <c r="AG122" s="134"/>
      <c r="AH122" s="138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40"/>
      <c r="BB122" s="139"/>
      <c r="BC122" s="139"/>
      <c r="BD122" s="139"/>
      <c r="BE122" s="139"/>
      <c r="BF122" s="139"/>
      <c r="BG122" s="43"/>
      <c r="BK122" s="346" t="s">
        <v>1414</v>
      </c>
      <c r="BL122" s="52" t="s">
        <v>1192</v>
      </c>
      <c r="BM122" s="3" t="s">
        <v>1078</v>
      </c>
      <c r="BO122" s="142"/>
      <c r="BP122" s="142"/>
    </row>
    <row r="123" spans="1:68">
      <c r="A123" s="681">
        <v>116</v>
      </c>
      <c r="B123" s="682"/>
      <c r="C123" s="457" t="str">
        <f t="shared" si="4"/>
        <v>不含税合同总价(万元)</v>
      </c>
      <c r="D123" s="460"/>
      <c r="E123" s="460"/>
      <c r="F123" s="460"/>
      <c r="G123" s="460"/>
      <c r="H123" s="460"/>
      <c r="I123" s="460"/>
      <c r="J123" s="460"/>
      <c r="K123" s="461"/>
      <c r="L123" s="1" t="s">
        <v>1721</v>
      </c>
      <c r="M123" s="139"/>
      <c r="N123" s="139"/>
      <c r="O123" s="139"/>
      <c r="P123" s="139"/>
      <c r="Q123" s="139"/>
      <c r="R123" s="139"/>
      <c r="S123" s="139"/>
      <c r="T123" s="139"/>
      <c r="U123" s="683"/>
      <c r="V123" s="682"/>
      <c r="W123" s="684"/>
      <c r="X123" s="685"/>
      <c r="Y123" s="350" t="s">
        <v>1262</v>
      </c>
      <c r="Z123" s="126"/>
      <c r="AA123" s="126"/>
      <c r="AB123" s="126"/>
      <c r="AC123" s="127"/>
      <c r="AD123" s="274">
        <v>19</v>
      </c>
      <c r="AE123" s="134"/>
      <c r="AF123" s="274">
        <v>6</v>
      </c>
      <c r="AG123" s="134"/>
      <c r="AH123" s="330" t="s">
        <v>1280</v>
      </c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40"/>
      <c r="BB123" s="139"/>
      <c r="BC123" s="139"/>
      <c r="BD123" s="139"/>
      <c r="BE123" s="139"/>
      <c r="BF123" s="139"/>
      <c r="BG123" s="43"/>
      <c r="BK123" s="50" t="s">
        <v>1079</v>
      </c>
      <c r="BL123" s="52" t="s">
        <v>1080</v>
      </c>
    </row>
    <row r="124" spans="1:68">
      <c r="A124" s="681">
        <v>117</v>
      </c>
      <c r="B124" s="682"/>
      <c r="C124" s="457" t="str">
        <f t="shared" si="4"/>
        <v>合同税额(万元)</v>
      </c>
      <c r="D124" s="460"/>
      <c r="E124" s="460"/>
      <c r="F124" s="460"/>
      <c r="G124" s="460"/>
      <c r="H124" s="460"/>
      <c r="I124" s="460"/>
      <c r="J124" s="460"/>
      <c r="K124" s="461"/>
      <c r="L124" s="1" t="s">
        <v>1666</v>
      </c>
      <c r="M124" s="139"/>
      <c r="N124" s="139"/>
      <c r="O124" s="139"/>
      <c r="P124" s="139"/>
      <c r="Q124" s="139"/>
      <c r="R124" s="139"/>
      <c r="S124" s="139"/>
      <c r="T124" s="139"/>
      <c r="U124" s="683"/>
      <c r="V124" s="682"/>
      <c r="W124" s="684"/>
      <c r="X124" s="685"/>
      <c r="Y124" s="350" t="s">
        <v>1266</v>
      </c>
      <c r="Z124" s="126"/>
      <c r="AA124" s="126"/>
      <c r="AB124" s="126"/>
      <c r="AC124" s="127"/>
      <c r="AD124" s="274">
        <v>19</v>
      </c>
      <c r="AE124" s="134"/>
      <c r="AF124" s="274">
        <v>6</v>
      </c>
      <c r="AG124" s="134"/>
      <c r="AH124" s="348" t="s">
        <v>198</v>
      </c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40"/>
      <c r="BB124" s="139"/>
      <c r="BC124" s="139"/>
      <c r="BD124" s="139"/>
      <c r="BE124" s="139"/>
      <c r="BF124" s="139"/>
      <c r="BG124" s="43"/>
      <c r="BK124" s="50" t="s">
        <v>856</v>
      </c>
      <c r="BL124" s="52" t="s">
        <v>857</v>
      </c>
    </row>
    <row r="125" spans="1:68">
      <c r="A125" s="681">
        <v>118</v>
      </c>
      <c r="B125" s="682"/>
      <c r="C125" s="457" t="str">
        <f t="shared" si="4"/>
        <v>变更后不含税合同金额(万元)</v>
      </c>
      <c r="D125" s="460"/>
      <c r="E125" s="460"/>
      <c r="F125" s="460"/>
      <c r="G125" s="460"/>
      <c r="H125" s="460"/>
      <c r="I125" s="460"/>
      <c r="J125" s="460"/>
      <c r="K125" s="461"/>
      <c r="L125" s="1" t="s">
        <v>1722</v>
      </c>
      <c r="M125" s="139"/>
      <c r="N125" s="139"/>
      <c r="O125" s="139"/>
      <c r="P125" s="139"/>
      <c r="Q125" s="139"/>
      <c r="R125" s="139"/>
      <c r="S125" s="139"/>
      <c r="T125" s="139"/>
      <c r="U125" s="683"/>
      <c r="V125" s="682"/>
      <c r="W125" s="684"/>
      <c r="X125" s="685"/>
      <c r="Y125" s="350" t="s">
        <v>1266</v>
      </c>
      <c r="Z125" s="126"/>
      <c r="AA125" s="126"/>
      <c r="AB125" s="126"/>
      <c r="AC125" s="127"/>
      <c r="AD125" s="274">
        <v>19</v>
      </c>
      <c r="AE125" s="134"/>
      <c r="AF125" s="274">
        <v>6</v>
      </c>
      <c r="AG125" s="134"/>
      <c r="AH125" s="348" t="s">
        <v>198</v>
      </c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40"/>
      <c r="BB125" s="139"/>
      <c r="BC125" s="139"/>
      <c r="BD125" s="139"/>
      <c r="BE125" s="139"/>
      <c r="BF125" s="139"/>
      <c r="BG125" s="43"/>
      <c r="BK125" s="50" t="s">
        <v>1193</v>
      </c>
      <c r="BL125" s="52" t="s">
        <v>1194</v>
      </c>
    </row>
    <row r="126" spans="1:68">
      <c r="A126" s="681">
        <v>119</v>
      </c>
      <c r="B126" s="682"/>
      <c r="C126" s="457" t="str">
        <f t="shared" si="4"/>
        <v>变更后合同税额(万元)</v>
      </c>
      <c r="D126" s="460"/>
      <c r="E126" s="460"/>
      <c r="F126" s="460"/>
      <c r="G126" s="460"/>
      <c r="H126" s="460"/>
      <c r="I126" s="460"/>
      <c r="J126" s="460"/>
      <c r="K126" s="461"/>
      <c r="L126" s="1" t="s">
        <v>1724</v>
      </c>
      <c r="M126" s="139"/>
      <c r="N126" s="139"/>
      <c r="O126" s="139"/>
      <c r="P126" s="139"/>
      <c r="Q126" s="139"/>
      <c r="R126" s="139"/>
      <c r="S126" s="139"/>
      <c r="T126" s="139"/>
      <c r="U126" s="683"/>
      <c r="V126" s="682"/>
      <c r="W126" s="684"/>
      <c r="X126" s="685"/>
      <c r="Y126" s="350" t="s">
        <v>1283</v>
      </c>
      <c r="Z126" s="126"/>
      <c r="AA126" s="126"/>
      <c r="AB126" s="126"/>
      <c r="AC126" s="127"/>
      <c r="AD126" s="274">
        <v>19</v>
      </c>
      <c r="AE126" s="134"/>
      <c r="AF126" s="274">
        <v>6</v>
      </c>
      <c r="AG126" s="134"/>
      <c r="AH126" s="348" t="s">
        <v>198</v>
      </c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40"/>
      <c r="BB126" s="139"/>
      <c r="BC126" s="139"/>
      <c r="BD126" s="139"/>
      <c r="BE126" s="139"/>
      <c r="BF126" s="139"/>
      <c r="BG126" s="43"/>
      <c r="BK126" s="50" t="s">
        <v>904</v>
      </c>
      <c r="BL126" s="52" t="s">
        <v>349</v>
      </c>
    </row>
    <row r="127" spans="1:68">
      <c r="A127" s="681">
        <v>120</v>
      </c>
      <c r="B127" s="682"/>
      <c r="C127" s="59" t="str">
        <f t="shared" si="4"/>
        <v>税率(%)</v>
      </c>
      <c r="D127" s="139"/>
      <c r="E127" s="139"/>
      <c r="F127" s="139"/>
      <c r="G127" s="139"/>
      <c r="H127" s="139"/>
      <c r="I127" s="139"/>
      <c r="J127" s="139"/>
      <c r="K127" s="140"/>
      <c r="L127" s="36" t="s">
        <v>99</v>
      </c>
      <c r="M127" s="139"/>
      <c r="N127" s="139"/>
      <c r="O127" s="139"/>
      <c r="P127" s="139"/>
      <c r="Q127" s="139"/>
      <c r="R127" s="139"/>
      <c r="S127" s="139"/>
      <c r="T127" s="139"/>
      <c r="U127" s="683"/>
      <c r="V127" s="682"/>
      <c r="W127" s="684"/>
      <c r="X127" s="685"/>
      <c r="Y127" s="273" t="s">
        <v>16</v>
      </c>
      <c r="Z127" s="126"/>
      <c r="AA127" s="126"/>
      <c r="AB127" s="126"/>
      <c r="AC127" s="127"/>
      <c r="AD127" s="274">
        <v>32</v>
      </c>
      <c r="AE127" s="134"/>
      <c r="AF127" s="274">
        <v>0</v>
      </c>
      <c r="AG127" s="134"/>
      <c r="AH127" s="138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40"/>
      <c r="BB127" s="139"/>
      <c r="BC127" s="139"/>
      <c r="BD127" s="139"/>
      <c r="BE127" s="139"/>
      <c r="BF127" s="139"/>
      <c r="BG127" s="43"/>
      <c r="BK127" s="50" t="s">
        <v>1081</v>
      </c>
      <c r="BL127" s="52" t="s">
        <v>1082</v>
      </c>
    </row>
    <row r="128" spans="1:68">
      <c r="A128" s="681">
        <v>121</v>
      </c>
      <c r="B128" s="682"/>
      <c r="C128" s="457" t="str">
        <f t="shared" si="4"/>
        <v>是否抵扣</v>
      </c>
      <c r="D128" s="460"/>
      <c r="E128" s="460"/>
      <c r="F128" s="460"/>
      <c r="G128" s="460"/>
      <c r="H128" s="460"/>
      <c r="I128" s="460"/>
      <c r="J128" s="460"/>
      <c r="K128" s="461"/>
      <c r="L128" s="36" t="s">
        <v>104</v>
      </c>
      <c r="M128" s="139"/>
      <c r="N128" s="139"/>
      <c r="O128" s="139"/>
      <c r="P128" s="139"/>
      <c r="Q128" s="139"/>
      <c r="R128" s="139"/>
      <c r="S128" s="139"/>
      <c r="T128" s="139"/>
      <c r="U128" s="683"/>
      <c r="V128" s="682"/>
      <c r="W128" s="684"/>
      <c r="X128" s="685"/>
      <c r="Y128" s="273" t="s">
        <v>16</v>
      </c>
      <c r="Z128" s="126"/>
      <c r="AA128" s="126"/>
      <c r="AB128" s="126"/>
      <c r="AC128" s="127"/>
      <c r="AD128" s="274">
        <v>8</v>
      </c>
      <c r="AE128" s="134"/>
      <c r="AF128" s="274">
        <v>0</v>
      </c>
      <c r="AG128" s="134"/>
      <c r="AH128" s="138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40"/>
      <c r="BB128" s="139"/>
      <c r="BC128" s="139"/>
      <c r="BD128" s="139"/>
      <c r="BE128" s="139"/>
      <c r="BF128" s="139"/>
      <c r="BG128" s="43"/>
      <c r="BK128" s="50" t="s">
        <v>1083</v>
      </c>
      <c r="BL128" s="52" t="s">
        <v>1084</v>
      </c>
    </row>
    <row r="129" spans="1:65">
      <c r="A129" s="681">
        <v>122</v>
      </c>
      <c r="B129" s="682"/>
      <c r="C129" s="59" t="str">
        <f t="shared" si="4"/>
        <v>是否简易计税</v>
      </c>
      <c r="D129" s="139"/>
      <c r="E129" s="139"/>
      <c r="F129" s="139"/>
      <c r="G129" s="139"/>
      <c r="H129" s="139"/>
      <c r="I129" s="139"/>
      <c r="J129" s="139"/>
      <c r="K129" s="140"/>
      <c r="L129" s="36" t="s">
        <v>419</v>
      </c>
      <c r="M129" s="139"/>
      <c r="N129" s="139"/>
      <c r="O129" s="139"/>
      <c r="P129" s="139"/>
      <c r="Q129" s="139"/>
      <c r="R129" s="139"/>
      <c r="S129" s="139"/>
      <c r="T129" s="139"/>
      <c r="U129" s="683"/>
      <c r="V129" s="682"/>
      <c r="W129" s="684"/>
      <c r="X129" s="685"/>
      <c r="Y129" s="273" t="s">
        <v>16</v>
      </c>
      <c r="Z129" s="126"/>
      <c r="AA129" s="126"/>
      <c r="AB129" s="126"/>
      <c r="AC129" s="127"/>
      <c r="AD129" s="274">
        <v>8</v>
      </c>
      <c r="AE129" s="134"/>
      <c r="AF129" s="274">
        <v>0</v>
      </c>
      <c r="AG129" s="134"/>
      <c r="AH129" s="138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40"/>
      <c r="BB129" s="139"/>
      <c r="BC129" s="139"/>
      <c r="BD129" s="139"/>
      <c r="BE129" s="139"/>
      <c r="BF129" s="139"/>
      <c r="BG129" s="43"/>
      <c r="BK129" s="50" t="s">
        <v>1085</v>
      </c>
      <c r="BL129" s="52" t="s">
        <v>1086</v>
      </c>
    </row>
    <row r="130" spans="1:65">
      <c r="A130" s="681">
        <v>123</v>
      </c>
      <c r="B130" s="682"/>
      <c r="C130" s="59" t="str">
        <f t="shared" si="4"/>
        <v>【业主合同台账】_项目性质</v>
      </c>
      <c r="D130" s="139"/>
      <c r="E130" s="139"/>
      <c r="F130" s="139"/>
      <c r="G130" s="139"/>
      <c r="H130" s="139"/>
      <c r="I130" s="139"/>
      <c r="J130" s="139"/>
      <c r="K130" s="140"/>
      <c r="L130" s="36" t="s">
        <v>420</v>
      </c>
      <c r="M130" s="139"/>
      <c r="N130" s="139"/>
      <c r="O130" s="139"/>
      <c r="P130" s="139"/>
      <c r="Q130" s="139"/>
      <c r="R130" s="139"/>
      <c r="S130" s="139"/>
      <c r="T130" s="139"/>
      <c r="U130" s="683"/>
      <c r="V130" s="682"/>
      <c r="W130" s="684"/>
      <c r="X130" s="685"/>
      <c r="Y130" s="273" t="s">
        <v>16</v>
      </c>
      <c r="Z130" s="126"/>
      <c r="AA130" s="126"/>
      <c r="AB130" s="126"/>
      <c r="AC130" s="127"/>
      <c r="AD130" s="274">
        <v>32</v>
      </c>
      <c r="AE130" s="134"/>
      <c r="AF130" s="274">
        <v>0</v>
      </c>
      <c r="AG130" s="134"/>
      <c r="AH130" s="330" t="s">
        <v>1418</v>
      </c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40"/>
      <c r="BB130" s="139"/>
      <c r="BC130" s="139"/>
      <c r="BD130" s="139"/>
      <c r="BE130" s="139"/>
      <c r="BF130" s="139"/>
      <c r="BG130" s="43"/>
      <c r="BK130" s="50" t="s">
        <v>1087</v>
      </c>
      <c r="BL130" s="52" t="s">
        <v>1088</v>
      </c>
    </row>
    <row r="131" spans="1:65">
      <c r="A131" s="681">
        <v>124</v>
      </c>
      <c r="B131" s="682"/>
      <c r="C131" s="457" t="str">
        <f t="shared" si="4"/>
        <v>授权委托人姓名</v>
      </c>
      <c r="D131" s="460"/>
      <c r="E131" s="460"/>
      <c r="F131" s="460"/>
      <c r="G131" s="460"/>
      <c r="H131" s="460"/>
      <c r="I131" s="460"/>
      <c r="J131" s="460"/>
      <c r="K131" s="461"/>
      <c r="L131" s="36" t="s">
        <v>109</v>
      </c>
      <c r="M131" s="139"/>
      <c r="N131" s="139"/>
      <c r="O131" s="139"/>
      <c r="P131" s="139"/>
      <c r="Q131" s="139"/>
      <c r="R131" s="139"/>
      <c r="S131" s="139"/>
      <c r="T131" s="139"/>
      <c r="U131" s="683"/>
      <c r="V131" s="682"/>
      <c r="W131" s="684"/>
      <c r="X131" s="685"/>
      <c r="Y131" s="273" t="s">
        <v>16</v>
      </c>
      <c r="Z131" s="126"/>
      <c r="AA131" s="126"/>
      <c r="AB131" s="126"/>
      <c r="AC131" s="127"/>
      <c r="AD131" s="274">
        <v>256</v>
      </c>
      <c r="AE131" s="134"/>
      <c r="AF131" s="274">
        <v>0</v>
      </c>
      <c r="AG131" s="134"/>
      <c r="AH131" s="138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40"/>
      <c r="BB131" s="139"/>
      <c r="BC131" s="139"/>
      <c r="BD131" s="139"/>
      <c r="BE131" s="139"/>
      <c r="BF131" s="139"/>
      <c r="BG131" s="43"/>
      <c r="BK131" s="50" t="s">
        <v>1089</v>
      </c>
      <c r="BL131" s="52" t="s">
        <v>1090</v>
      </c>
    </row>
    <row r="132" spans="1:65">
      <c r="A132" s="681">
        <v>125</v>
      </c>
      <c r="B132" s="682"/>
      <c r="C132" s="457" t="str">
        <f t="shared" si="4"/>
        <v>授权委托人身份证号</v>
      </c>
      <c r="D132" s="460"/>
      <c r="E132" s="460"/>
      <c r="F132" s="460"/>
      <c r="G132" s="460"/>
      <c r="H132" s="460"/>
      <c r="I132" s="460"/>
      <c r="J132" s="460"/>
      <c r="K132" s="461"/>
      <c r="L132" s="36" t="s">
        <v>110</v>
      </c>
      <c r="M132" s="139"/>
      <c r="N132" s="139"/>
      <c r="O132" s="139"/>
      <c r="P132" s="139"/>
      <c r="Q132" s="139"/>
      <c r="R132" s="139"/>
      <c r="S132" s="139"/>
      <c r="T132" s="139"/>
      <c r="U132" s="683"/>
      <c r="V132" s="682"/>
      <c r="W132" s="684"/>
      <c r="X132" s="685"/>
      <c r="Y132" s="273" t="s">
        <v>16</v>
      </c>
      <c r="Z132" s="126"/>
      <c r="AA132" s="126"/>
      <c r="AB132" s="126"/>
      <c r="AC132" s="127"/>
      <c r="AD132" s="274">
        <v>256</v>
      </c>
      <c r="AE132" s="134"/>
      <c r="AF132" s="274">
        <v>0</v>
      </c>
      <c r="AG132" s="134"/>
      <c r="AH132" s="138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40"/>
      <c r="BB132" s="139"/>
      <c r="BC132" s="139"/>
      <c r="BD132" s="139"/>
      <c r="BE132" s="139"/>
      <c r="BF132" s="139"/>
      <c r="BG132" s="43"/>
      <c r="BK132" s="50" t="s">
        <v>1039</v>
      </c>
      <c r="BL132" s="52" t="s">
        <v>1040</v>
      </c>
    </row>
    <row r="133" spans="1:65">
      <c r="A133" s="681">
        <v>126</v>
      </c>
      <c r="B133" s="682"/>
      <c r="C133" s="457" t="str">
        <f t="shared" si="4"/>
        <v>推荐人姓名</v>
      </c>
      <c r="D133" s="460"/>
      <c r="E133" s="460"/>
      <c r="F133" s="460"/>
      <c r="G133" s="460"/>
      <c r="H133" s="460"/>
      <c r="I133" s="460"/>
      <c r="J133" s="460"/>
      <c r="K133" s="461"/>
      <c r="L133" s="278" t="s">
        <v>111</v>
      </c>
      <c r="M133" s="139"/>
      <c r="N133" s="139"/>
      <c r="O133" s="139"/>
      <c r="P133" s="139"/>
      <c r="Q133" s="139"/>
      <c r="R133" s="139"/>
      <c r="S133" s="139"/>
      <c r="T133" s="139"/>
      <c r="U133" s="683"/>
      <c r="V133" s="682"/>
      <c r="W133" s="684"/>
      <c r="X133" s="685"/>
      <c r="Y133" s="275" t="s">
        <v>16</v>
      </c>
      <c r="Z133" s="131"/>
      <c r="AA133" s="131"/>
      <c r="AB133" s="131"/>
      <c r="AC133" s="132"/>
      <c r="AD133" s="274">
        <v>256</v>
      </c>
      <c r="AE133" s="134"/>
      <c r="AF133" s="274">
        <v>0</v>
      </c>
      <c r="AG133" s="134"/>
      <c r="AH133" s="141"/>
      <c r="AI133" s="142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40"/>
      <c r="BB133" s="139"/>
      <c r="BC133" s="139"/>
      <c r="BD133" s="139"/>
      <c r="BE133" s="139"/>
      <c r="BF133" s="139"/>
      <c r="BG133" s="43"/>
      <c r="BH133" s="36"/>
      <c r="BK133" s="343" t="s">
        <v>35</v>
      </c>
      <c r="BL133" s="52" t="s">
        <v>1043</v>
      </c>
    </row>
    <row r="134" spans="1:65">
      <c r="A134" s="681">
        <v>127</v>
      </c>
      <c r="B134" s="682"/>
      <c r="C134" s="457" t="str">
        <f t="shared" si="4"/>
        <v>推荐人职务</v>
      </c>
      <c r="D134" s="458"/>
      <c r="E134" s="458"/>
      <c r="F134" s="458"/>
      <c r="G134" s="458"/>
      <c r="H134" s="458"/>
      <c r="I134" s="458"/>
      <c r="J134" s="458"/>
      <c r="K134" s="459"/>
      <c r="L134" s="1" t="s">
        <v>112</v>
      </c>
      <c r="M134" s="142"/>
      <c r="N134" s="142"/>
      <c r="O134" s="142"/>
      <c r="P134" s="142"/>
      <c r="Q134" s="142"/>
      <c r="R134" s="142"/>
      <c r="S134" s="142"/>
      <c r="T134" s="142"/>
      <c r="U134" s="692"/>
      <c r="V134" s="693"/>
      <c r="W134" s="694"/>
      <c r="X134" s="695"/>
      <c r="Y134" s="275" t="s">
        <v>16</v>
      </c>
      <c r="Z134" s="131"/>
      <c r="AA134" s="131"/>
      <c r="AB134" s="131"/>
      <c r="AC134" s="132"/>
      <c r="AD134" s="274">
        <v>256</v>
      </c>
      <c r="AE134" s="134"/>
      <c r="AF134" s="274">
        <v>0</v>
      </c>
      <c r="AG134" s="134"/>
      <c r="AH134" s="141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3"/>
      <c r="BB134" s="139"/>
      <c r="BC134" s="139"/>
      <c r="BD134" s="139"/>
      <c r="BE134" s="139"/>
      <c r="BF134" s="139"/>
      <c r="BG134" s="43"/>
      <c r="BH134" s="36"/>
      <c r="BK134" s="343" t="s">
        <v>409</v>
      </c>
      <c r="BL134" s="52" t="s">
        <v>1091</v>
      </c>
    </row>
    <row r="135" spans="1:65">
      <c r="A135" s="681">
        <v>128</v>
      </c>
      <c r="B135" s="682"/>
      <c r="C135" s="457" t="str">
        <f t="shared" si="4"/>
        <v>推荐人电话</v>
      </c>
      <c r="D135" s="458"/>
      <c r="E135" s="458"/>
      <c r="F135" s="458"/>
      <c r="G135" s="458"/>
      <c r="H135" s="458"/>
      <c r="I135" s="458"/>
      <c r="J135" s="458"/>
      <c r="K135" s="459"/>
      <c r="L135" s="1" t="s">
        <v>113</v>
      </c>
      <c r="M135" s="142"/>
      <c r="N135" s="142"/>
      <c r="O135" s="142"/>
      <c r="P135" s="142"/>
      <c r="Q135" s="142"/>
      <c r="R135" s="142"/>
      <c r="S135" s="142"/>
      <c r="T135" s="142"/>
      <c r="U135" s="692"/>
      <c r="V135" s="693"/>
      <c r="W135" s="694"/>
      <c r="X135" s="695"/>
      <c r="Y135" s="275" t="s">
        <v>16</v>
      </c>
      <c r="Z135" s="131"/>
      <c r="AA135" s="131"/>
      <c r="AB135" s="131"/>
      <c r="AC135" s="132"/>
      <c r="AD135" s="274">
        <v>256</v>
      </c>
      <c r="AE135" s="134"/>
      <c r="AF135" s="274">
        <v>0</v>
      </c>
      <c r="AG135" s="134"/>
      <c r="AH135" s="141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40"/>
      <c r="BB135" s="48"/>
      <c r="BC135" s="48"/>
      <c r="BD135" s="48"/>
      <c r="BE135" s="48"/>
      <c r="BF135" s="48"/>
      <c r="BG135" s="49"/>
      <c r="BK135" s="343" t="s">
        <v>410</v>
      </c>
      <c r="BL135" s="52" t="s">
        <v>1092</v>
      </c>
    </row>
    <row r="136" spans="1:65">
      <c r="A136" s="681">
        <v>129</v>
      </c>
      <c r="B136" s="682"/>
      <c r="C136" s="59" t="str">
        <f t="shared" ref="C136:C167" si="5">VLOOKUP(L136,$BK$7:$BL$276,2,FALSE)</f>
        <v>comID</v>
      </c>
      <c r="D136" s="142"/>
      <c r="E136" s="142"/>
      <c r="F136" s="142"/>
      <c r="G136" s="142"/>
      <c r="H136" s="142"/>
      <c r="I136" s="142"/>
      <c r="J136" s="142"/>
      <c r="K136" s="143"/>
      <c r="L136" s="1" t="s">
        <v>1943</v>
      </c>
      <c r="M136" s="142"/>
      <c r="N136" s="142"/>
      <c r="O136" s="142"/>
      <c r="P136" s="142"/>
      <c r="Q136" s="142"/>
      <c r="R136" s="142"/>
      <c r="S136" s="142"/>
      <c r="T136" s="142"/>
      <c r="U136" s="692"/>
      <c r="V136" s="693"/>
      <c r="W136" s="694"/>
      <c r="X136" s="695"/>
      <c r="Y136" s="275" t="s">
        <v>16</v>
      </c>
      <c r="Z136" s="131"/>
      <c r="AA136" s="131"/>
      <c r="AB136" s="131"/>
      <c r="AC136" s="132"/>
      <c r="AD136" s="274">
        <v>100</v>
      </c>
      <c r="AE136" s="134"/>
      <c r="AF136" s="274">
        <v>0</v>
      </c>
      <c r="AG136" s="134"/>
      <c r="AH136" s="141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40"/>
      <c r="BB136" s="139"/>
      <c r="BC136" s="139"/>
      <c r="BD136" s="139"/>
      <c r="BE136" s="139"/>
      <c r="BF136" s="139"/>
      <c r="BG136" s="43"/>
      <c r="BK136" s="343" t="s">
        <v>411</v>
      </c>
      <c r="BL136" s="52" t="s">
        <v>1093</v>
      </c>
    </row>
    <row r="137" spans="1:65">
      <c r="A137" s="681">
        <v>130</v>
      </c>
      <c r="B137" s="682"/>
      <c r="C137" s="59" t="str">
        <f t="shared" si="5"/>
        <v>财务系统ID</v>
      </c>
      <c r="D137" s="142"/>
      <c r="E137" s="142"/>
      <c r="F137" s="142"/>
      <c r="G137" s="142"/>
      <c r="H137" s="142"/>
      <c r="I137" s="142"/>
      <c r="J137" s="142"/>
      <c r="K137" s="143"/>
      <c r="L137" s="1" t="s">
        <v>116</v>
      </c>
      <c r="M137" s="142"/>
      <c r="N137" s="142"/>
      <c r="O137" s="142"/>
      <c r="P137" s="142"/>
      <c r="Q137" s="142"/>
      <c r="R137" s="142"/>
      <c r="S137" s="142"/>
      <c r="T137" s="142"/>
      <c r="U137" s="692"/>
      <c r="V137" s="693"/>
      <c r="W137" s="694"/>
      <c r="X137" s="695"/>
      <c r="Y137" s="275" t="s">
        <v>16</v>
      </c>
      <c r="Z137" s="131"/>
      <c r="AA137" s="131"/>
      <c r="AB137" s="131"/>
      <c r="AC137" s="132"/>
      <c r="AD137" s="274">
        <v>36</v>
      </c>
      <c r="AE137" s="134"/>
      <c r="AF137" s="274">
        <v>0</v>
      </c>
      <c r="AG137" s="134"/>
      <c r="AH137" s="141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40"/>
      <c r="BB137" s="139"/>
      <c r="BC137" s="139"/>
      <c r="BD137" s="139"/>
      <c r="BE137" s="139"/>
      <c r="BF137" s="139"/>
      <c r="BG137" s="43"/>
      <c r="BK137" s="50" t="s">
        <v>412</v>
      </c>
      <c r="BL137" s="52" t="s">
        <v>1094</v>
      </c>
    </row>
    <row r="138" spans="1:65">
      <c r="A138" s="681">
        <v>131</v>
      </c>
      <c r="B138" s="682"/>
      <c r="C138" s="59" t="str">
        <f t="shared" si="5"/>
        <v>名义投标单位ID</v>
      </c>
      <c r="D138" s="142"/>
      <c r="E138" s="142"/>
      <c r="F138" s="142"/>
      <c r="G138" s="142"/>
      <c r="H138" s="142"/>
      <c r="I138" s="142"/>
      <c r="J138" s="142"/>
      <c r="K138" s="143"/>
      <c r="L138" s="1" t="s">
        <v>120</v>
      </c>
      <c r="M138" s="142"/>
      <c r="N138" s="142"/>
      <c r="O138" s="142"/>
      <c r="P138" s="142"/>
      <c r="Q138" s="142"/>
      <c r="R138" s="142"/>
      <c r="S138" s="142"/>
      <c r="T138" s="142"/>
      <c r="U138" s="692"/>
      <c r="V138" s="693"/>
      <c r="W138" s="694"/>
      <c r="X138" s="695"/>
      <c r="Y138" s="275" t="s">
        <v>16</v>
      </c>
      <c r="Z138" s="131"/>
      <c r="AA138" s="131"/>
      <c r="AB138" s="131"/>
      <c r="AC138" s="132"/>
      <c r="AD138" s="274">
        <v>100</v>
      </c>
      <c r="AE138" s="134"/>
      <c r="AF138" s="274">
        <v>0</v>
      </c>
      <c r="AG138" s="134"/>
      <c r="AH138" s="141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40"/>
      <c r="BB138" s="139"/>
      <c r="BC138" s="139"/>
      <c r="BD138" s="139"/>
      <c r="BE138" s="139"/>
      <c r="BF138" s="139"/>
      <c r="BG138" s="43"/>
      <c r="BK138" s="50" t="s">
        <v>413</v>
      </c>
      <c r="BL138" s="52" t="s">
        <v>1095</v>
      </c>
    </row>
    <row r="139" spans="1:65">
      <c r="A139" s="681">
        <v>132</v>
      </c>
      <c r="B139" s="682"/>
      <c r="C139" s="59" t="str">
        <f t="shared" si="5"/>
        <v>名义投标单位编号</v>
      </c>
      <c r="D139" s="142"/>
      <c r="E139" s="142"/>
      <c r="F139" s="142"/>
      <c r="G139" s="142"/>
      <c r="H139" s="142"/>
      <c r="I139" s="142"/>
      <c r="J139" s="142"/>
      <c r="K139" s="143"/>
      <c r="L139" s="1" t="s">
        <v>121</v>
      </c>
      <c r="M139" s="142"/>
      <c r="N139" s="142"/>
      <c r="O139" s="142"/>
      <c r="P139" s="142"/>
      <c r="Q139" s="142"/>
      <c r="R139" s="142"/>
      <c r="S139" s="142"/>
      <c r="T139" s="142"/>
      <c r="U139" s="692"/>
      <c r="V139" s="693"/>
      <c r="W139" s="694"/>
      <c r="X139" s="695"/>
      <c r="Y139" s="275" t="s">
        <v>16</v>
      </c>
      <c r="Z139" s="131"/>
      <c r="AA139" s="131"/>
      <c r="AB139" s="131"/>
      <c r="AC139" s="132"/>
      <c r="AD139" s="274">
        <v>36</v>
      </c>
      <c r="AE139" s="134"/>
      <c r="AF139" s="274">
        <v>0</v>
      </c>
      <c r="AG139" s="134"/>
      <c r="AH139" s="141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40"/>
      <c r="BB139" s="139"/>
      <c r="BC139" s="139"/>
      <c r="BD139" s="139"/>
      <c r="BE139" s="139"/>
      <c r="BF139" s="139"/>
      <c r="BG139" s="43"/>
      <c r="BK139" s="50" t="s">
        <v>1419</v>
      </c>
      <c r="BL139" s="52" t="s">
        <v>1097</v>
      </c>
      <c r="BM139" s="3" t="s">
        <v>1096</v>
      </c>
    </row>
    <row r="140" spans="1:65">
      <c r="A140" s="681">
        <v>133</v>
      </c>
      <c r="B140" s="682"/>
      <c r="C140" s="59" t="str">
        <f t="shared" si="5"/>
        <v>名义投标单位</v>
      </c>
      <c r="D140" s="142"/>
      <c r="E140" s="142"/>
      <c r="F140" s="142"/>
      <c r="G140" s="142"/>
      <c r="H140" s="142"/>
      <c r="I140" s="142"/>
      <c r="J140" s="142"/>
      <c r="K140" s="143"/>
      <c r="L140" s="1" t="s">
        <v>122</v>
      </c>
      <c r="M140" s="142"/>
      <c r="N140" s="142"/>
      <c r="O140" s="142"/>
      <c r="P140" s="142"/>
      <c r="Q140" s="142"/>
      <c r="R140" s="142"/>
      <c r="S140" s="142"/>
      <c r="T140" s="142"/>
      <c r="U140" s="692"/>
      <c r="V140" s="693"/>
      <c r="W140" s="694"/>
      <c r="X140" s="695"/>
      <c r="Y140" s="275" t="s">
        <v>16</v>
      </c>
      <c r="Z140" s="131"/>
      <c r="AA140" s="131"/>
      <c r="AB140" s="131"/>
      <c r="AC140" s="132"/>
      <c r="AD140" s="274">
        <v>100</v>
      </c>
      <c r="AE140" s="134"/>
      <c r="AF140" s="274">
        <v>0</v>
      </c>
      <c r="AG140" s="134"/>
      <c r="AH140" s="141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40"/>
      <c r="BB140" s="139"/>
      <c r="BC140" s="139"/>
      <c r="BD140" s="139"/>
      <c r="BE140" s="139"/>
      <c r="BF140" s="139"/>
      <c r="BG140" s="43"/>
      <c r="BK140" s="50" t="s">
        <v>1098</v>
      </c>
      <c r="BL140" s="52" t="s">
        <v>1099</v>
      </c>
    </row>
    <row r="141" spans="1:65">
      <c r="A141" s="681">
        <v>134</v>
      </c>
      <c r="B141" s="682"/>
      <c r="C141" s="59" t="str">
        <f t="shared" si="5"/>
        <v>核算单位id</v>
      </c>
      <c r="D141" s="139"/>
      <c r="E141" s="139"/>
      <c r="F141" s="139"/>
      <c r="G141" s="139"/>
      <c r="H141" s="139"/>
      <c r="I141" s="139"/>
      <c r="J141" s="139"/>
      <c r="K141" s="140"/>
      <c r="L141" s="36" t="s">
        <v>123</v>
      </c>
      <c r="M141" s="139"/>
      <c r="N141" s="139"/>
      <c r="O141" s="139"/>
      <c r="P141" s="139"/>
      <c r="Q141" s="139"/>
      <c r="R141" s="139"/>
      <c r="S141" s="139"/>
      <c r="T141" s="139"/>
      <c r="U141" s="683"/>
      <c r="V141" s="682"/>
      <c r="W141" s="684"/>
      <c r="X141" s="685"/>
      <c r="Y141" s="273" t="s">
        <v>16</v>
      </c>
      <c r="Z141" s="126"/>
      <c r="AA141" s="126"/>
      <c r="AB141" s="126"/>
      <c r="AC141" s="127"/>
      <c r="AD141" s="274">
        <v>64</v>
      </c>
      <c r="AE141" s="134"/>
      <c r="AF141" s="274">
        <v>0</v>
      </c>
      <c r="AG141" s="134"/>
      <c r="AH141" s="138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40"/>
      <c r="BB141" s="139"/>
      <c r="BC141" s="139"/>
      <c r="BD141" s="139"/>
      <c r="BE141" s="139"/>
      <c r="BF141" s="139"/>
      <c r="BG141" s="43"/>
      <c r="BK141" s="50" t="s">
        <v>1100</v>
      </c>
      <c r="BL141" s="52" t="s">
        <v>1101</v>
      </c>
    </row>
    <row r="142" spans="1:65">
      <c r="A142" s="681">
        <v>135</v>
      </c>
      <c r="B142" s="682"/>
      <c r="C142" s="59" t="str">
        <f t="shared" si="5"/>
        <v>核算单位编号</v>
      </c>
      <c r="D142" s="139"/>
      <c r="E142" s="139"/>
      <c r="F142" s="139"/>
      <c r="G142" s="139"/>
      <c r="H142" s="139"/>
      <c r="I142" s="139"/>
      <c r="J142" s="139"/>
      <c r="K142" s="140"/>
      <c r="L142" s="36" t="s">
        <v>124</v>
      </c>
      <c r="M142" s="139"/>
      <c r="N142" s="139"/>
      <c r="O142" s="139"/>
      <c r="P142" s="139"/>
      <c r="Q142" s="139"/>
      <c r="R142" s="139"/>
      <c r="S142" s="139"/>
      <c r="T142" s="139"/>
      <c r="U142" s="683"/>
      <c r="V142" s="682"/>
      <c r="W142" s="684"/>
      <c r="X142" s="685"/>
      <c r="Y142" s="273" t="s">
        <v>16</v>
      </c>
      <c r="Z142" s="126"/>
      <c r="AA142" s="126"/>
      <c r="AB142" s="126"/>
      <c r="AC142" s="127"/>
      <c r="AD142" s="274">
        <v>64</v>
      </c>
      <c r="AE142" s="134"/>
      <c r="AF142" s="274">
        <v>0</v>
      </c>
      <c r="AG142" s="134"/>
      <c r="AH142" s="138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40"/>
      <c r="BB142" s="139"/>
      <c r="BC142" s="139"/>
      <c r="BD142" s="139"/>
      <c r="BE142" s="139"/>
      <c r="BF142" s="139"/>
      <c r="BG142" s="43"/>
      <c r="BK142" s="50" t="s">
        <v>1195</v>
      </c>
      <c r="BL142" s="52" t="s">
        <v>1196</v>
      </c>
    </row>
    <row r="143" spans="1:65">
      <c r="A143" s="681">
        <v>136</v>
      </c>
      <c r="B143" s="682"/>
      <c r="C143" s="59" t="str">
        <f t="shared" si="5"/>
        <v>核算单位</v>
      </c>
      <c r="D143" s="139"/>
      <c r="E143" s="139"/>
      <c r="F143" s="139"/>
      <c r="G143" s="139"/>
      <c r="H143" s="139"/>
      <c r="I143" s="139"/>
      <c r="J143" s="139"/>
      <c r="K143" s="140"/>
      <c r="L143" s="36" t="s">
        <v>125</v>
      </c>
      <c r="M143" s="139"/>
      <c r="N143" s="139"/>
      <c r="O143" s="139"/>
      <c r="P143" s="139"/>
      <c r="Q143" s="139"/>
      <c r="R143" s="139"/>
      <c r="S143" s="139"/>
      <c r="T143" s="139"/>
      <c r="U143" s="683"/>
      <c r="V143" s="682"/>
      <c r="W143" s="684"/>
      <c r="X143" s="685"/>
      <c r="Y143" s="273" t="s">
        <v>16</v>
      </c>
      <c r="Z143" s="126"/>
      <c r="AA143" s="126"/>
      <c r="AB143" s="126"/>
      <c r="AC143" s="127"/>
      <c r="AD143" s="274">
        <v>64</v>
      </c>
      <c r="AE143" s="134"/>
      <c r="AF143" s="274">
        <v>0</v>
      </c>
      <c r="AG143" s="134"/>
      <c r="AH143" s="138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40"/>
      <c r="BB143" s="139"/>
      <c r="BC143" s="139"/>
      <c r="BD143" s="139"/>
      <c r="BE143" s="139"/>
      <c r="BF143" s="139"/>
      <c r="BG143" s="43"/>
      <c r="BK143" s="50" t="s">
        <v>1102</v>
      </c>
      <c r="BL143" s="52" t="s">
        <v>1103</v>
      </c>
    </row>
    <row r="144" spans="1:65">
      <c r="A144" s="681">
        <v>137</v>
      </c>
      <c r="B144" s="682"/>
      <c r="C144" s="59" t="str">
        <f t="shared" si="5"/>
        <v>核算项目Id</v>
      </c>
      <c r="D144" s="139"/>
      <c r="E144" s="139"/>
      <c r="F144" s="139"/>
      <c r="G144" s="139"/>
      <c r="H144" s="139"/>
      <c r="I144" s="139"/>
      <c r="J144" s="139"/>
      <c r="K144" s="140"/>
      <c r="L144" s="36" t="s">
        <v>126</v>
      </c>
      <c r="M144" s="139"/>
      <c r="N144" s="139"/>
      <c r="O144" s="139"/>
      <c r="P144" s="139"/>
      <c r="Q144" s="139"/>
      <c r="R144" s="139"/>
      <c r="S144" s="139"/>
      <c r="T144" s="139"/>
      <c r="U144" s="683"/>
      <c r="V144" s="682"/>
      <c r="W144" s="684"/>
      <c r="X144" s="685"/>
      <c r="Y144" s="273" t="s">
        <v>16</v>
      </c>
      <c r="Z144" s="126"/>
      <c r="AA144" s="126"/>
      <c r="AB144" s="126"/>
      <c r="AC144" s="127"/>
      <c r="AD144" s="274">
        <v>64</v>
      </c>
      <c r="AE144" s="134"/>
      <c r="AF144" s="274">
        <v>0</v>
      </c>
      <c r="AG144" s="134"/>
      <c r="AH144" s="138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40"/>
      <c r="BB144" s="139"/>
      <c r="BC144" s="139"/>
      <c r="BD144" s="139"/>
      <c r="BE144" s="139"/>
      <c r="BF144" s="139"/>
      <c r="BG144" s="43"/>
      <c r="BK144" s="343" t="s">
        <v>419</v>
      </c>
      <c r="BL144" s="52" t="s">
        <v>1104</v>
      </c>
    </row>
    <row r="145" spans="1:65">
      <c r="A145" s="681">
        <v>138</v>
      </c>
      <c r="B145" s="682"/>
      <c r="C145" s="59" t="str">
        <f t="shared" si="5"/>
        <v>核算项目编号</v>
      </c>
      <c r="D145" s="139"/>
      <c r="E145" s="139"/>
      <c r="F145" s="139"/>
      <c r="G145" s="139"/>
      <c r="H145" s="139"/>
      <c r="I145" s="139"/>
      <c r="J145" s="139"/>
      <c r="K145" s="140"/>
      <c r="L145" s="36" t="s">
        <v>127</v>
      </c>
      <c r="M145" s="139"/>
      <c r="N145" s="139"/>
      <c r="O145" s="139"/>
      <c r="P145" s="139"/>
      <c r="Q145" s="139"/>
      <c r="R145" s="139"/>
      <c r="S145" s="139"/>
      <c r="T145" s="139"/>
      <c r="U145" s="683"/>
      <c r="V145" s="682"/>
      <c r="W145" s="684"/>
      <c r="X145" s="685"/>
      <c r="Y145" s="273" t="s">
        <v>16</v>
      </c>
      <c r="Z145" s="126"/>
      <c r="AA145" s="126"/>
      <c r="AB145" s="126"/>
      <c r="AC145" s="127"/>
      <c r="AD145" s="274">
        <v>64</v>
      </c>
      <c r="AE145" s="134"/>
      <c r="AF145" s="274">
        <v>0</v>
      </c>
      <c r="AG145" s="134"/>
      <c r="AH145" s="138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40"/>
      <c r="BB145" s="139"/>
      <c r="BC145" s="139"/>
      <c r="BD145" s="139"/>
      <c r="BE145" s="139"/>
      <c r="BF145" s="139"/>
      <c r="BG145" s="43"/>
      <c r="BK145" s="50" t="s">
        <v>1416</v>
      </c>
      <c r="BL145" s="52" t="s">
        <v>1105</v>
      </c>
      <c r="BM145" s="3" t="s">
        <v>1417</v>
      </c>
    </row>
    <row r="146" spans="1:65">
      <c r="A146" s="681">
        <v>139</v>
      </c>
      <c r="B146" s="682"/>
      <c r="C146" s="59" t="str">
        <f t="shared" si="5"/>
        <v>核算项目名称</v>
      </c>
      <c r="D146" s="139"/>
      <c r="E146" s="139"/>
      <c r="F146" s="139"/>
      <c r="G146" s="139"/>
      <c r="H146" s="139"/>
      <c r="I146" s="139"/>
      <c r="J146" s="139"/>
      <c r="K146" s="140"/>
      <c r="L146" s="36" t="s">
        <v>128</v>
      </c>
      <c r="M146" s="139"/>
      <c r="N146" s="139"/>
      <c r="O146" s="139"/>
      <c r="P146" s="139"/>
      <c r="Q146" s="139"/>
      <c r="R146" s="139"/>
      <c r="S146" s="139"/>
      <c r="T146" s="139"/>
      <c r="U146" s="683"/>
      <c r="V146" s="682"/>
      <c r="W146" s="684"/>
      <c r="X146" s="685"/>
      <c r="Y146" s="273" t="s">
        <v>16</v>
      </c>
      <c r="Z146" s="126"/>
      <c r="AA146" s="126"/>
      <c r="AB146" s="126"/>
      <c r="AC146" s="127"/>
      <c r="AD146" s="274">
        <v>64</v>
      </c>
      <c r="AE146" s="134"/>
      <c r="AF146" s="274">
        <v>0</v>
      </c>
      <c r="AG146" s="134"/>
      <c r="AH146" s="138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40"/>
      <c r="BB146" s="139"/>
      <c r="BC146" s="139"/>
      <c r="BD146" s="139"/>
      <c r="BE146" s="139"/>
      <c r="BF146" s="139"/>
      <c r="BG146" s="43"/>
      <c r="BK146" s="50" t="s">
        <v>1106</v>
      </c>
      <c r="BL146" s="52" t="s">
        <v>1107</v>
      </c>
    </row>
    <row r="147" spans="1:65">
      <c r="A147" s="681">
        <v>140</v>
      </c>
      <c r="B147" s="682"/>
      <c r="C147" s="59" t="str">
        <f t="shared" si="5"/>
        <v>项目属地</v>
      </c>
      <c r="D147" s="139"/>
      <c r="E147" s="139"/>
      <c r="F147" s="139"/>
      <c r="G147" s="139"/>
      <c r="H147" s="139"/>
      <c r="I147" s="139"/>
      <c r="J147" s="139"/>
      <c r="K147" s="140"/>
      <c r="L147" s="36" t="s">
        <v>129</v>
      </c>
      <c r="M147" s="139"/>
      <c r="N147" s="139"/>
      <c r="O147" s="139"/>
      <c r="P147" s="139"/>
      <c r="Q147" s="139"/>
      <c r="R147" s="139"/>
      <c r="S147" s="139"/>
      <c r="T147" s="139"/>
      <c r="U147" s="683"/>
      <c r="V147" s="682"/>
      <c r="W147" s="684"/>
      <c r="X147" s="685"/>
      <c r="Y147" s="273" t="s">
        <v>16</v>
      </c>
      <c r="Z147" s="126"/>
      <c r="AA147" s="126"/>
      <c r="AB147" s="126"/>
      <c r="AC147" s="127"/>
      <c r="AD147" s="274">
        <v>64</v>
      </c>
      <c r="AE147" s="134"/>
      <c r="AF147" s="274">
        <v>0</v>
      </c>
      <c r="AG147" s="134"/>
      <c r="AH147" s="138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40"/>
      <c r="BB147" s="139"/>
      <c r="BC147" s="139"/>
      <c r="BD147" s="139"/>
      <c r="BE147" s="139"/>
      <c r="BF147" s="139"/>
      <c r="BG147" s="43"/>
      <c r="BK147" s="50" t="s">
        <v>1055</v>
      </c>
      <c r="BL147" s="52" t="s">
        <v>981</v>
      </c>
    </row>
    <row r="148" spans="1:65">
      <c r="A148" s="681">
        <v>141</v>
      </c>
      <c r="B148" s="682"/>
      <c r="C148" s="59" t="str">
        <f t="shared" si="5"/>
        <v>业务板块</v>
      </c>
      <c r="D148" s="139"/>
      <c r="E148" s="139"/>
      <c r="F148" s="139"/>
      <c r="G148" s="139"/>
      <c r="H148" s="139"/>
      <c r="I148" s="139"/>
      <c r="J148" s="139"/>
      <c r="K148" s="140"/>
      <c r="L148" s="36" t="s">
        <v>130</v>
      </c>
      <c r="M148" s="139"/>
      <c r="N148" s="139"/>
      <c r="O148" s="139"/>
      <c r="P148" s="139"/>
      <c r="Q148" s="139"/>
      <c r="R148" s="139"/>
      <c r="S148" s="139"/>
      <c r="T148" s="139"/>
      <c r="U148" s="683"/>
      <c r="V148" s="682"/>
      <c r="W148" s="684"/>
      <c r="X148" s="685"/>
      <c r="Y148" s="273" t="s">
        <v>16</v>
      </c>
      <c r="Z148" s="126"/>
      <c r="AA148" s="126"/>
      <c r="AB148" s="126"/>
      <c r="AC148" s="127"/>
      <c r="AD148" s="274">
        <v>64</v>
      </c>
      <c r="AE148" s="134"/>
      <c r="AF148" s="274">
        <v>0</v>
      </c>
      <c r="AG148" s="134"/>
      <c r="AH148" s="138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40"/>
      <c r="BB148" s="139"/>
      <c r="BC148" s="139"/>
      <c r="BD148" s="139"/>
      <c r="BE148" s="139"/>
      <c r="BF148" s="139"/>
      <c r="BG148" s="43"/>
      <c r="BK148" s="50" t="s">
        <v>121</v>
      </c>
      <c r="BL148" s="52" t="s">
        <v>983</v>
      </c>
    </row>
    <row r="149" spans="1:65">
      <c r="A149" s="681">
        <v>142</v>
      </c>
      <c r="B149" s="682"/>
      <c r="C149" s="59" t="str">
        <f t="shared" si="5"/>
        <v>项目资金来源</v>
      </c>
      <c r="D149" s="139"/>
      <c r="E149" s="139"/>
      <c r="F149" s="139"/>
      <c r="G149" s="139"/>
      <c r="H149" s="139"/>
      <c r="I149" s="139"/>
      <c r="J149" s="139"/>
      <c r="K149" s="140"/>
      <c r="L149" s="36" t="s">
        <v>131</v>
      </c>
      <c r="M149" s="139"/>
      <c r="N149" s="139"/>
      <c r="O149" s="139"/>
      <c r="P149" s="139"/>
      <c r="Q149" s="139"/>
      <c r="R149" s="139"/>
      <c r="S149" s="139"/>
      <c r="T149" s="139"/>
      <c r="U149" s="683"/>
      <c r="V149" s="682"/>
      <c r="W149" s="684"/>
      <c r="X149" s="685"/>
      <c r="Y149" s="273" t="s">
        <v>16</v>
      </c>
      <c r="Z149" s="126"/>
      <c r="AA149" s="126"/>
      <c r="AB149" s="126"/>
      <c r="AC149" s="127"/>
      <c r="AD149" s="274">
        <v>64</v>
      </c>
      <c r="AE149" s="134"/>
      <c r="AF149" s="274">
        <v>0</v>
      </c>
      <c r="AG149" s="134"/>
      <c r="AH149" s="138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40"/>
      <c r="BB149" s="139"/>
      <c r="BC149" s="139"/>
      <c r="BD149" s="139"/>
      <c r="BE149" s="139"/>
      <c r="BF149" s="139"/>
      <c r="BG149" s="43"/>
      <c r="BK149" s="50" t="s">
        <v>122</v>
      </c>
      <c r="BL149" s="52" t="s">
        <v>986</v>
      </c>
    </row>
    <row r="150" spans="1:65">
      <c r="A150" s="681">
        <v>143</v>
      </c>
      <c r="B150" s="682"/>
      <c r="C150" s="59" t="str">
        <f t="shared" si="5"/>
        <v>事业部</v>
      </c>
      <c r="D150" s="139"/>
      <c r="E150" s="139"/>
      <c r="F150" s="139"/>
      <c r="G150" s="139"/>
      <c r="H150" s="139"/>
      <c r="I150" s="139"/>
      <c r="J150" s="139"/>
      <c r="K150" s="140"/>
      <c r="L150" s="36" t="s">
        <v>132</v>
      </c>
      <c r="M150" s="139"/>
      <c r="N150" s="139"/>
      <c r="O150" s="139"/>
      <c r="P150" s="139"/>
      <c r="Q150" s="139"/>
      <c r="R150" s="139"/>
      <c r="S150" s="139"/>
      <c r="T150" s="139"/>
      <c r="U150" s="683"/>
      <c r="V150" s="682"/>
      <c r="W150" s="684"/>
      <c r="X150" s="685"/>
      <c r="Y150" s="273" t="s">
        <v>16</v>
      </c>
      <c r="Z150" s="126"/>
      <c r="AA150" s="126"/>
      <c r="AB150" s="126"/>
      <c r="AC150" s="127"/>
      <c r="AD150" s="274">
        <v>100</v>
      </c>
      <c r="AE150" s="134"/>
      <c r="AF150" s="274">
        <v>0</v>
      </c>
      <c r="AG150" s="134"/>
      <c r="AH150" s="138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40"/>
      <c r="BB150" s="139"/>
      <c r="BC150" s="139"/>
      <c r="BD150" s="139"/>
      <c r="BE150" s="139"/>
      <c r="BF150" s="139"/>
      <c r="BG150" s="43"/>
      <c r="BK150" s="343" t="s">
        <v>123</v>
      </c>
      <c r="BL150" s="52" t="s">
        <v>1108</v>
      </c>
    </row>
    <row r="151" spans="1:65">
      <c r="A151" s="681">
        <v>144</v>
      </c>
      <c r="B151" s="682"/>
      <c r="C151" s="59" t="str">
        <f t="shared" si="5"/>
        <v>税务备案号</v>
      </c>
      <c r="D151" s="139"/>
      <c r="E151" s="139"/>
      <c r="F151" s="139"/>
      <c r="G151" s="139"/>
      <c r="H151" s="139"/>
      <c r="I151" s="139"/>
      <c r="J151" s="139"/>
      <c r="K151" s="140"/>
      <c r="L151" s="36" t="s">
        <v>133</v>
      </c>
      <c r="M151" s="139"/>
      <c r="N151" s="139"/>
      <c r="O151" s="139"/>
      <c r="P151" s="139"/>
      <c r="Q151" s="139"/>
      <c r="R151" s="139"/>
      <c r="S151" s="139"/>
      <c r="T151" s="139"/>
      <c r="U151" s="683"/>
      <c r="V151" s="682"/>
      <c r="W151" s="684"/>
      <c r="X151" s="685"/>
      <c r="Y151" s="273" t="s">
        <v>16</v>
      </c>
      <c r="Z151" s="126"/>
      <c r="AA151" s="126"/>
      <c r="AB151" s="126"/>
      <c r="AC151" s="127"/>
      <c r="AD151" s="274">
        <v>100</v>
      </c>
      <c r="AE151" s="134"/>
      <c r="AF151" s="274">
        <v>0</v>
      </c>
      <c r="AG151" s="134"/>
      <c r="AH151" s="138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40"/>
      <c r="BB151" s="139"/>
      <c r="BC151" s="139"/>
      <c r="BD151" s="139"/>
      <c r="BE151" s="139"/>
      <c r="BF151" s="139"/>
      <c r="BG151" s="43"/>
      <c r="BK151" s="343" t="s">
        <v>124</v>
      </c>
      <c r="BL151" s="52" t="s">
        <v>227</v>
      </c>
    </row>
    <row r="152" spans="1:65">
      <c r="A152" s="681">
        <v>145</v>
      </c>
      <c r="B152" s="682"/>
      <c r="C152" s="59" t="str">
        <f t="shared" si="5"/>
        <v>增值税计税方法</v>
      </c>
      <c r="D152" s="139"/>
      <c r="E152" s="139"/>
      <c r="F152" s="139"/>
      <c r="G152" s="139"/>
      <c r="H152" s="139"/>
      <c r="I152" s="139"/>
      <c r="J152" s="139"/>
      <c r="K152" s="140"/>
      <c r="L152" s="36" t="s">
        <v>134</v>
      </c>
      <c r="M152" s="139"/>
      <c r="N152" s="139"/>
      <c r="O152" s="139"/>
      <c r="P152" s="139"/>
      <c r="Q152" s="139"/>
      <c r="R152" s="139"/>
      <c r="S152" s="139"/>
      <c r="T152" s="139"/>
      <c r="U152" s="683"/>
      <c r="V152" s="682"/>
      <c r="W152" s="684"/>
      <c r="X152" s="685"/>
      <c r="Y152" s="273" t="s">
        <v>16</v>
      </c>
      <c r="Z152" s="126"/>
      <c r="AA152" s="126"/>
      <c r="AB152" s="126"/>
      <c r="AC152" s="127"/>
      <c r="AD152" s="274">
        <v>100</v>
      </c>
      <c r="AE152" s="134"/>
      <c r="AF152" s="274">
        <v>0</v>
      </c>
      <c r="AG152" s="134"/>
      <c r="AH152" s="138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40"/>
      <c r="BB152" s="139"/>
      <c r="BC152" s="139"/>
      <c r="BD152" s="139"/>
      <c r="BE152" s="139"/>
      <c r="BF152" s="139"/>
      <c r="BG152" s="43"/>
      <c r="BK152" s="343" t="s">
        <v>125</v>
      </c>
      <c r="BL152" s="52" t="s">
        <v>228</v>
      </c>
    </row>
    <row r="153" spans="1:65">
      <c r="A153" s="681">
        <v>146</v>
      </c>
      <c r="B153" s="682"/>
      <c r="C153" s="59" t="str">
        <f t="shared" si="5"/>
        <v>增值税预征率</v>
      </c>
      <c r="D153" s="139"/>
      <c r="E153" s="139"/>
      <c r="F153" s="139"/>
      <c r="G153" s="139"/>
      <c r="H153" s="139"/>
      <c r="I153" s="139"/>
      <c r="J153" s="139"/>
      <c r="K153" s="140"/>
      <c r="L153" s="36" t="s">
        <v>135</v>
      </c>
      <c r="M153" s="139"/>
      <c r="N153" s="139"/>
      <c r="O153" s="139"/>
      <c r="P153" s="139"/>
      <c r="Q153" s="139"/>
      <c r="R153" s="139"/>
      <c r="S153" s="139"/>
      <c r="T153" s="139"/>
      <c r="U153" s="683"/>
      <c r="V153" s="682"/>
      <c r="W153" s="684"/>
      <c r="X153" s="685"/>
      <c r="Y153" s="273" t="s">
        <v>16</v>
      </c>
      <c r="Z153" s="126"/>
      <c r="AA153" s="126"/>
      <c r="AB153" s="126"/>
      <c r="AC153" s="127"/>
      <c r="AD153" s="274">
        <v>100</v>
      </c>
      <c r="AE153" s="134"/>
      <c r="AF153" s="274">
        <v>0</v>
      </c>
      <c r="AG153" s="134"/>
      <c r="AH153" s="138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40"/>
      <c r="BB153" s="139"/>
      <c r="BC153" s="139"/>
      <c r="BD153" s="139"/>
      <c r="BE153" s="139"/>
      <c r="BF153" s="139"/>
      <c r="BG153" s="43"/>
      <c r="BK153" s="343" t="s">
        <v>126</v>
      </c>
      <c r="BL153" s="52" t="s">
        <v>988</v>
      </c>
    </row>
    <row r="154" spans="1:65">
      <c r="A154" s="681">
        <v>147</v>
      </c>
      <c r="B154" s="682"/>
      <c r="C154" s="59" t="str">
        <f t="shared" si="5"/>
        <v>增值税使用税率</v>
      </c>
      <c r="D154" s="142"/>
      <c r="E154" s="142"/>
      <c r="F154" s="142"/>
      <c r="G154" s="142"/>
      <c r="H154" s="142"/>
      <c r="I154" s="142"/>
      <c r="J154" s="142"/>
      <c r="K154" s="143"/>
      <c r="L154" s="1" t="s">
        <v>136</v>
      </c>
      <c r="M154" s="142"/>
      <c r="N154" s="142"/>
      <c r="O154" s="142"/>
      <c r="P154" s="142"/>
      <c r="Q154" s="142"/>
      <c r="R154" s="142"/>
      <c r="S154" s="142"/>
      <c r="T154" s="142"/>
      <c r="U154" s="692"/>
      <c r="V154" s="693"/>
      <c r="W154" s="694"/>
      <c r="X154" s="695"/>
      <c r="Y154" s="275" t="s">
        <v>16</v>
      </c>
      <c r="Z154" s="131"/>
      <c r="AA154" s="131"/>
      <c r="AB154" s="131"/>
      <c r="AC154" s="132"/>
      <c r="AD154" s="274">
        <v>100</v>
      </c>
      <c r="AE154" s="134"/>
      <c r="AF154" s="274">
        <v>0</v>
      </c>
      <c r="AG154" s="134"/>
      <c r="AH154" s="141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40"/>
      <c r="BB154" s="48"/>
      <c r="BC154" s="48"/>
      <c r="BD154" s="48"/>
      <c r="BE154" s="48"/>
      <c r="BF154" s="48"/>
      <c r="BG154" s="49"/>
      <c r="BK154" s="343" t="s">
        <v>127</v>
      </c>
      <c r="BL154" s="52" t="s">
        <v>990</v>
      </c>
    </row>
    <row r="155" spans="1:65">
      <c r="A155" s="681">
        <v>148</v>
      </c>
      <c r="B155" s="682"/>
      <c r="C155" s="59" t="str">
        <f t="shared" si="5"/>
        <v>是否属地预缴</v>
      </c>
      <c r="D155" s="142"/>
      <c r="E155" s="142"/>
      <c r="F155" s="142"/>
      <c r="G155" s="142"/>
      <c r="H155" s="142"/>
      <c r="I155" s="142"/>
      <c r="J155" s="142"/>
      <c r="K155" s="143"/>
      <c r="L155" s="1" t="s">
        <v>137</v>
      </c>
      <c r="M155" s="142"/>
      <c r="N155" s="142"/>
      <c r="O155" s="142"/>
      <c r="P155" s="142"/>
      <c r="Q155" s="142"/>
      <c r="R155" s="142"/>
      <c r="S155" s="142"/>
      <c r="T155" s="142"/>
      <c r="U155" s="692"/>
      <c r="V155" s="693"/>
      <c r="W155" s="694"/>
      <c r="X155" s="695"/>
      <c r="Y155" s="275" t="s">
        <v>16</v>
      </c>
      <c r="Z155" s="131"/>
      <c r="AA155" s="131"/>
      <c r="AB155" s="131"/>
      <c r="AC155" s="132"/>
      <c r="AD155" s="274">
        <v>100</v>
      </c>
      <c r="AE155" s="134"/>
      <c r="AF155" s="274">
        <v>0</v>
      </c>
      <c r="AG155" s="134"/>
      <c r="AH155" s="141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40"/>
      <c r="BB155" s="139"/>
      <c r="BC155" s="139"/>
      <c r="BD155" s="139"/>
      <c r="BE155" s="139"/>
      <c r="BF155" s="139"/>
      <c r="BG155" s="43"/>
      <c r="BK155" s="343" t="s">
        <v>128</v>
      </c>
      <c r="BL155" s="52" t="s">
        <v>993</v>
      </c>
    </row>
    <row r="156" spans="1:65">
      <c r="A156" s="681">
        <v>149</v>
      </c>
      <c r="B156" s="682"/>
      <c r="C156" s="59" t="str">
        <f t="shared" si="5"/>
        <v>预缴国税机关</v>
      </c>
      <c r="D156" s="142"/>
      <c r="E156" s="142"/>
      <c r="F156" s="142"/>
      <c r="G156" s="142"/>
      <c r="H156" s="142"/>
      <c r="I156" s="142"/>
      <c r="J156" s="142"/>
      <c r="K156" s="143"/>
      <c r="L156" s="1" t="s">
        <v>138</v>
      </c>
      <c r="M156" s="142"/>
      <c r="N156" s="142"/>
      <c r="O156" s="142"/>
      <c r="P156" s="142"/>
      <c r="Q156" s="142"/>
      <c r="R156" s="142"/>
      <c r="S156" s="142"/>
      <c r="T156" s="142"/>
      <c r="U156" s="692"/>
      <c r="V156" s="693"/>
      <c r="W156" s="694"/>
      <c r="X156" s="695"/>
      <c r="Y156" s="275" t="s">
        <v>16</v>
      </c>
      <c r="Z156" s="131"/>
      <c r="AA156" s="131"/>
      <c r="AB156" s="131"/>
      <c r="AC156" s="132"/>
      <c r="AD156" s="274">
        <v>100</v>
      </c>
      <c r="AE156" s="134"/>
      <c r="AF156" s="274">
        <v>0</v>
      </c>
      <c r="AG156" s="134"/>
      <c r="AH156" s="141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40"/>
      <c r="BB156" s="139"/>
      <c r="BC156" s="139"/>
      <c r="BD156" s="139"/>
      <c r="BE156" s="139"/>
      <c r="BF156" s="139"/>
      <c r="BG156" s="43"/>
      <c r="BK156" s="343" t="s">
        <v>129</v>
      </c>
      <c r="BL156" s="52" t="s">
        <v>994</v>
      </c>
    </row>
    <row r="157" spans="1:65">
      <c r="A157" s="681">
        <v>150</v>
      </c>
      <c r="B157" s="682"/>
      <c r="C157" s="59" t="str">
        <f t="shared" si="5"/>
        <v>预缴国税机关联系方式</v>
      </c>
      <c r="D157" s="142"/>
      <c r="E157" s="142"/>
      <c r="F157" s="142"/>
      <c r="G157" s="142"/>
      <c r="H157" s="142"/>
      <c r="I157" s="142"/>
      <c r="J157" s="142"/>
      <c r="K157" s="143"/>
      <c r="L157" s="1" t="s">
        <v>139</v>
      </c>
      <c r="M157" s="142"/>
      <c r="N157" s="142"/>
      <c r="O157" s="142"/>
      <c r="P157" s="142"/>
      <c r="Q157" s="142"/>
      <c r="R157" s="142"/>
      <c r="S157" s="142"/>
      <c r="T157" s="142"/>
      <c r="U157" s="692"/>
      <c r="V157" s="693"/>
      <c r="W157" s="694"/>
      <c r="X157" s="695"/>
      <c r="Y157" s="275" t="s">
        <v>16</v>
      </c>
      <c r="Z157" s="131"/>
      <c r="AA157" s="131"/>
      <c r="AB157" s="131"/>
      <c r="AC157" s="132"/>
      <c r="AD157" s="274">
        <v>100</v>
      </c>
      <c r="AE157" s="134"/>
      <c r="AF157" s="274">
        <v>0</v>
      </c>
      <c r="AG157" s="134"/>
      <c r="AH157" s="141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40"/>
      <c r="BB157" s="139"/>
      <c r="BC157" s="139"/>
      <c r="BD157" s="139"/>
      <c r="BE157" s="139"/>
      <c r="BF157" s="139"/>
      <c r="BG157" s="43"/>
      <c r="BK157" s="343" t="s">
        <v>130</v>
      </c>
      <c r="BL157" s="52" t="s">
        <v>996</v>
      </c>
    </row>
    <row r="158" spans="1:65">
      <c r="A158" s="681">
        <v>151</v>
      </c>
      <c r="B158" s="682"/>
      <c r="C158" s="59" t="str">
        <f t="shared" si="5"/>
        <v>预交国税机关地址</v>
      </c>
      <c r="D158" s="142"/>
      <c r="E158" s="142"/>
      <c r="F158" s="142"/>
      <c r="G158" s="142"/>
      <c r="H158" s="142"/>
      <c r="I158" s="142"/>
      <c r="J158" s="142"/>
      <c r="K158" s="143"/>
      <c r="L158" s="1" t="s">
        <v>140</v>
      </c>
      <c r="M158" s="142"/>
      <c r="N158" s="142"/>
      <c r="O158" s="142"/>
      <c r="P158" s="142"/>
      <c r="Q158" s="142"/>
      <c r="R158" s="142"/>
      <c r="S158" s="142"/>
      <c r="T158" s="142"/>
      <c r="U158" s="692"/>
      <c r="V158" s="693"/>
      <c r="W158" s="694"/>
      <c r="X158" s="695"/>
      <c r="Y158" s="275" t="s">
        <v>16</v>
      </c>
      <c r="Z158" s="131"/>
      <c r="AA158" s="131"/>
      <c r="AB158" s="131"/>
      <c r="AC158" s="132"/>
      <c r="AD158" s="274">
        <v>100</v>
      </c>
      <c r="AE158" s="134"/>
      <c r="AF158" s="274">
        <v>0</v>
      </c>
      <c r="AG158" s="134"/>
      <c r="AH158" s="141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40"/>
      <c r="BB158" s="139"/>
      <c r="BC158" s="139"/>
      <c r="BD158" s="139"/>
      <c r="BE158" s="139"/>
      <c r="BF158" s="139"/>
      <c r="BG158" s="43"/>
      <c r="BK158" s="343" t="s">
        <v>131</v>
      </c>
      <c r="BL158" s="52" t="s">
        <v>998</v>
      </c>
    </row>
    <row r="159" spans="1:65">
      <c r="A159" s="681">
        <v>152</v>
      </c>
      <c r="B159" s="682"/>
      <c r="C159" s="669" t="str">
        <f t="shared" si="5"/>
        <v>项目部通讯地址</v>
      </c>
      <c r="D159" s="672"/>
      <c r="E159" s="672"/>
      <c r="F159" s="672"/>
      <c r="G159" s="672"/>
      <c r="H159" s="672"/>
      <c r="I159" s="672"/>
      <c r="J159" s="672"/>
      <c r="K159" s="673"/>
      <c r="L159" s="1" t="s">
        <v>141</v>
      </c>
      <c r="M159" s="142"/>
      <c r="N159" s="142"/>
      <c r="O159" s="142"/>
      <c r="P159" s="142"/>
      <c r="Q159" s="142"/>
      <c r="R159" s="142"/>
      <c r="S159" s="142"/>
      <c r="T159" s="142"/>
      <c r="U159" s="692"/>
      <c r="V159" s="693"/>
      <c r="W159" s="694"/>
      <c r="X159" s="695"/>
      <c r="Y159" s="275" t="s">
        <v>16</v>
      </c>
      <c r="Z159" s="131"/>
      <c r="AA159" s="131"/>
      <c r="AB159" s="131"/>
      <c r="AC159" s="132"/>
      <c r="AD159" s="274">
        <v>100</v>
      </c>
      <c r="AE159" s="134"/>
      <c r="AF159" s="274">
        <v>0</v>
      </c>
      <c r="AG159" s="134"/>
      <c r="AH159" s="141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40"/>
      <c r="BB159" s="139"/>
      <c r="BC159" s="139"/>
      <c r="BD159" s="139"/>
      <c r="BE159" s="139"/>
      <c r="BF159" s="139"/>
      <c r="BG159" s="43"/>
      <c r="BK159" s="343" t="s">
        <v>132</v>
      </c>
      <c r="BL159" s="52" t="s">
        <v>1000</v>
      </c>
    </row>
    <row r="160" spans="1:65">
      <c r="A160" s="681">
        <v>153</v>
      </c>
      <c r="B160" s="682"/>
      <c r="C160" s="669" t="str">
        <f t="shared" si="5"/>
        <v>邮编</v>
      </c>
      <c r="D160" s="674"/>
      <c r="E160" s="674"/>
      <c r="F160" s="670"/>
      <c r="G160" s="670"/>
      <c r="H160" s="670"/>
      <c r="I160" s="670"/>
      <c r="J160" s="670"/>
      <c r="K160" s="671"/>
      <c r="L160" s="36" t="s">
        <v>142</v>
      </c>
      <c r="M160" s="139"/>
      <c r="N160" s="139"/>
      <c r="O160" s="139"/>
      <c r="P160" s="139"/>
      <c r="Q160" s="139"/>
      <c r="R160" s="139"/>
      <c r="S160" s="139"/>
      <c r="T160" s="139"/>
      <c r="U160" s="683"/>
      <c r="V160" s="682"/>
      <c r="W160" s="684"/>
      <c r="X160" s="685"/>
      <c r="Y160" s="273" t="s">
        <v>16</v>
      </c>
      <c r="Z160" s="126"/>
      <c r="AA160" s="126"/>
      <c r="AB160" s="126"/>
      <c r="AC160" s="127"/>
      <c r="AD160" s="274">
        <v>100</v>
      </c>
      <c r="AE160" s="134"/>
      <c r="AF160" s="274">
        <v>0</v>
      </c>
      <c r="AG160" s="134"/>
      <c r="AH160" s="138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40"/>
      <c r="BB160" s="139"/>
      <c r="BC160" s="139"/>
      <c r="BD160" s="139"/>
      <c r="BE160" s="139"/>
      <c r="BF160" s="139"/>
      <c r="BG160" s="43"/>
      <c r="BK160" s="343" t="s">
        <v>133</v>
      </c>
      <c r="BL160" s="52" t="s">
        <v>1109</v>
      </c>
    </row>
    <row r="161" spans="1:64">
      <c r="A161" s="681">
        <v>154</v>
      </c>
      <c r="B161" s="682"/>
      <c r="C161" s="669" t="str">
        <f t="shared" si="5"/>
        <v>电话</v>
      </c>
      <c r="D161" s="674"/>
      <c r="E161" s="674"/>
      <c r="F161" s="670"/>
      <c r="G161" s="670"/>
      <c r="H161" s="670"/>
      <c r="I161" s="670"/>
      <c r="J161" s="670"/>
      <c r="K161" s="671"/>
      <c r="L161" s="36" t="s">
        <v>143</v>
      </c>
      <c r="M161" s="139"/>
      <c r="N161" s="139"/>
      <c r="O161" s="139"/>
      <c r="P161" s="139"/>
      <c r="Q161" s="139"/>
      <c r="R161" s="139"/>
      <c r="S161" s="139"/>
      <c r="T161" s="139"/>
      <c r="U161" s="683"/>
      <c r="V161" s="682"/>
      <c r="W161" s="684"/>
      <c r="X161" s="685"/>
      <c r="Y161" s="273" t="s">
        <v>16</v>
      </c>
      <c r="Z161" s="126"/>
      <c r="AA161" s="126"/>
      <c r="AB161" s="126"/>
      <c r="AC161" s="127"/>
      <c r="AD161" s="274">
        <v>100</v>
      </c>
      <c r="AE161" s="134"/>
      <c r="AF161" s="274">
        <v>0</v>
      </c>
      <c r="AG161" s="134"/>
      <c r="AH161" s="138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40"/>
      <c r="BB161" s="139"/>
      <c r="BC161" s="139"/>
      <c r="BD161" s="139"/>
      <c r="BE161" s="139"/>
      <c r="BF161" s="139"/>
      <c r="BG161" s="43"/>
      <c r="BK161" s="343" t="s">
        <v>134</v>
      </c>
      <c r="BL161" s="52" t="s">
        <v>1110</v>
      </c>
    </row>
    <row r="162" spans="1:64">
      <c r="A162" s="681">
        <v>155</v>
      </c>
      <c r="B162" s="682"/>
      <c r="C162" s="669" t="str">
        <f t="shared" si="5"/>
        <v>传真</v>
      </c>
      <c r="D162" s="674"/>
      <c r="E162" s="674"/>
      <c r="F162" s="670"/>
      <c r="G162" s="670"/>
      <c r="H162" s="670"/>
      <c r="I162" s="670"/>
      <c r="J162" s="670"/>
      <c r="K162" s="671"/>
      <c r="L162" s="36" t="s">
        <v>144</v>
      </c>
      <c r="M162" s="139"/>
      <c r="N162" s="139"/>
      <c r="O162" s="139"/>
      <c r="P162" s="139"/>
      <c r="Q162" s="139"/>
      <c r="R162" s="139"/>
      <c r="S162" s="139"/>
      <c r="T162" s="139"/>
      <c r="U162" s="683"/>
      <c r="V162" s="682"/>
      <c r="W162" s="684"/>
      <c r="X162" s="685"/>
      <c r="Y162" s="273" t="s">
        <v>16</v>
      </c>
      <c r="Z162" s="126"/>
      <c r="AA162" s="126"/>
      <c r="AB162" s="126"/>
      <c r="AC162" s="127"/>
      <c r="AD162" s="274">
        <v>100</v>
      </c>
      <c r="AE162" s="134"/>
      <c r="AF162" s="274">
        <v>0</v>
      </c>
      <c r="AG162" s="134"/>
      <c r="AH162" s="138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40"/>
      <c r="BB162" s="139"/>
      <c r="BC162" s="139"/>
      <c r="BD162" s="139"/>
      <c r="BE162" s="139"/>
      <c r="BF162" s="139"/>
      <c r="BG162" s="43"/>
      <c r="BK162" s="343" t="s">
        <v>135</v>
      </c>
      <c r="BL162" s="52" t="s">
        <v>1111</v>
      </c>
    </row>
    <row r="163" spans="1:64">
      <c r="A163" s="681">
        <v>156</v>
      </c>
      <c r="B163" s="682"/>
      <c r="C163" s="669" t="str">
        <f t="shared" si="5"/>
        <v>项目阶段</v>
      </c>
      <c r="D163" s="674"/>
      <c r="E163" s="674"/>
      <c r="F163" s="670"/>
      <c r="G163" s="670"/>
      <c r="H163" s="670"/>
      <c r="I163" s="670"/>
      <c r="J163" s="670"/>
      <c r="K163" s="671"/>
      <c r="L163" s="36" t="s">
        <v>145</v>
      </c>
      <c r="M163" s="139"/>
      <c r="N163" s="139"/>
      <c r="O163" s="139"/>
      <c r="P163" s="139"/>
      <c r="Q163" s="139"/>
      <c r="R163" s="139"/>
      <c r="S163" s="139"/>
      <c r="T163" s="139"/>
      <c r="U163" s="683"/>
      <c r="V163" s="682"/>
      <c r="W163" s="684"/>
      <c r="X163" s="685"/>
      <c r="Y163" s="273" t="s">
        <v>16</v>
      </c>
      <c r="Z163" s="126"/>
      <c r="AA163" s="126"/>
      <c r="AB163" s="126"/>
      <c r="AC163" s="127"/>
      <c r="AD163" s="274">
        <v>100</v>
      </c>
      <c r="AE163" s="134"/>
      <c r="AF163" s="274">
        <v>0</v>
      </c>
      <c r="AG163" s="134"/>
      <c r="AH163" s="138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40"/>
      <c r="BB163" s="139"/>
      <c r="BC163" s="139"/>
      <c r="BD163" s="139"/>
      <c r="BE163" s="139"/>
      <c r="BF163" s="139"/>
      <c r="BG163" s="43"/>
      <c r="BK163" s="50" t="s">
        <v>136</v>
      </c>
      <c r="BL163" s="52" t="s">
        <v>1112</v>
      </c>
    </row>
    <row r="164" spans="1:64">
      <c r="A164" s="681">
        <v>157</v>
      </c>
      <c r="B164" s="682"/>
      <c r="C164" s="669" t="str">
        <f t="shared" si="5"/>
        <v>固话</v>
      </c>
      <c r="D164" s="674"/>
      <c r="E164" s="674"/>
      <c r="F164" s="670"/>
      <c r="G164" s="670"/>
      <c r="H164" s="670"/>
      <c r="I164" s="670"/>
      <c r="J164" s="670"/>
      <c r="K164" s="671"/>
      <c r="L164" s="36" t="s">
        <v>146</v>
      </c>
      <c r="M164" s="139"/>
      <c r="N164" s="139"/>
      <c r="O164" s="139"/>
      <c r="P164" s="139"/>
      <c r="Q164" s="139"/>
      <c r="R164" s="139"/>
      <c r="S164" s="139"/>
      <c r="T164" s="139"/>
      <c r="U164" s="683"/>
      <c r="V164" s="682"/>
      <c r="W164" s="684"/>
      <c r="X164" s="685"/>
      <c r="Y164" s="273" t="s">
        <v>16</v>
      </c>
      <c r="Z164" s="126"/>
      <c r="AA164" s="126"/>
      <c r="AB164" s="126"/>
      <c r="AC164" s="127"/>
      <c r="AD164" s="274">
        <v>100</v>
      </c>
      <c r="AE164" s="134"/>
      <c r="AF164" s="274">
        <v>0</v>
      </c>
      <c r="AG164" s="134"/>
      <c r="AH164" s="138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40"/>
      <c r="BB164" s="139"/>
      <c r="BC164" s="139"/>
      <c r="BD164" s="139"/>
      <c r="BE164" s="139"/>
      <c r="BF164" s="139"/>
      <c r="BG164" s="43"/>
      <c r="BK164" s="50" t="s">
        <v>137</v>
      </c>
      <c r="BL164" s="51" t="s">
        <v>1007</v>
      </c>
    </row>
    <row r="165" spans="1:64">
      <c r="A165" s="681">
        <v>158</v>
      </c>
      <c r="B165" s="682"/>
      <c r="C165" s="669" t="str">
        <f t="shared" si="5"/>
        <v>邮箱</v>
      </c>
      <c r="D165" s="674"/>
      <c r="E165" s="674"/>
      <c r="F165" s="670"/>
      <c r="G165" s="670"/>
      <c r="H165" s="670"/>
      <c r="I165" s="670"/>
      <c r="J165" s="670"/>
      <c r="K165" s="671"/>
      <c r="L165" s="36" t="s">
        <v>147</v>
      </c>
      <c r="M165" s="139"/>
      <c r="N165" s="139"/>
      <c r="O165" s="139"/>
      <c r="P165" s="139"/>
      <c r="Q165" s="139"/>
      <c r="R165" s="139"/>
      <c r="S165" s="139"/>
      <c r="T165" s="139"/>
      <c r="U165" s="683"/>
      <c r="V165" s="682"/>
      <c r="W165" s="684"/>
      <c r="X165" s="685"/>
      <c r="Y165" s="273" t="s">
        <v>16</v>
      </c>
      <c r="Z165" s="126"/>
      <c r="AA165" s="126"/>
      <c r="AB165" s="126"/>
      <c r="AC165" s="127"/>
      <c r="AD165" s="274">
        <v>100</v>
      </c>
      <c r="AE165" s="134"/>
      <c r="AF165" s="274">
        <v>0</v>
      </c>
      <c r="AG165" s="134"/>
      <c r="AH165" s="138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40"/>
      <c r="BB165" s="139"/>
      <c r="BC165" s="139"/>
      <c r="BD165" s="139"/>
      <c r="BE165" s="139"/>
      <c r="BF165" s="139"/>
      <c r="BG165" s="43"/>
      <c r="BK165" s="50" t="s">
        <v>138</v>
      </c>
      <c r="BL165" s="52" t="s">
        <v>1008</v>
      </c>
    </row>
    <row r="166" spans="1:64">
      <c r="A166" s="681">
        <v>159</v>
      </c>
      <c r="B166" s="682"/>
      <c r="C166" s="669" t="str">
        <f t="shared" si="5"/>
        <v>财务负责人</v>
      </c>
      <c r="D166" s="674"/>
      <c r="E166" s="674"/>
      <c r="F166" s="670"/>
      <c r="G166" s="670"/>
      <c r="H166" s="670"/>
      <c r="I166" s="670"/>
      <c r="J166" s="670"/>
      <c r="K166" s="671"/>
      <c r="L166" s="36" t="s">
        <v>148</v>
      </c>
      <c r="M166" s="139"/>
      <c r="N166" s="139"/>
      <c r="O166" s="139"/>
      <c r="P166" s="139"/>
      <c r="Q166" s="139"/>
      <c r="R166" s="139"/>
      <c r="S166" s="139"/>
      <c r="T166" s="139"/>
      <c r="U166" s="683"/>
      <c r="V166" s="682"/>
      <c r="W166" s="684"/>
      <c r="X166" s="685"/>
      <c r="Y166" s="273" t="s">
        <v>16</v>
      </c>
      <c r="Z166" s="126"/>
      <c r="AA166" s="126"/>
      <c r="AB166" s="126"/>
      <c r="AC166" s="127"/>
      <c r="AD166" s="274">
        <v>100</v>
      </c>
      <c r="AE166" s="134"/>
      <c r="AF166" s="274">
        <v>0</v>
      </c>
      <c r="AG166" s="134"/>
      <c r="AH166" s="138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40"/>
      <c r="BB166" s="139"/>
      <c r="BC166" s="139"/>
      <c r="BD166" s="139"/>
      <c r="BE166" s="139"/>
      <c r="BF166" s="139"/>
      <c r="BG166" s="43"/>
      <c r="BK166" s="50" t="s">
        <v>139</v>
      </c>
      <c r="BL166" s="52" t="s">
        <v>1009</v>
      </c>
    </row>
    <row r="167" spans="1:64">
      <c r="A167" s="681">
        <v>160</v>
      </c>
      <c r="B167" s="682"/>
      <c r="C167" s="669" t="str">
        <f t="shared" si="5"/>
        <v>手机</v>
      </c>
      <c r="D167" s="674"/>
      <c r="E167" s="674"/>
      <c r="F167" s="670"/>
      <c r="G167" s="670"/>
      <c r="H167" s="670"/>
      <c r="I167" s="670"/>
      <c r="J167" s="670"/>
      <c r="K167" s="671"/>
      <c r="L167" s="36" t="s">
        <v>149</v>
      </c>
      <c r="M167" s="139"/>
      <c r="N167" s="139"/>
      <c r="O167" s="139"/>
      <c r="P167" s="139"/>
      <c r="Q167" s="139"/>
      <c r="R167" s="139"/>
      <c r="S167" s="139"/>
      <c r="T167" s="139"/>
      <c r="U167" s="683"/>
      <c r="V167" s="682"/>
      <c r="W167" s="684"/>
      <c r="X167" s="685"/>
      <c r="Y167" s="273" t="s">
        <v>16</v>
      </c>
      <c r="Z167" s="126"/>
      <c r="AA167" s="126"/>
      <c r="AB167" s="126"/>
      <c r="AC167" s="127"/>
      <c r="AD167" s="274">
        <v>100</v>
      </c>
      <c r="AE167" s="134"/>
      <c r="AF167" s="274">
        <v>0</v>
      </c>
      <c r="AG167" s="134"/>
      <c r="AH167" s="138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40"/>
      <c r="BB167" s="139"/>
      <c r="BC167" s="139"/>
      <c r="BD167" s="139"/>
      <c r="BE167" s="139"/>
      <c r="BF167" s="139"/>
      <c r="BG167" s="43"/>
      <c r="BK167" s="50" t="s">
        <v>140</v>
      </c>
      <c r="BL167" s="51" t="s">
        <v>1010</v>
      </c>
    </row>
    <row r="168" spans="1:64">
      <c r="A168" s="681">
        <v>161</v>
      </c>
      <c r="B168" s="682"/>
      <c r="C168" s="669" t="str">
        <f t="shared" ref="C168:C199" si="6">VLOOKUP(L168,$BK$7:$BL$276,2,FALSE)</f>
        <v>固话</v>
      </c>
      <c r="D168" s="674"/>
      <c r="E168" s="674"/>
      <c r="F168" s="670"/>
      <c r="G168" s="670"/>
      <c r="H168" s="670"/>
      <c r="I168" s="670"/>
      <c r="J168" s="670"/>
      <c r="K168" s="671"/>
      <c r="L168" s="36" t="s">
        <v>150</v>
      </c>
      <c r="M168" s="139"/>
      <c r="N168" s="139"/>
      <c r="O168" s="139"/>
      <c r="P168" s="139"/>
      <c r="Q168" s="139"/>
      <c r="R168" s="139"/>
      <c r="S168" s="139"/>
      <c r="T168" s="139"/>
      <c r="U168" s="683"/>
      <c r="V168" s="682"/>
      <c r="W168" s="684"/>
      <c r="X168" s="685"/>
      <c r="Y168" s="273" t="s">
        <v>16</v>
      </c>
      <c r="Z168" s="126"/>
      <c r="AA168" s="126"/>
      <c r="AB168" s="126"/>
      <c r="AC168" s="127"/>
      <c r="AD168" s="274">
        <v>100</v>
      </c>
      <c r="AE168" s="134"/>
      <c r="AF168" s="274">
        <v>0</v>
      </c>
      <c r="AG168" s="134"/>
      <c r="AH168" s="138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40"/>
      <c r="BB168" s="139"/>
      <c r="BC168" s="139"/>
      <c r="BD168" s="139"/>
      <c r="BE168" s="139"/>
      <c r="BF168" s="139"/>
      <c r="BG168" s="43"/>
      <c r="BK168" s="50" t="s">
        <v>141</v>
      </c>
      <c r="BL168" s="51" t="s">
        <v>1011</v>
      </c>
    </row>
    <row r="169" spans="1:64">
      <c r="A169" s="681">
        <v>162</v>
      </c>
      <c r="B169" s="682"/>
      <c r="C169" s="669" t="str">
        <f t="shared" si="6"/>
        <v>邮箱</v>
      </c>
      <c r="D169" s="674"/>
      <c r="E169" s="674"/>
      <c r="F169" s="670"/>
      <c r="G169" s="670"/>
      <c r="H169" s="670"/>
      <c r="I169" s="670"/>
      <c r="J169" s="670"/>
      <c r="K169" s="671"/>
      <c r="L169" s="36" t="s">
        <v>151</v>
      </c>
      <c r="M169" s="139"/>
      <c r="N169" s="139"/>
      <c r="O169" s="139"/>
      <c r="P169" s="139"/>
      <c r="Q169" s="139"/>
      <c r="R169" s="139"/>
      <c r="S169" s="139"/>
      <c r="T169" s="139"/>
      <c r="U169" s="683"/>
      <c r="V169" s="682"/>
      <c r="W169" s="684"/>
      <c r="X169" s="685"/>
      <c r="Y169" s="273" t="s">
        <v>16</v>
      </c>
      <c r="Z169" s="126"/>
      <c r="AA169" s="126"/>
      <c r="AB169" s="126"/>
      <c r="AC169" s="127"/>
      <c r="AD169" s="274">
        <v>100</v>
      </c>
      <c r="AE169" s="134"/>
      <c r="AF169" s="274">
        <v>0</v>
      </c>
      <c r="AG169" s="134"/>
      <c r="AH169" s="138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40"/>
      <c r="BB169" s="139"/>
      <c r="BC169" s="139"/>
      <c r="BD169" s="139"/>
      <c r="BE169" s="139"/>
      <c r="BF169" s="139"/>
      <c r="BG169" s="43"/>
      <c r="BK169" s="343" t="s">
        <v>142</v>
      </c>
      <c r="BL169" s="51" t="s">
        <v>1113</v>
      </c>
    </row>
    <row r="170" spans="1:64">
      <c r="A170" s="681">
        <v>163</v>
      </c>
      <c r="B170" s="682"/>
      <c r="C170" s="669" t="str">
        <f t="shared" si="6"/>
        <v>合约负责人</v>
      </c>
      <c r="D170" s="674"/>
      <c r="E170" s="674"/>
      <c r="F170" s="670"/>
      <c r="G170" s="670"/>
      <c r="H170" s="670"/>
      <c r="I170" s="670"/>
      <c r="J170" s="670"/>
      <c r="K170" s="671"/>
      <c r="L170" s="36" t="s">
        <v>152</v>
      </c>
      <c r="M170" s="139"/>
      <c r="N170" s="139"/>
      <c r="O170" s="139"/>
      <c r="P170" s="139"/>
      <c r="Q170" s="139"/>
      <c r="R170" s="139"/>
      <c r="S170" s="139"/>
      <c r="T170" s="139"/>
      <c r="U170" s="683"/>
      <c r="V170" s="682"/>
      <c r="W170" s="684"/>
      <c r="X170" s="685"/>
      <c r="Y170" s="273" t="s">
        <v>16</v>
      </c>
      <c r="Z170" s="126"/>
      <c r="AA170" s="126"/>
      <c r="AB170" s="126"/>
      <c r="AC170" s="127"/>
      <c r="AD170" s="274">
        <v>100</v>
      </c>
      <c r="AE170" s="134"/>
      <c r="AF170" s="274">
        <v>0</v>
      </c>
      <c r="AG170" s="134"/>
      <c r="AH170" s="138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40"/>
      <c r="BB170" s="139"/>
      <c r="BC170" s="139"/>
      <c r="BD170" s="139"/>
      <c r="BE170" s="139"/>
      <c r="BF170" s="139"/>
      <c r="BG170" s="43"/>
      <c r="BK170" s="343" t="s">
        <v>143</v>
      </c>
      <c r="BL170" s="51" t="s">
        <v>1114</v>
      </c>
    </row>
    <row r="171" spans="1:64">
      <c r="A171" s="681">
        <v>164</v>
      </c>
      <c r="B171" s="682"/>
      <c r="C171" s="669" t="str">
        <f t="shared" si="6"/>
        <v>手机</v>
      </c>
      <c r="D171" s="674"/>
      <c r="E171" s="674"/>
      <c r="F171" s="670"/>
      <c r="G171" s="670"/>
      <c r="H171" s="670"/>
      <c r="I171" s="670"/>
      <c r="J171" s="670"/>
      <c r="K171" s="671"/>
      <c r="L171" s="36" t="s">
        <v>153</v>
      </c>
      <c r="M171" s="139"/>
      <c r="N171" s="139"/>
      <c r="O171" s="139"/>
      <c r="P171" s="139"/>
      <c r="Q171" s="139"/>
      <c r="R171" s="139"/>
      <c r="S171" s="139"/>
      <c r="T171" s="139"/>
      <c r="U171" s="683"/>
      <c r="V171" s="682"/>
      <c r="W171" s="684"/>
      <c r="X171" s="685"/>
      <c r="Y171" s="273" t="s">
        <v>16</v>
      </c>
      <c r="Z171" s="126"/>
      <c r="AA171" s="126"/>
      <c r="AB171" s="126"/>
      <c r="AC171" s="127"/>
      <c r="AD171" s="274">
        <v>100</v>
      </c>
      <c r="AE171" s="134"/>
      <c r="AF171" s="274">
        <v>0</v>
      </c>
      <c r="AG171" s="134"/>
      <c r="AH171" s="138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40"/>
      <c r="BB171" s="139"/>
      <c r="BC171" s="139"/>
      <c r="BD171" s="139"/>
      <c r="BE171" s="139"/>
      <c r="BF171" s="139"/>
      <c r="BG171" s="43"/>
      <c r="BK171" s="343" t="s">
        <v>144</v>
      </c>
      <c r="BL171" s="51" t="s">
        <v>1115</v>
      </c>
    </row>
    <row r="172" spans="1:64">
      <c r="A172" s="681">
        <v>165</v>
      </c>
      <c r="B172" s="682"/>
      <c r="C172" s="669" t="str">
        <f t="shared" si="6"/>
        <v>固话</v>
      </c>
      <c r="D172" s="674"/>
      <c r="E172" s="674"/>
      <c r="F172" s="670"/>
      <c r="G172" s="670"/>
      <c r="H172" s="670"/>
      <c r="I172" s="670"/>
      <c r="J172" s="670"/>
      <c r="K172" s="671"/>
      <c r="L172" s="36" t="s">
        <v>154</v>
      </c>
      <c r="M172" s="139"/>
      <c r="N172" s="139"/>
      <c r="O172" s="139"/>
      <c r="P172" s="139"/>
      <c r="Q172" s="139"/>
      <c r="R172" s="139"/>
      <c r="S172" s="139"/>
      <c r="T172" s="139"/>
      <c r="U172" s="683"/>
      <c r="V172" s="682"/>
      <c r="W172" s="684"/>
      <c r="X172" s="685"/>
      <c r="Y172" s="273" t="s">
        <v>16</v>
      </c>
      <c r="Z172" s="126"/>
      <c r="AA172" s="126"/>
      <c r="AB172" s="126"/>
      <c r="AC172" s="127"/>
      <c r="AD172" s="274">
        <v>100</v>
      </c>
      <c r="AE172" s="134"/>
      <c r="AF172" s="274">
        <v>0</v>
      </c>
      <c r="AG172" s="134"/>
      <c r="AH172" s="138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40"/>
      <c r="BB172" s="139"/>
      <c r="BC172" s="139"/>
      <c r="BD172" s="139"/>
      <c r="BE172" s="139"/>
      <c r="BF172" s="139"/>
      <c r="BG172" s="43"/>
      <c r="BK172" s="343" t="s">
        <v>145</v>
      </c>
      <c r="BL172" s="52" t="s">
        <v>1016</v>
      </c>
    </row>
    <row r="173" spans="1:64">
      <c r="A173" s="681">
        <v>166</v>
      </c>
      <c r="B173" s="682"/>
      <c r="C173" s="669" t="str">
        <f t="shared" si="6"/>
        <v>邮箱</v>
      </c>
      <c r="D173" s="674"/>
      <c r="E173" s="674"/>
      <c r="F173" s="672"/>
      <c r="G173" s="672"/>
      <c r="H173" s="672"/>
      <c r="I173" s="672"/>
      <c r="J173" s="672"/>
      <c r="K173" s="673"/>
      <c r="L173" s="1" t="s">
        <v>155</v>
      </c>
      <c r="M173" s="142"/>
      <c r="N173" s="142"/>
      <c r="O173" s="142"/>
      <c r="P173" s="142"/>
      <c r="Q173" s="142"/>
      <c r="R173" s="142"/>
      <c r="S173" s="142"/>
      <c r="T173" s="142"/>
      <c r="U173" s="692"/>
      <c r="V173" s="693"/>
      <c r="W173" s="694"/>
      <c r="X173" s="695"/>
      <c r="Y173" s="275" t="s">
        <v>16</v>
      </c>
      <c r="Z173" s="131"/>
      <c r="AA173" s="131"/>
      <c r="AB173" s="131"/>
      <c r="AC173" s="132"/>
      <c r="AD173" s="274">
        <v>100</v>
      </c>
      <c r="AE173" s="134"/>
      <c r="AF173" s="274">
        <v>0</v>
      </c>
      <c r="AG173" s="134"/>
      <c r="AH173" s="141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40"/>
      <c r="BB173" s="48"/>
      <c r="BC173" s="48"/>
      <c r="BD173" s="48"/>
      <c r="BE173" s="48"/>
      <c r="BF173" s="48"/>
      <c r="BG173" s="49"/>
      <c r="BK173" s="343" t="s">
        <v>146</v>
      </c>
      <c r="BL173" s="51" t="s">
        <v>1116</v>
      </c>
    </row>
    <row r="174" spans="1:64">
      <c r="A174" s="681">
        <v>167</v>
      </c>
      <c r="B174" s="682"/>
      <c r="C174" s="669" t="str">
        <f t="shared" si="6"/>
        <v>债权清收负责人</v>
      </c>
      <c r="D174" s="674"/>
      <c r="E174" s="674"/>
      <c r="F174" s="672"/>
      <c r="G174" s="672"/>
      <c r="H174" s="672"/>
      <c r="I174" s="672"/>
      <c r="J174" s="672"/>
      <c r="K174" s="673"/>
      <c r="L174" s="1" t="s">
        <v>156</v>
      </c>
      <c r="M174" s="142"/>
      <c r="N174" s="142"/>
      <c r="O174" s="142"/>
      <c r="P174" s="142"/>
      <c r="Q174" s="142"/>
      <c r="R174" s="142"/>
      <c r="S174" s="142"/>
      <c r="T174" s="142"/>
      <c r="U174" s="692"/>
      <c r="V174" s="693"/>
      <c r="W174" s="694"/>
      <c r="X174" s="695"/>
      <c r="Y174" s="275" t="s">
        <v>16</v>
      </c>
      <c r="Z174" s="131"/>
      <c r="AA174" s="131"/>
      <c r="AB174" s="131"/>
      <c r="AC174" s="132"/>
      <c r="AD174" s="274">
        <v>100</v>
      </c>
      <c r="AE174" s="134"/>
      <c r="AF174" s="274">
        <v>0</v>
      </c>
      <c r="AG174" s="134"/>
      <c r="AH174" s="141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40"/>
      <c r="BB174" s="139"/>
      <c r="BC174" s="139"/>
      <c r="BD174" s="139"/>
      <c r="BE174" s="139"/>
      <c r="BF174" s="139"/>
      <c r="BG174" s="43"/>
      <c r="BK174" s="343" t="s">
        <v>147</v>
      </c>
      <c r="BL174" s="51" t="s">
        <v>1117</v>
      </c>
    </row>
    <row r="175" spans="1:64">
      <c r="A175" s="681">
        <v>168</v>
      </c>
      <c r="B175" s="682"/>
      <c r="C175" s="669" t="str">
        <f t="shared" si="6"/>
        <v>手机</v>
      </c>
      <c r="D175" s="674"/>
      <c r="E175" s="674"/>
      <c r="F175" s="672"/>
      <c r="G175" s="672"/>
      <c r="H175" s="672"/>
      <c r="I175" s="672"/>
      <c r="J175" s="672"/>
      <c r="K175" s="673"/>
      <c r="L175" s="1" t="s">
        <v>157</v>
      </c>
      <c r="M175" s="142"/>
      <c r="N175" s="142"/>
      <c r="O175" s="142"/>
      <c r="P175" s="142"/>
      <c r="Q175" s="142"/>
      <c r="R175" s="142"/>
      <c r="S175" s="142"/>
      <c r="T175" s="142"/>
      <c r="U175" s="692"/>
      <c r="V175" s="693"/>
      <c r="W175" s="694"/>
      <c r="X175" s="695"/>
      <c r="Y175" s="275" t="s">
        <v>16</v>
      </c>
      <c r="Z175" s="131"/>
      <c r="AA175" s="131"/>
      <c r="AB175" s="131"/>
      <c r="AC175" s="132"/>
      <c r="AD175" s="274">
        <v>100</v>
      </c>
      <c r="AE175" s="134"/>
      <c r="AF175" s="274">
        <v>0</v>
      </c>
      <c r="AG175" s="134"/>
      <c r="AH175" s="141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40"/>
      <c r="BB175" s="139"/>
      <c r="BC175" s="139"/>
      <c r="BD175" s="139"/>
      <c r="BE175" s="139"/>
      <c r="BF175" s="139"/>
      <c r="BG175" s="43"/>
      <c r="BK175" s="343" t="s">
        <v>148</v>
      </c>
      <c r="BL175" s="51" t="s">
        <v>1019</v>
      </c>
    </row>
    <row r="176" spans="1:64">
      <c r="A176" s="681">
        <v>169</v>
      </c>
      <c r="B176" s="682"/>
      <c r="C176" s="669" t="str">
        <f t="shared" si="6"/>
        <v>固话</v>
      </c>
      <c r="D176" s="674"/>
      <c r="E176" s="674"/>
      <c r="F176" s="672"/>
      <c r="G176" s="672"/>
      <c r="H176" s="672"/>
      <c r="I176" s="672"/>
      <c r="J176" s="672"/>
      <c r="K176" s="673"/>
      <c r="L176" s="1" t="s">
        <v>158</v>
      </c>
      <c r="M176" s="142"/>
      <c r="N176" s="142"/>
      <c r="O176" s="142"/>
      <c r="P176" s="142"/>
      <c r="Q176" s="142"/>
      <c r="R176" s="142"/>
      <c r="S176" s="142"/>
      <c r="T176" s="142"/>
      <c r="U176" s="692"/>
      <c r="V176" s="693"/>
      <c r="W176" s="694"/>
      <c r="X176" s="695"/>
      <c r="Y176" s="275" t="s">
        <v>16</v>
      </c>
      <c r="Z176" s="131"/>
      <c r="AA176" s="131"/>
      <c r="AB176" s="131"/>
      <c r="AC176" s="132"/>
      <c r="AD176" s="274">
        <v>100</v>
      </c>
      <c r="AE176" s="134"/>
      <c r="AF176" s="274">
        <v>0</v>
      </c>
      <c r="AG176" s="134"/>
      <c r="AH176" s="141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40"/>
      <c r="BB176" s="139"/>
      <c r="BC176" s="139"/>
      <c r="BD176" s="139"/>
      <c r="BE176" s="139"/>
      <c r="BF176" s="139"/>
      <c r="BG176" s="43"/>
      <c r="BK176" s="343" t="s">
        <v>149</v>
      </c>
      <c r="BL176" s="51" t="s">
        <v>1118</v>
      </c>
    </row>
    <row r="177" spans="1:64">
      <c r="A177" s="681">
        <v>170</v>
      </c>
      <c r="B177" s="682"/>
      <c r="C177" s="669" t="str">
        <f t="shared" si="6"/>
        <v>邮箱</v>
      </c>
      <c r="D177" s="674"/>
      <c r="E177" s="674"/>
      <c r="F177" s="672"/>
      <c r="G177" s="672"/>
      <c r="H177" s="672"/>
      <c r="I177" s="672"/>
      <c r="J177" s="672"/>
      <c r="K177" s="673"/>
      <c r="L177" s="1" t="s">
        <v>159</v>
      </c>
      <c r="M177" s="142"/>
      <c r="N177" s="142"/>
      <c r="O177" s="142"/>
      <c r="P177" s="142"/>
      <c r="Q177" s="142"/>
      <c r="R177" s="142"/>
      <c r="S177" s="142"/>
      <c r="T177" s="142"/>
      <c r="U177" s="692"/>
      <c r="V177" s="693"/>
      <c r="W177" s="694"/>
      <c r="X177" s="695"/>
      <c r="Y177" s="275" t="s">
        <v>16</v>
      </c>
      <c r="Z177" s="131"/>
      <c r="AA177" s="131"/>
      <c r="AB177" s="131"/>
      <c r="AC177" s="132"/>
      <c r="AD177" s="274">
        <v>100</v>
      </c>
      <c r="AE177" s="134"/>
      <c r="AF177" s="274">
        <v>0</v>
      </c>
      <c r="AG177" s="134"/>
      <c r="AH177" s="141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40"/>
      <c r="BB177" s="139"/>
      <c r="BC177" s="139"/>
      <c r="BD177" s="139"/>
      <c r="BE177" s="139"/>
      <c r="BF177" s="139"/>
      <c r="BG177" s="43"/>
      <c r="BK177" s="343" t="s">
        <v>150</v>
      </c>
      <c r="BL177" s="51" t="s">
        <v>1116</v>
      </c>
    </row>
    <row r="178" spans="1:64">
      <c r="A178" s="681">
        <v>171</v>
      </c>
      <c r="B178" s="682"/>
      <c r="C178" s="414" t="str">
        <f t="shared" si="6"/>
        <v>业务系统写入时间</v>
      </c>
      <c r="D178" s="417"/>
      <c r="E178" s="417"/>
      <c r="F178" s="417"/>
      <c r="G178" s="417"/>
      <c r="H178" s="417"/>
      <c r="I178" s="417"/>
      <c r="J178" s="417"/>
      <c r="K178" s="418"/>
      <c r="L178" s="1" t="s">
        <v>160</v>
      </c>
      <c r="M178" s="142"/>
      <c r="N178" s="142"/>
      <c r="O178" s="142"/>
      <c r="P178" s="142"/>
      <c r="Q178" s="142"/>
      <c r="R178" s="142"/>
      <c r="S178" s="142"/>
      <c r="T178" s="142"/>
      <c r="U178" s="692"/>
      <c r="V178" s="693"/>
      <c r="W178" s="694"/>
      <c r="X178" s="695"/>
      <c r="Y178" s="275" t="s">
        <v>17</v>
      </c>
      <c r="Z178" s="131"/>
      <c r="AA178" s="131"/>
      <c r="AB178" s="131"/>
      <c r="AC178" s="132"/>
      <c r="AD178" s="274"/>
      <c r="AE178" s="134"/>
      <c r="AF178" s="274"/>
      <c r="AG178" s="134"/>
      <c r="AH178" s="141" t="s">
        <v>1272</v>
      </c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40"/>
      <c r="BB178" s="139"/>
      <c r="BC178" s="139"/>
      <c r="BD178" s="139"/>
      <c r="BE178" s="139"/>
      <c r="BF178" s="139"/>
      <c r="BG178" s="43"/>
      <c r="BK178" s="343" t="s">
        <v>151</v>
      </c>
      <c r="BL178" s="51" t="s">
        <v>1117</v>
      </c>
    </row>
    <row r="179" spans="1:64">
      <c r="A179" s="681">
        <v>172</v>
      </c>
      <c r="B179" s="682"/>
      <c r="C179" s="59" t="str">
        <f t="shared" si="6"/>
        <v>复核日期</v>
      </c>
      <c r="D179" s="139"/>
      <c r="E179" s="139"/>
      <c r="F179" s="139"/>
      <c r="G179" s="139"/>
      <c r="H179" s="139"/>
      <c r="I179" s="139"/>
      <c r="J179" s="139"/>
      <c r="K179" s="140"/>
      <c r="L179" s="36" t="s">
        <v>161</v>
      </c>
      <c r="M179" s="139"/>
      <c r="N179" s="139"/>
      <c r="O179" s="139"/>
      <c r="P179" s="139"/>
      <c r="Q179" s="139"/>
      <c r="R179" s="139"/>
      <c r="S179" s="139"/>
      <c r="T179" s="139"/>
      <c r="U179" s="683"/>
      <c r="V179" s="682"/>
      <c r="W179" s="684"/>
      <c r="X179" s="685"/>
      <c r="Y179" s="273" t="s">
        <v>17</v>
      </c>
      <c r="Z179" s="126"/>
      <c r="AA179" s="126"/>
      <c r="AB179" s="126"/>
      <c r="AC179" s="127"/>
      <c r="AD179" s="274"/>
      <c r="AE179" s="134"/>
      <c r="AF179" s="274"/>
      <c r="AG179" s="134"/>
      <c r="AH179" s="330" t="s">
        <v>1272</v>
      </c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40"/>
      <c r="BB179" s="139"/>
      <c r="BC179" s="139"/>
      <c r="BD179" s="139"/>
      <c r="BE179" s="139"/>
      <c r="BF179" s="139"/>
      <c r="BG179" s="43"/>
      <c r="BK179" s="343" t="s">
        <v>152</v>
      </c>
      <c r="BL179" s="51" t="s">
        <v>1023</v>
      </c>
    </row>
    <row r="180" spans="1:64">
      <c r="A180" s="681">
        <v>173</v>
      </c>
      <c r="B180" s="682"/>
      <c r="C180" s="59" t="str">
        <f t="shared" si="6"/>
        <v>录入日期</v>
      </c>
      <c r="D180" s="139"/>
      <c r="E180" s="139"/>
      <c r="F180" s="139"/>
      <c r="G180" s="139"/>
      <c r="H180" s="139"/>
      <c r="I180" s="139"/>
      <c r="J180" s="139"/>
      <c r="K180" s="140"/>
      <c r="L180" s="36" t="s">
        <v>162</v>
      </c>
      <c r="M180" s="139"/>
      <c r="N180" s="139"/>
      <c r="O180" s="139"/>
      <c r="P180" s="139"/>
      <c r="Q180" s="139"/>
      <c r="R180" s="139"/>
      <c r="S180" s="139"/>
      <c r="T180" s="139"/>
      <c r="U180" s="683"/>
      <c r="V180" s="682"/>
      <c r="W180" s="684"/>
      <c r="X180" s="685"/>
      <c r="Y180" s="273" t="s">
        <v>17</v>
      </c>
      <c r="Z180" s="126"/>
      <c r="AA180" s="126"/>
      <c r="AB180" s="126"/>
      <c r="AC180" s="127"/>
      <c r="AD180" s="274"/>
      <c r="AE180" s="134"/>
      <c r="AF180" s="274"/>
      <c r="AG180" s="134"/>
      <c r="AH180" s="330" t="s">
        <v>1272</v>
      </c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40"/>
      <c r="BB180" s="139"/>
      <c r="BC180" s="139"/>
      <c r="BD180" s="139"/>
      <c r="BE180" s="139"/>
      <c r="BF180" s="139"/>
      <c r="BG180" s="43"/>
      <c r="BK180" s="343" t="s">
        <v>153</v>
      </c>
      <c r="BL180" s="51" t="s">
        <v>1118</v>
      </c>
    </row>
    <row r="181" spans="1:64">
      <c r="A181" s="681">
        <v>174</v>
      </c>
      <c r="B181" s="682"/>
      <c r="C181" s="59" t="str">
        <f t="shared" si="6"/>
        <v xml:space="preserve">核算部门id财务  </v>
      </c>
      <c r="D181" s="139"/>
      <c r="E181" s="139"/>
      <c r="F181" s="139"/>
      <c r="G181" s="139"/>
      <c r="H181" s="139"/>
      <c r="I181" s="139"/>
      <c r="J181" s="139"/>
      <c r="K181" s="140"/>
      <c r="L181" s="36" t="s">
        <v>163</v>
      </c>
      <c r="M181" s="139"/>
      <c r="N181" s="139"/>
      <c r="O181" s="139"/>
      <c r="P181" s="139"/>
      <c r="Q181" s="139"/>
      <c r="R181" s="139"/>
      <c r="S181" s="139"/>
      <c r="T181" s="139"/>
      <c r="U181" s="683"/>
      <c r="V181" s="682"/>
      <c r="W181" s="684"/>
      <c r="X181" s="685"/>
      <c r="Y181" s="273" t="s">
        <v>16</v>
      </c>
      <c r="Z181" s="126"/>
      <c r="AA181" s="126"/>
      <c r="AB181" s="126"/>
      <c r="AC181" s="127"/>
      <c r="AD181" s="274">
        <v>100</v>
      </c>
      <c r="AE181" s="134"/>
      <c r="AF181" s="274">
        <v>0</v>
      </c>
      <c r="AG181" s="134"/>
      <c r="AH181" s="138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40"/>
      <c r="BB181" s="139"/>
      <c r="BC181" s="139"/>
      <c r="BD181" s="139"/>
      <c r="BE181" s="139"/>
      <c r="BF181" s="139"/>
      <c r="BG181" s="43"/>
      <c r="BK181" s="343" t="s">
        <v>154</v>
      </c>
      <c r="BL181" s="51" t="s">
        <v>1116</v>
      </c>
    </row>
    <row r="182" spans="1:64">
      <c r="A182" s="681">
        <v>175</v>
      </c>
      <c r="B182" s="682"/>
      <c r="C182" s="59" t="str">
        <f t="shared" si="6"/>
        <v xml:space="preserve">核算部门编号财务 </v>
      </c>
      <c r="D182" s="139"/>
      <c r="E182" s="139"/>
      <c r="F182" s="139"/>
      <c r="G182" s="139"/>
      <c r="H182" s="139"/>
      <c r="I182" s="139"/>
      <c r="J182" s="139"/>
      <c r="K182" s="140"/>
      <c r="L182" s="36" t="s">
        <v>164</v>
      </c>
      <c r="M182" s="139"/>
      <c r="N182" s="139"/>
      <c r="O182" s="139"/>
      <c r="P182" s="139"/>
      <c r="Q182" s="139"/>
      <c r="R182" s="139"/>
      <c r="S182" s="139"/>
      <c r="T182" s="139"/>
      <c r="U182" s="683"/>
      <c r="V182" s="682"/>
      <c r="W182" s="684"/>
      <c r="X182" s="685"/>
      <c r="Y182" s="273" t="s">
        <v>16</v>
      </c>
      <c r="Z182" s="126"/>
      <c r="AA182" s="126"/>
      <c r="AB182" s="126"/>
      <c r="AC182" s="127"/>
      <c r="AD182" s="274">
        <v>100</v>
      </c>
      <c r="AE182" s="134"/>
      <c r="AF182" s="274">
        <v>0</v>
      </c>
      <c r="AG182" s="134"/>
      <c r="AH182" s="138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40"/>
      <c r="BB182" s="139"/>
      <c r="BC182" s="139"/>
      <c r="BD182" s="139"/>
      <c r="BE182" s="139"/>
      <c r="BF182" s="139"/>
      <c r="BG182" s="43"/>
      <c r="BK182" s="50" t="s">
        <v>155</v>
      </c>
      <c r="BL182" s="51" t="s">
        <v>1117</v>
      </c>
    </row>
    <row r="183" spans="1:64">
      <c r="A183" s="681">
        <v>176</v>
      </c>
      <c r="B183" s="682"/>
      <c r="C183" s="59" t="str">
        <f t="shared" si="6"/>
        <v>核算部门名称财务</v>
      </c>
      <c r="D183" s="139"/>
      <c r="E183" s="139"/>
      <c r="F183" s="139"/>
      <c r="G183" s="139"/>
      <c r="H183" s="139"/>
      <c r="I183" s="139"/>
      <c r="J183" s="139"/>
      <c r="K183" s="140"/>
      <c r="L183" s="36" t="s">
        <v>165</v>
      </c>
      <c r="M183" s="139"/>
      <c r="N183" s="139"/>
      <c r="O183" s="139"/>
      <c r="P183" s="139"/>
      <c r="Q183" s="139"/>
      <c r="R183" s="139"/>
      <c r="S183" s="139"/>
      <c r="T183" s="139"/>
      <c r="U183" s="683"/>
      <c r="V183" s="682"/>
      <c r="W183" s="684"/>
      <c r="X183" s="685"/>
      <c r="Y183" s="273" t="s">
        <v>16</v>
      </c>
      <c r="Z183" s="126"/>
      <c r="AA183" s="126"/>
      <c r="AB183" s="126"/>
      <c r="AC183" s="127"/>
      <c r="AD183" s="274">
        <v>100</v>
      </c>
      <c r="AE183" s="134"/>
      <c r="AF183" s="274">
        <v>0</v>
      </c>
      <c r="AG183" s="134"/>
      <c r="AH183" s="138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40"/>
      <c r="BB183" s="139"/>
      <c r="BC183" s="139"/>
      <c r="BD183" s="139"/>
      <c r="BE183" s="139"/>
      <c r="BF183" s="139"/>
      <c r="BG183" s="43"/>
      <c r="BK183" s="50" t="s">
        <v>156</v>
      </c>
      <c r="BL183" s="51" t="s">
        <v>1027</v>
      </c>
    </row>
    <row r="184" spans="1:64">
      <c r="A184" s="681">
        <v>177</v>
      </c>
      <c r="B184" s="682"/>
      <c r="C184" s="59" t="str">
        <f t="shared" si="6"/>
        <v>往来单位编号</v>
      </c>
      <c r="D184" s="139"/>
      <c r="E184" s="139"/>
      <c r="F184" s="139"/>
      <c r="G184" s="139"/>
      <c r="H184" s="139"/>
      <c r="I184" s="139"/>
      <c r="J184" s="139"/>
      <c r="K184" s="140"/>
      <c r="L184" s="1" t="s">
        <v>1944</v>
      </c>
      <c r="M184" s="139"/>
      <c r="N184" s="139"/>
      <c r="O184" s="139"/>
      <c r="P184" s="139"/>
      <c r="Q184" s="139"/>
      <c r="R184" s="139"/>
      <c r="S184" s="139"/>
      <c r="T184" s="139"/>
      <c r="U184" s="683"/>
      <c r="V184" s="682"/>
      <c r="W184" s="684"/>
      <c r="X184" s="685"/>
      <c r="Y184" s="273" t="s">
        <v>16</v>
      </c>
      <c r="Z184" s="126"/>
      <c r="AA184" s="126"/>
      <c r="AB184" s="126"/>
      <c r="AC184" s="127"/>
      <c r="AD184" s="274">
        <v>100</v>
      </c>
      <c r="AE184" s="134"/>
      <c r="AF184" s="274">
        <v>0</v>
      </c>
      <c r="AG184" s="134"/>
      <c r="AH184" s="138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40"/>
      <c r="BB184" s="139"/>
      <c r="BC184" s="139"/>
      <c r="BD184" s="139"/>
      <c r="BE184" s="139"/>
      <c r="BF184" s="139"/>
      <c r="BG184" s="43"/>
      <c r="BK184" s="50" t="s">
        <v>157</v>
      </c>
      <c r="BL184" s="51" t="s">
        <v>1118</v>
      </c>
    </row>
    <row r="185" spans="1:64">
      <c r="A185" s="681">
        <v>178</v>
      </c>
      <c r="B185" s="682"/>
      <c r="C185" s="59" t="str">
        <f t="shared" si="6"/>
        <v>录入人</v>
      </c>
      <c r="D185" s="139"/>
      <c r="E185" s="139"/>
      <c r="F185" s="139"/>
      <c r="G185" s="139"/>
      <c r="H185" s="139"/>
      <c r="I185" s="139"/>
      <c r="J185" s="139"/>
      <c r="K185" s="140"/>
      <c r="L185" s="36" t="s">
        <v>167</v>
      </c>
      <c r="M185" s="139"/>
      <c r="N185" s="139"/>
      <c r="O185" s="139"/>
      <c r="P185" s="139"/>
      <c r="Q185" s="139"/>
      <c r="R185" s="139"/>
      <c r="S185" s="139"/>
      <c r="T185" s="139"/>
      <c r="U185" s="683"/>
      <c r="V185" s="682"/>
      <c r="W185" s="684"/>
      <c r="X185" s="685"/>
      <c r="Y185" s="273" t="s">
        <v>16</v>
      </c>
      <c r="Z185" s="126"/>
      <c r="AA185" s="126"/>
      <c r="AB185" s="126"/>
      <c r="AC185" s="127"/>
      <c r="AD185" s="274">
        <v>100</v>
      </c>
      <c r="AE185" s="134"/>
      <c r="AF185" s="274">
        <v>0</v>
      </c>
      <c r="AG185" s="134"/>
      <c r="AH185" s="138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40"/>
      <c r="BB185" s="139"/>
      <c r="BC185" s="139"/>
      <c r="BD185" s="139"/>
      <c r="BE185" s="139"/>
      <c r="BF185" s="139"/>
      <c r="BG185" s="43"/>
      <c r="BK185" s="50" t="s">
        <v>158</v>
      </c>
      <c r="BL185" s="52" t="s">
        <v>1116</v>
      </c>
    </row>
    <row r="186" spans="1:64">
      <c r="A186" s="681">
        <v>179</v>
      </c>
      <c r="B186" s="682"/>
      <c r="C186" s="59" t="str">
        <f t="shared" si="6"/>
        <v>系统编号</v>
      </c>
      <c r="D186" s="139"/>
      <c r="E186" s="139"/>
      <c r="F186" s="139"/>
      <c r="G186" s="139"/>
      <c r="H186" s="139"/>
      <c r="I186" s="139"/>
      <c r="J186" s="139"/>
      <c r="K186" s="140"/>
      <c r="L186" s="36" t="s">
        <v>168</v>
      </c>
      <c r="M186" s="139"/>
      <c r="N186" s="139"/>
      <c r="O186" s="139"/>
      <c r="P186" s="139"/>
      <c r="Q186" s="139"/>
      <c r="R186" s="139"/>
      <c r="S186" s="139"/>
      <c r="T186" s="139"/>
      <c r="U186" s="683"/>
      <c r="V186" s="682"/>
      <c r="W186" s="684"/>
      <c r="X186" s="685"/>
      <c r="Y186" s="273" t="s">
        <v>16</v>
      </c>
      <c r="Z186" s="126"/>
      <c r="AA186" s="126"/>
      <c r="AB186" s="126"/>
      <c r="AC186" s="127"/>
      <c r="AD186" s="274">
        <v>100</v>
      </c>
      <c r="AE186" s="134"/>
      <c r="AF186" s="274">
        <v>0</v>
      </c>
      <c r="AG186" s="134"/>
      <c r="AH186" s="138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40"/>
      <c r="BB186" s="139"/>
      <c r="BC186" s="139"/>
      <c r="BD186" s="139"/>
      <c r="BE186" s="139"/>
      <c r="BF186" s="139"/>
      <c r="BG186" s="43"/>
      <c r="BK186" s="50" t="s">
        <v>159</v>
      </c>
      <c r="BL186" s="52" t="s">
        <v>1117</v>
      </c>
    </row>
    <row r="187" spans="1:64">
      <c r="A187" s="681">
        <v>180</v>
      </c>
      <c r="B187" s="682"/>
      <c r="C187" s="59" t="str">
        <f t="shared" si="6"/>
        <v>币种编号</v>
      </c>
      <c r="D187" s="139"/>
      <c r="E187" s="139"/>
      <c r="F187" s="139"/>
      <c r="G187" s="139"/>
      <c r="H187" s="139"/>
      <c r="I187" s="139"/>
      <c r="J187" s="139"/>
      <c r="K187" s="140"/>
      <c r="L187" s="36" t="s">
        <v>169</v>
      </c>
      <c r="M187" s="139"/>
      <c r="N187" s="139"/>
      <c r="O187" s="139"/>
      <c r="P187" s="139"/>
      <c r="Q187" s="139"/>
      <c r="R187" s="139"/>
      <c r="S187" s="139"/>
      <c r="T187" s="139"/>
      <c r="U187" s="683"/>
      <c r="V187" s="682"/>
      <c r="W187" s="684"/>
      <c r="X187" s="685"/>
      <c r="Y187" s="273" t="s">
        <v>16</v>
      </c>
      <c r="Z187" s="126"/>
      <c r="AA187" s="126"/>
      <c r="AB187" s="126"/>
      <c r="AC187" s="127"/>
      <c r="AD187" s="274">
        <v>100</v>
      </c>
      <c r="AE187" s="134"/>
      <c r="AF187" s="274">
        <v>0</v>
      </c>
      <c r="AG187" s="134"/>
      <c r="AH187" s="138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40"/>
      <c r="BB187" s="139"/>
      <c r="BC187" s="139"/>
      <c r="BD187" s="139"/>
      <c r="BE187" s="139"/>
      <c r="BF187" s="139"/>
      <c r="BG187" s="43"/>
      <c r="BK187" s="50" t="s">
        <v>160</v>
      </c>
      <c r="BL187" s="51" t="s">
        <v>1119</v>
      </c>
    </row>
    <row r="188" spans="1:64">
      <c r="A188" s="681">
        <v>181</v>
      </c>
      <c r="B188" s="682"/>
      <c r="C188" s="59" t="str">
        <f t="shared" si="6"/>
        <v>合同性质</v>
      </c>
      <c r="D188" s="139"/>
      <c r="E188" s="139"/>
      <c r="F188" s="139"/>
      <c r="G188" s="139"/>
      <c r="H188" s="139"/>
      <c r="I188" s="139"/>
      <c r="J188" s="139"/>
      <c r="K188" s="140"/>
      <c r="L188" s="36" t="s">
        <v>170</v>
      </c>
      <c r="M188" s="139"/>
      <c r="N188" s="139"/>
      <c r="O188" s="139"/>
      <c r="P188" s="139"/>
      <c r="Q188" s="139"/>
      <c r="R188" s="139"/>
      <c r="S188" s="139"/>
      <c r="T188" s="139"/>
      <c r="U188" s="683"/>
      <c r="V188" s="682"/>
      <c r="W188" s="684"/>
      <c r="X188" s="685"/>
      <c r="Y188" s="273" t="s">
        <v>16</v>
      </c>
      <c r="Z188" s="126"/>
      <c r="AA188" s="126"/>
      <c r="AB188" s="126"/>
      <c r="AC188" s="127"/>
      <c r="AD188" s="274">
        <v>100</v>
      </c>
      <c r="AE188" s="134"/>
      <c r="AF188" s="274">
        <v>0</v>
      </c>
      <c r="AG188" s="134"/>
      <c r="AH188" s="138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40"/>
      <c r="BB188" s="139"/>
      <c r="BC188" s="139"/>
      <c r="BD188" s="139"/>
      <c r="BE188" s="139"/>
      <c r="BF188" s="139"/>
      <c r="BG188" s="43"/>
      <c r="BK188" s="343" t="s">
        <v>161</v>
      </c>
      <c r="BL188" s="51" t="s">
        <v>239</v>
      </c>
    </row>
    <row r="189" spans="1:64">
      <c r="A189" s="681">
        <v>182</v>
      </c>
      <c r="B189" s="682"/>
      <c r="C189" s="59" t="str">
        <f t="shared" si="6"/>
        <v>合同更新状态</v>
      </c>
      <c r="D189" s="139"/>
      <c r="E189" s="139"/>
      <c r="F189" s="139"/>
      <c r="G189" s="139"/>
      <c r="H189" s="139"/>
      <c r="I189" s="139"/>
      <c r="J189" s="139"/>
      <c r="K189" s="140"/>
      <c r="L189" s="36" t="s">
        <v>171</v>
      </c>
      <c r="M189" s="139"/>
      <c r="N189" s="139"/>
      <c r="O189" s="139"/>
      <c r="P189" s="139"/>
      <c r="Q189" s="139"/>
      <c r="R189" s="139"/>
      <c r="S189" s="139"/>
      <c r="T189" s="139"/>
      <c r="U189" s="683"/>
      <c r="V189" s="682"/>
      <c r="W189" s="684"/>
      <c r="X189" s="685"/>
      <c r="Y189" s="273" t="s">
        <v>16</v>
      </c>
      <c r="Z189" s="126"/>
      <c r="AA189" s="126"/>
      <c r="AB189" s="126"/>
      <c r="AC189" s="127"/>
      <c r="AD189" s="274">
        <v>100</v>
      </c>
      <c r="AE189" s="134"/>
      <c r="AF189" s="274">
        <v>0</v>
      </c>
      <c r="AG189" s="134"/>
      <c r="AH189" s="138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40"/>
      <c r="BB189" s="139"/>
      <c r="BC189" s="139"/>
      <c r="BD189" s="139"/>
      <c r="BE189" s="139"/>
      <c r="BF189" s="139"/>
      <c r="BG189" s="43"/>
      <c r="BK189" s="50" t="s">
        <v>1120</v>
      </c>
      <c r="BL189" s="52" t="s">
        <v>1121</v>
      </c>
    </row>
    <row r="190" spans="1:64">
      <c r="A190" s="681">
        <v>183</v>
      </c>
      <c r="B190" s="682"/>
      <c r="C190" s="59" t="str">
        <f t="shared" si="6"/>
        <v>财务合同状态</v>
      </c>
      <c r="D190" s="139"/>
      <c r="E190" s="139"/>
      <c r="F190" s="139"/>
      <c r="G190" s="139"/>
      <c r="H190" s="139"/>
      <c r="I190" s="139"/>
      <c r="J190" s="139"/>
      <c r="K190" s="140"/>
      <c r="L190" s="36" t="s">
        <v>172</v>
      </c>
      <c r="M190" s="139"/>
      <c r="N190" s="139"/>
      <c r="O190" s="139"/>
      <c r="P190" s="139"/>
      <c r="Q190" s="139"/>
      <c r="R190" s="139"/>
      <c r="S190" s="139"/>
      <c r="T190" s="139"/>
      <c r="U190" s="683"/>
      <c r="V190" s="682"/>
      <c r="W190" s="684"/>
      <c r="X190" s="685"/>
      <c r="Y190" s="273" t="s">
        <v>199</v>
      </c>
      <c r="Z190" s="126"/>
      <c r="AA190" s="126"/>
      <c r="AB190" s="126"/>
      <c r="AC190" s="127"/>
      <c r="AD190" s="274">
        <v>1</v>
      </c>
      <c r="AE190" s="134"/>
      <c r="AF190" s="274">
        <v>0</v>
      </c>
      <c r="AG190" s="134"/>
      <c r="AH190" s="138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40"/>
      <c r="BB190" s="139"/>
      <c r="BC190" s="139"/>
      <c r="BD190" s="139"/>
      <c r="BE190" s="139"/>
      <c r="BF190" s="139"/>
      <c r="BG190" s="43"/>
      <c r="BK190" s="50" t="s">
        <v>1122</v>
      </c>
      <c r="BL190" s="52" t="s">
        <v>1127</v>
      </c>
    </row>
    <row r="191" spans="1:64">
      <c r="A191" s="681">
        <v>184</v>
      </c>
      <c r="B191" s="682"/>
      <c r="C191" s="59" t="str">
        <f t="shared" si="6"/>
        <v>收支方向</v>
      </c>
      <c r="D191" s="139"/>
      <c r="E191" s="139"/>
      <c r="F191" s="139"/>
      <c r="G191" s="139"/>
      <c r="H191" s="139"/>
      <c r="I191" s="139"/>
      <c r="J191" s="139"/>
      <c r="K191" s="140"/>
      <c r="L191" s="36" t="s">
        <v>173</v>
      </c>
      <c r="M191" s="139"/>
      <c r="N191" s="139"/>
      <c r="O191" s="139"/>
      <c r="P191" s="139"/>
      <c r="Q191" s="139"/>
      <c r="R191" s="139"/>
      <c r="S191" s="139"/>
      <c r="T191" s="139"/>
      <c r="U191" s="683"/>
      <c r="V191" s="682"/>
      <c r="W191" s="684"/>
      <c r="X191" s="685"/>
      <c r="Y191" s="273" t="s">
        <v>199</v>
      </c>
      <c r="Z191" s="126"/>
      <c r="AA191" s="126"/>
      <c r="AB191" s="126"/>
      <c r="AC191" s="127"/>
      <c r="AD191" s="274">
        <v>2</v>
      </c>
      <c r="AE191" s="134"/>
      <c r="AF191" s="274">
        <v>0</v>
      </c>
      <c r="AG191" s="134"/>
      <c r="AH191" s="138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40"/>
      <c r="BB191" s="139"/>
      <c r="BC191" s="139"/>
      <c r="BD191" s="139"/>
      <c r="BE191" s="139"/>
      <c r="BF191" s="139"/>
      <c r="BG191" s="43"/>
      <c r="BK191" s="50" t="s">
        <v>1123</v>
      </c>
      <c r="BL191" s="52" t="s">
        <v>1126</v>
      </c>
    </row>
    <row r="192" spans="1:64">
      <c r="A192" s="681">
        <v>185</v>
      </c>
      <c r="B192" s="682"/>
      <c r="C192" s="59" t="str">
        <f t="shared" si="6"/>
        <v>发票类型</v>
      </c>
      <c r="D192" s="139"/>
      <c r="E192" s="139"/>
      <c r="F192" s="139"/>
      <c r="G192" s="139"/>
      <c r="H192" s="139"/>
      <c r="I192" s="139"/>
      <c r="J192" s="139"/>
      <c r="K192" s="140"/>
      <c r="L192" s="278" t="s">
        <v>174</v>
      </c>
      <c r="M192" s="139"/>
      <c r="N192" s="139"/>
      <c r="O192" s="139"/>
      <c r="P192" s="139"/>
      <c r="Q192" s="139"/>
      <c r="R192" s="139"/>
      <c r="S192" s="139"/>
      <c r="T192" s="139"/>
      <c r="U192" s="683"/>
      <c r="V192" s="682"/>
      <c r="W192" s="684"/>
      <c r="X192" s="685"/>
      <c r="Y192" s="275" t="s">
        <v>199</v>
      </c>
      <c r="Z192" s="131"/>
      <c r="AA192" s="131"/>
      <c r="AB192" s="131"/>
      <c r="AC192" s="132"/>
      <c r="AD192" s="274">
        <v>1</v>
      </c>
      <c r="AE192" s="134"/>
      <c r="AF192" s="274">
        <v>0</v>
      </c>
      <c r="AG192" s="134"/>
      <c r="AH192" s="141"/>
      <c r="AI192" s="142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40"/>
      <c r="BB192" s="139"/>
      <c r="BC192" s="139"/>
      <c r="BD192" s="139"/>
      <c r="BE192" s="139"/>
      <c r="BF192" s="139"/>
      <c r="BG192" s="43"/>
      <c r="BH192" s="36"/>
      <c r="BK192" s="50" t="s">
        <v>1124</v>
      </c>
      <c r="BL192" s="52" t="s">
        <v>1125</v>
      </c>
    </row>
    <row r="193" spans="1:64">
      <c r="A193" s="681">
        <v>186</v>
      </c>
      <c r="B193" s="682"/>
      <c r="C193" s="59" t="str">
        <f t="shared" si="6"/>
        <v>制式合同</v>
      </c>
      <c r="D193" s="142"/>
      <c r="E193" s="142"/>
      <c r="F193" s="142"/>
      <c r="G193" s="142"/>
      <c r="H193" s="142"/>
      <c r="I193" s="142"/>
      <c r="J193" s="142"/>
      <c r="K193" s="143"/>
      <c r="L193" s="1" t="s">
        <v>175</v>
      </c>
      <c r="M193" s="142"/>
      <c r="N193" s="142"/>
      <c r="O193" s="142"/>
      <c r="P193" s="142"/>
      <c r="Q193" s="142"/>
      <c r="R193" s="142"/>
      <c r="S193" s="142"/>
      <c r="T193" s="142"/>
      <c r="U193" s="692"/>
      <c r="V193" s="693"/>
      <c r="W193" s="694"/>
      <c r="X193" s="695"/>
      <c r="Y193" s="275" t="s">
        <v>199</v>
      </c>
      <c r="Z193" s="131"/>
      <c r="AA193" s="131"/>
      <c r="AB193" s="131"/>
      <c r="AC193" s="132"/>
      <c r="AD193" s="274">
        <v>1</v>
      </c>
      <c r="AE193" s="134"/>
      <c r="AF193" s="274">
        <v>0</v>
      </c>
      <c r="AG193" s="134"/>
      <c r="AH193" s="141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3"/>
      <c r="BB193" s="139"/>
      <c r="BC193" s="139"/>
      <c r="BD193" s="139"/>
      <c r="BE193" s="139"/>
      <c r="BF193" s="139"/>
      <c r="BG193" s="43"/>
      <c r="BH193" s="36"/>
      <c r="BK193" s="50" t="s">
        <v>1128</v>
      </c>
      <c r="BL193" s="52" t="s">
        <v>1129</v>
      </c>
    </row>
    <row r="194" spans="1:64">
      <c r="A194" s="681">
        <v>187</v>
      </c>
      <c r="B194" s="682"/>
      <c r="C194" s="59" t="str">
        <f t="shared" si="6"/>
        <v>重点合同</v>
      </c>
      <c r="D194" s="142"/>
      <c r="E194" s="142"/>
      <c r="F194" s="142"/>
      <c r="G194" s="142"/>
      <c r="H194" s="142"/>
      <c r="I194" s="142"/>
      <c r="J194" s="142"/>
      <c r="K194" s="143"/>
      <c r="L194" s="1" t="s">
        <v>176</v>
      </c>
      <c r="M194" s="142"/>
      <c r="N194" s="142"/>
      <c r="O194" s="142"/>
      <c r="P194" s="142"/>
      <c r="Q194" s="142"/>
      <c r="R194" s="142"/>
      <c r="S194" s="142"/>
      <c r="T194" s="142"/>
      <c r="U194" s="692"/>
      <c r="V194" s="693"/>
      <c r="W194" s="694"/>
      <c r="X194" s="695"/>
      <c r="Y194" s="275" t="s">
        <v>199</v>
      </c>
      <c r="Z194" s="131"/>
      <c r="AA194" s="131"/>
      <c r="AB194" s="131"/>
      <c r="AC194" s="132"/>
      <c r="AD194" s="274">
        <v>1</v>
      </c>
      <c r="AE194" s="134"/>
      <c r="AF194" s="274">
        <v>0</v>
      </c>
      <c r="AG194" s="134"/>
      <c r="AH194" s="141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40"/>
      <c r="BB194" s="48"/>
      <c r="BC194" s="48"/>
      <c r="BD194" s="48"/>
      <c r="BE194" s="48"/>
      <c r="BF194" s="48"/>
      <c r="BG194" s="49"/>
      <c r="BK194" s="50" t="s">
        <v>1130</v>
      </c>
      <c r="BL194" s="52" t="s">
        <v>1131</v>
      </c>
    </row>
    <row r="195" spans="1:64">
      <c r="A195" s="681">
        <v>188</v>
      </c>
      <c r="B195" s="682"/>
      <c r="C195" s="59" t="str">
        <f t="shared" si="6"/>
        <v>市级</v>
      </c>
      <c r="D195" s="142"/>
      <c r="E195" s="142"/>
      <c r="F195" s="142"/>
      <c r="G195" s="142"/>
      <c r="H195" s="142"/>
      <c r="I195" s="142"/>
      <c r="J195" s="142"/>
      <c r="K195" s="143"/>
      <c r="L195" s="1" t="s">
        <v>421</v>
      </c>
      <c r="M195" s="142"/>
      <c r="N195" s="142"/>
      <c r="O195" s="142"/>
      <c r="P195" s="142"/>
      <c r="Q195" s="142"/>
      <c r="R195" s="142"/>
      <c r="S195" s="142"/>
      <c r="T195" s="142"/>
      <c r="U195" s="692"/>
      <c r="V195" s="693"/>
      <c r="W195" s="694"/>
      <c r="X195" s="695"/>
      <c r="Y195" s="275" t="s">
        <v>16</v>
      </c>
      <c r="Z195" s="131"/>
      <c r="AA195" s="131"/>
      <c r="AB195" s="131"/>
      <c r="AC195" s="132"/>
      <c r="AD195" s="274">
        <v>512</v>
      </c>
      <c r="AE195" s="134"/>
      <c r="AF195" s="274">
        <v>0</v>
      </c>
      <c r="AG195" s="134"/>
      <c r="AH195" s="141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40"/>
      <c r="BB195" s="139"/>
      <c r="BC195" s="139"/>
      <c r="BD195" s="139"/>
      <c r="BE195" s="139"/>
      <c r="BF195" s="139"/>
      <c r="BG195" s="43"/>
      <c r="BK195" s="50" t="s">
        <v>1132</v>
      </c>
      <c r="BL195" s="52" t="s">
        <v>1133</v>
      </c>
    </row>
    <row r="196" spans="1:64">
      <c r="A196" s="681">
        <v>189</v>
      </c>
      <c r="B196" s="682"/>
      <c r="C196" s="59" t="str">
        <f t="shared" si="6"/>
        <v>notDisplay</v>
      </c>
      <c r="D196" s="142"/>
      <c r="E196" s="142"/>
      <c r="F196" s="142"/>
      <c r="G196" s="142"/>
      <c r="H196" s="142"/>
      <c r="I196" s="142"/>
      <c r="J196" s="142"/>
      <c r="K196" s="143"/>
      <c r="L196" s="1" t="s">
        <v>177</v>
      </c>
      <c r="M196" s="142"/>
      <c r="N196" s="142"/>
      <c r="O196" s="142"/>
      <c r="P196" s="142"/>
      <c r="Q196" s="142"/>
      <c r="R196" s="142"/>
      <c r="S196" s="142"/>
      <c r="T196" s="142"/>
      <c r="U196" s="692"/>
      <c r="V196" s="693"/>
      <c r="W196" s="694"/>
      <c r="X196" s="695"/>
      <c r="Y196" s="275" t="s">
        <v>16</v>
      </c>
      <c r="Z196" s="131"/>
      <c r="AA196" s="131"/>
      <c r="AB196" s="131"/>
      <c r="AC196" s="132"/>
      <c r="AD196" s="274">
        <v>8</v>
      </c>
      <c r="AE196" s="134"/>
      <c r="AF196" s="274">
        <v>0</v>
      </c>
      <c r="AG196" s="134"/>
      <c r="AH196" s="141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40"/>
      <c r="BB196" s="139"/>
      <c r="BC196" s="139"/>
      <c r="BD196" s="139"/>
      <c r="BE196" s="139"/>
      <c r="BF196" s="139"/>
      <c r="BG196" s="43"/>
      <c r="BK196" s="50" t="s">
        <v>1134</v>
      </c>
      <c r="BL196" s="51" t="s">
        <v>237</v>
      </c>
    </row>
    <row r="197" spans="1:64">
      <c r="A197" s="681">
        <v>190</v>
      </c>
      <c r="B197" s="682"/>
      <c r="C197" s="59" t="str">
        <f t="shared" si="6"/>
        <v>复核人</v>
      </c>
      <c r="D197" s="142"/>
      <c r="E197" s="142"/>
      <c r="F197" s="142"/>
      <c r="G197" s="142"/>
      <c r="H197" s="142"/>
      <c r="I197" s="142"/>
      <c r="J197" s="142"/>
      <c r="K197" s="143"/>
      <c r="L197" s="1" t="s">
        <v>178</v>
      </c>
      <c r="M197" s="142"/>
      <c r="N197" s="142"/>
      <c r="O197" s="142"/>
      <c r="P197" s="142"/>
      <c r="Q197" s="142"/>
      <c r="R197" s="142"/>
      <c r="S197" s="142"/>
      <c r="T197" s="142"/>
      <c r="U197" s="692"/>
      <c r="V197" s="693"/>
      <c r="W197" s="694"/>
      <c r="X197" s="695"/>
      <c r="Y197" s="275" t="s">
        <v>16</v>
      </c>
      <c r="Z197" s="131"/>
      <c r="AA197" s="131"/>
      <c r="AB197" s="131"/>
      <c r="AC197" s="132"/>
      <c r="AD197" s="274">
        <v>50</v>
      </c>
      <c r="AE197" s="134"/>
      <c r="AF197" s="274">
        <v>0</v>
      </c>
      <c r="AG197" s="134"/>
      <c r="AH197" s="141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40"/>
      <c r="BB197" s="139"/>
      <c r="BC197" s="139"/>
      <c r="BD197" s="139"/>
      <c r="BE197" s="139"/>
      <c r="BF197" s="139"/>
      <c r="BG197" s="43"/>
      <c r="BK197" s="343" t="s">
        <v>170</v>
      </c>
      <c r="BL197" s="51" t="s">
        <v>238</v>
      </c>
    </row>
    <row r="198" spans="1:64">
      <c r="A198" s="681">
        <v>191</v>
      </c>
      <c r="B198" s="682"/>
      <c r="C198" s="59" t="str">
        <f t="shared" si="6"/>
        <v>竣工决算日期</v>
      </c>
      <c r="D198" s="142"/>
      <c r="E198" s="142"/>
      <c r="F198" s="142"/>
      <c r="G198" s="142"/>
      <c r="H198" s="142"/>
      <c r="I198" s="142"/>
      <c r="J198" s="142"/>
      <c r="K198" s="143"/>
      <c r="L198" s="1" t="s">
        <v>422</v>
      </c>
      <c r="M198" s="142"/>
      <c r="N198" s="142"/>
      <c r="O198" s="142"/>
      <c r="P198" s="142"/>
      <c r="Q198" s="142"/>
      <c r="R198" s="142"/>
      <c r="S198" s="142"/>
      <c r="T198" s="142"/>
      <c r="U198" s="692"/>
      <c r="V198" s="693"/>
      <c r="W198" s="694"/>
      <c r="X198" s="695"/>
      <c r="Y198" s="275" t="s">
        <v>17</v>
      </c>
      <c r="Z198" s="131"/>
      <c r="AA198" s="131"/>
      <c r="AB198" s="131"/>
      <c r="AC198" s="132"/>
      <c r="AD198" s="274"/>
      <c r="AE198" s="134"/>
      <c r="AF198" s="274"/>
      <c r="AG198" s="134"/>
      <c r="AH198" s="141" t="s">
        <v>1285</v>
      </c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40"/>
      <c r="BB198" s="139"/>
      <c r="BC198" s="139"/>
      <c r="BD198" s="139"/>
      <c r="BE198" s="139"/>
      <c r="BF198" s="139"/>
      <c r="BG198" s="43"/>
      <c r="BK198" s="343" t="s">
        <v>171</v>
      </c>
      <c r="BL198" s="51" t="s">
        <v>245</v>
      </c>
    </row>
    <row r="199" spans="1:64">
      <c r="A199" s="681">
        <v>192</v>
      </c>
      <c r="B199" s="682"/>
      <c r="C199" s="59" t="str">
        <f t="shared" si="6"/>
        <v>投标状态</v>
      </c>
      <c r="D199" s="142"/>
      <c r="E199" s="142"/>
      <c r="F199" s="142"/>
      <c r="G199" s="142"/>
      <c r="H199" s="142"/>
      <c r="I199" s="142"/>
      <c r="J199" s="142"/>
      <c r="K199" s="143"/>
      <c r="L199" s="1" t="s">
        <v>423</v>
      </c>
      <c r="M199" s="142"/>
      <c r="N199" s="142"/>
      <c r="O199" s="142"/>
      <c r="P199" s="142"/>
      <c r="Q199" s="142"/>
      <c r="R199" s="142"/>
      <c r="S199" s="142"/>
      <c r="T199" s="142"/>
      <c r="U199" s="692"/>
      <c r="V199" s="693"/>
      <c r="W199" s="694"/>
      <c r="X199" s="695"/>
      <c r="Y199" s="275" t="s">
        <v>16</v>
      </c>
      <c r="Z199" s="131"/>
      <c r="AA199" s="131"/>
      <c r="AB199" s="131"/>
      <c r="AC199" s="132"/>
      <c r="AD199" s="274">
        <v>100</v>
      </c>
      <c r="AE199" s="134"/>
      <c r="AF199" s="274">
        <v>0</v>
      </c>
      <c r="AG199" s="134"/>
      <c r="AH199" s="141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40"/>
      <c r="BB199" s="139"/>
      <c r="BC199" s="139"/>
      <c r="BD199" s="139"/>
      <c r="BE199" s="139"/>
      <c r="BF199" s="139"/>
      <c r="BG199" s="43"/>
      <c r="BK199" s="343" t="s">
        <v>172</v>
      </c>
      <c r="BL199" s="51" t="s">
        <v>235</v>
      </c>
    </row>
    <row r="200" spans="1:64">
      <c r="A200" s="681">
        <v>193</v>
      </c>
      <c r="B200" s="682"/>
      <c r="C200" s="59" t="str">
        <f t="shared" ref="C200:C231" si="7">VLOOKUP(L200,$BK$7:$BL$276,2,FALSE)</f>
        <v>质保金到期日期</v>
      </c>
      <c r="D200" s="139"/>
      <c r="E200" s="139"/>
      <c r="F200" s="139"/>
      <c r="G200" s="139"/>
      <c r="H200" s="139"/>
      <c r="I200" s="139"/>
      <c r="J200" s="139"/>
      <c r="K200" s="140"/>
      <c r="L200" s="36" t="s">
        <v>424</v>
      </c>
      <c r="M200" s="139"/>
      <c r="N200" s="139"/>
      <c r="O200" s="139"/>
      <c r="P200" s="139"/>
      <c r="Q200" s="139"/>
      <c r="R200" s="139"/>
      <c r="S200" s="139"/>
      <c r="T200" s="139"/>
      <c r="U200" s="683"/>
      <c r="V200" s="682"/>
      <c r="W200" s="684"/>
      <c r="X200" s="685"/>
      <c r="Y200" s="273" t="s">
        <v>17</v>
      </c>
      <c r="Z200" s="126"/>
      <c r="AA200" s="126"/>
      <c r="AB200" s="126"/>
      <c r="AC200" s="127"/>
      <c r="AD200" s="274"/>
      <c r="AE200" s="134"/>
      <c r="AF200" s="274"/>
      <c r="AG200" s="134"/>
      <c r="AH200" s="330" t="s">
        <v>1286</v>
      </c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40"/>
      <c r="BB200" s="139"/>
      <c r="BC200" s="139"/>
      <c r="BD200" s="139"/>
      <c r="BE200" s="139"/>
      <c r="BF200" s="139"/>
      <c r="BG200" s="43"/>
      <c r="BK200" s="50" t="s">
        <v>1135</v>
      </c>
      <c r="BL200" s="52" t="s">
        <v>1136</v>
      </c>
    </row>
    <row r="201" spans="1:64">
      <c r="A201" s="681">
        <v>194</v>
      </c>
      <c r="B201" s="682"/>
      <c r="C201" s="59" t="str">
        <f t="shared" si="7"/>
        <v>垫付款到期日期</v>
      </c>
      <c r="D201" s="139"/>
      <c r="E201" s="139"/>
      <c r="F201" s="139"/>
      <c r="G201" s="139"/>
      <c r="H201" s="139"/>
      <c r="I201" s="139"/>
      <c r="J201" s="139"/>
      <c r="K201" s="140"/>
      <c r="L201" s="36" t="s">
        <v>425</v>
      </c>
      <c r="M201" s="139"/>
      <c r="N201" s="139"/>
      <c r="O201" s="139"/>
      <c r="P201" s="139"/>
      <c r="Q201" s="139"/>
      <c r="R201" s="139"/>
      <c r="S201" s="139"/>
      <c r="T201" s="139"/>
      <c r="U201" s="683"/>
      <c r="V201" s="682"/>
      <c r="W201" s="684"/>
      <c r="X201" s="685"/>
      <c r="Y201" s="273" t="s">
        <v>17</v>
      </c>
      <c r="Z201" s="126"/>
      <c r="AA201" s="126"/>
      <c r="AB201" s="126"/>
      <c r="AC201" s="127"/>
      <c r="AD201" s="274"/>
      <c r="AE201" s="134"/>
      <c r="AF201" s="274"/>
      <c r="AG201" s="134"/>
      <c r="AH201" s="330" t="s">
        <v>1272</v>
      </c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40"/>
      <c r="BB201" s="139"/>
      <c r="BC201" s="139"/>
      <c r="BD201" s="139"/>
      <c r="BE201" s="139"/>
      <c r="BF201" s="139"/>
      <c r="BG201" s="43"/>
      <c r="BK201" s="346" t="s">
        <v>1137</v>
      </c>
      <c r="BL201" s="52" t="s">
        <v>1138</v>
      </c>
    </row>
    <row r="202" spans="1:64">
      <c r="A202" s="681">
        <v>195</v>
      </c>
      <c r="B202" s="682"/>
      <c r="C202" s="59" t="str">
        <f t="shared" si="7"/>
        <v>预付款比例</v>
      </c>
      <c r="D202" s="139"/>
      <c r="E202" s="139"/>
      <c r="F202" s="139"/>
      <c r="G202" s="139"/>
      <c r="H202" s="139"/>
      <c r="I202" s="139"/>
      <c r="J202" s="139"/>
      <c r="K202" s="140"/>
      <c r="L202" s="36" t="s">
        <v>426</v>
      </c>
      <c r="M202" s="139"/>
      <c r="N202" s="139"/>
      <c r="O202" s="139"/>
      <c r="P202" s="139"/>
      <c r="Q202" s="139"/>
      <c r="R202" s="139"/>
      <c r="S202" s="139"/>
      <c r="T202" s="139"/>
      <c r="U202" s="683"/>
      <c r="V202" s="682"/>
      <c r="W202" s="684"/>
      <c r="X202" s="685"/>
      <c r="Y202" s="350" t="s">
        <v>1260</v>
      </c>
      <c r="Z202" s="126"/>
      <c r="AA202" s="126"/>
      <c r="AB202" s="126"/>
      <c r="AC202" s="127"/>
      <c r="AD202" s="274">
        <v>19</v>
      </c>
      <c r="AE202" s="134"/>
      <c r="AF202" s="274">
        <v>6</v>
      </c>
      <c r="AG202" s="134"/>
      <c r="AH202" s="350" t="s">
        <v>1264</v>
      </c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40"/>
      <c r="BB202" s="139"/>
      <c r="BC202" s="139"/>
      <c r="BD202" s="139"/>
      <c r="BE202" s="139"/>
      <c r="BF202" s="139"/>
      <c r="BG202" s="43"/>
      <c r="BK202" s="50" t="s">
        <v>1139</v>
      </c>
      <c r="BL202" s="52" t="s">
        <v>1140</v>
      </c>
    </row>
    <row r="203" spans="1:64">
      <c r="A203" s="681">
        <v>196</v>
      </c>
      <c r="B203" s="682"/>
      <c r="C203" s="59" t="str">
        <f t="shared" si="7"/>
        <v>进度款比例</v>
      </c>
      <c r="D203" s="139"/>
      <c r="E203" s="139"/>
      <c r="F203" s="139"/>
      <c r="G203" s="139"/>
      <c r="H203" s="139"/>
      <c r="I203" s="139"/>
      <c r="J203" s="139"/>
      <c r="K203" s="140"/>
      <c r="L203" s="36" t="s">
        <v>427</v>
      </c>
      <c r="M203" s="139"/>
      <c r="N203" s="139"/>
      <c r="O203" s="139"/>
      <c r="P203" s="139"/>
      <c r="Q203" s="139"/>
      <c r="R203" s="139"/>
      <c r="S203" s="139"/>
      <c r="T203" s="139"/>
      <c r="U203" s="683"/>
      <c r="V203" s="682"/>
      <c r="W203" s="684"/>
      <c r="X203" s="685"/>
      <c r="Y203" s="350" t="s">
        <v>1262</v>
      </c>
      <c r="Z203" s="126"/>
      <c r="AA203" s="126"/>
      <c r="AB203" s="126"/>
      <c r="AC203" s="127"/>
      <c r="AD203" s="274">
        <v>19</v>
      </c>
      <c r="AE203" s="134"/>
      <c r="AF203" s="274">
        <v>6</v>
      </c>
      <c r="AG203" s="134"/>
      <c r="AH203" s="348" t="s">
        <v>198</v>
      </c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40"/>
      <c r="BB203" s="139"/>
      <c r="BC203" s="139"/>
      <c r="BD203" s="139"/>
      <c r="BE203" s="139"/>
      <c r="BF203" s="139"/>
      <c r="BG203" s="43"/>
      <c r="BK203" s="50" t="s">
        <v>1141</v>
      </c>
      <c r="BL203" s="52" t="s">
        <v>1142</v>
      </c>
    </row>
    <row r="204" spans="1:64">
      <c r="A204" s="681">
        <v>197</v>
      </c>
      <c r="B204" s="682"/>
      <c r="C204" s="59" t="str">
        <f t="shared" si="7"/>
        <v>竣工款比例</v>
      </c>
      <c r="D204" s="139"/>
      <c r="E204" s="139"/>
      <c r="F204" s="139"/>
      <c r="G204" s="139"/>
      <c r="H204" s="139"/>
      <c r="I204" s="139"/>
      <c r="J204" s="139"/>
      <c r="K204" s="140"/>
      <c r="L204" s="36" t="s">
        <v>428</v>
      </c>
      <c r="M204" s="139"/>
      <c r="N204" s="139"/>
      <c r="O204" s="139"/>
      <c r="P204" s="139"/>
      <c r="Q204" s="139"/>
      <c r="R204" s="139"/>
      <c r="S204" s="139"/>
      <c r="T204" s="139"/>
      <c r="U204" s="683"/>
      <c r="V204" s="682"/>
      <c r="W204" s="684"/>
      <c r="X204" s="685"/>
      <c r="Y204" s="350" t="s">
        <v>1270</v>
      </c>
      <c r="Z204" s="126"/>
      <c r="AA204" s="126"/>
      <c r="AB204" s="126"/>
      <c r="AC204" s="127"/>
      <c r="AD204" s="274">
        <v>19</v>
      </c>
      <c r="AE204" s="134"/>
      <c r="AF204" s="274">
        <v>6</v>
      </c>
      <c r="AG204" s="134"/>
      <c r="AH204" s="348" t="s">
        <v>198</v>
      </c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40"/>
      <c r="BB204" s="139"/>
      <c r="BC204" s="139"/>
      <c r="BD204" s="139"/>
      <c r="BE204" s="139"/>
      <c r="BF204" s="139"/>
      <c r="BG204" s="43"/>
      <c r="BK204" s="50" t="s">
        <v>1143</v>
      </c>
      <c r="BL204" s="52" t="s">
        <v>1144</v>
      </c>
    </row>
    <row r="205" spans="1:64">
      <c r="A205" s="681">
        <v>198</v>
      </c>
      <c r="B205" s="682"/>
      <c r="C205" s="59" t="str">
        <f t="shared" si="7"/>
        <v>往来单位编号LSWLDW_WLDWBH</v>
      </c>
      <c r="D205" s="139"/>
      <c r="E205" s="139"/>
      <c r="F205" s="139"/>
      <c r="G205" s="139"/>
      <c r="H205" s="139"/>
      <c r="I205" s="139"/>
      <c r="J205" s="139"/>
      <c r="K205" s="140"/>
      <c r="L205" s="36" t="s">
        <v>429</v>
      </c>
      <c r="M205" s="139"/>
      <c r="N205" s="139"/>
      <c r="O205" s="139"/>
      <c r="P205" s="139"/>
      <c r="Q205" s="139"/>
      <c r="R205" s="139"/>
      <c r="S205" s="139"/>
      <c r="T205" s="139"/>
      <c r="U205" s="683"/>
      <c r="V205" s="682"/>
      <c r="W205" s="684"/>
      <c r="X205" s="685"/>
      <c r="Y205" s="273" t="s">
        <v>16</v>
      </c>
      <c r="Z205" s="126"/>
      <c r="AA205" s="126"/>
      <c r="AB205" s="126"/>
      <c r="AC205" s="127"/>
      <c r="AD205" s="274">
        <v>128</v>
      </c>
      <c r="AE205" s="134"/>
      <c r="AF205" s="274">
        <v>0</v>
      </c>
      <c r="AG205" s="134"/>
      <c r="AH205" s="138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40"/>
      <c r="BB205" s="139"/>
      <c r="BC205" s="139"/>
      <c r="BD205" s="139"/>
      <c r="BE205" s="139"/>
      <c r="BF205" s="139"/>
      <c r="BG205" s="43"/>
      <c r="BK205" s="50" t="s">
        <v>1145</v>
      </c>
      <c r="BL205" s="52" t="s">
        <v>1146</v>
      </c>
    </row>
    <row r="206" spans="1:64">
      <c r="A206" s="681">
        <v>199</v>
      </c>
      <c r="B206" s="682"/>
      <c r="C206" s="59" t="str">
        <f t="shared" si="7"/>
        <v>往来单位编号lswldw_sh</v>
      </c>
      <c r="D206" s="139"/>
      <c r="E206" s="139"/>
      <c r="F206" s="139"/>
      <c r="G206" s="139"/>
      <c r="H206" s="139"/>
      <c r="I206" s="139"/>
      <c r="J206" s="139"/>
      <c r="K206" s="140"/>
      <c r="L206" s="36" t="s">
        <v>430</v>
      </c>
      <c r="M206" s="139"/>
      <c r="N206" s="139"/>
      <c r="O206" s="139"/>
      <c r="P206" s="139"/>
      <c r="Q206" s="139"/>
      <c r="R206" s="139"/>
      <c r="S206" s="139"/>
      <c r="T206" s="139"/>
      <c r="U206" s="683"/>
      <c r="V206" s="682"/>
      <c r="W206" s="684"/>
      <c r="X206" s="685"/>
      <c r="Y206" s="273" t="s">
        <v>16</v>
      </c>
      <c r="Z206" s="126"/>
      <c r="AA206" s="126"/>
      <c r="AB206" s="126"/>
      <c r="AC206" s="127"/>
      <c r="AD206" s="274">
        <v>128</v>
      </c>
      <c r="AE206" s="134"/>
      <c r="AF206" s="274">
        <v>0</v>
      </c>
      <c r="AG206" s="134"/>
      <c r="AH206" s="138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40"/>
      <c r="BB206" s="139"/>
      <c r="BC206" s="139"/>
      <c r="BD206" s="139"/>
      <c r="BE206" s="139"/>
      <c r="BF206" s="139"/>
      <c r="BG206" s="43"/>
      <c r="BK206" s="50" t="s">
        <v>1147</v>
      </c>
      <c r="BL206" s="52" t="s">
        <v>1148</v>
      </c>
    </row>
    <row r="207" spans="1:64">
      <c r="A207" s="681">
        <v>200</v>
      </c>
      <c r="B207" s="682"/>
      <c r="C207" s="59" t="str">
        <f t="shared" si="7"/>
        <v>往来单位编号</v>
      </c>
      <c r="D207" s="139"/>
      <c r="E207" s="139"/>
      <c r="F207" s="139"/>
      <c r="G207" s="139"/>
      <c r="H207" s="139"/>
      <c r="I207" s="139"/>
      <c r="J207" s="139"/>
      <c r="K207" s="140"/>
      <c r="L207" s="36" t="s">
        <v>179</v>
      </c>
      <c r="M207" s="139"/>
      <c r="N207" s="139"/>
      <c r="O207" s="139"/>
      <c r="P207" s="139"/>
      <c r="Q207" s="139"/>
      <c r="R207" s="139"/>
      <c r="S207" s="139"/>
      <c r="T207" s="139"/>
      <c r="U207" s="683"/>
      <c r="V207" s="682"/>
      <c r="W207" s="684"/>
      <c r="X207" s="685"/>
      <c r="Y207" s="273" t="s">
        <v>16</v>
      </c>
      <c r="Z207" s="126"/>
      <c r="AA207" s="126"/>
      <c r="AB207" s="126"/>
      <c r="AC207" s="127"/>
      <c r="AD207" s="274">
        <v>128</v>
      </c>
      <c r="AE207" s="134"/>
      <c r="AF207" s="274">
        <v>0</v>
      </c>
      <c r="AG207" s="134"/>
      <c r="AH207" s="138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40"/>
      <c r="BB207" s="139"/>
      <c r="BC207" s="139"/>
      <c r="BD207" s="139"/>
      <c r="BE207" s="139"/>
      <c r="BF207" s="139"/>
      <c r="BG207" s="43"/>
      <c r="BK207" s="50" t="s">
        <v>1149</v>
      </c>
      <c r="BL207" s="52" t="s">
        <v>1150</v>
      </c>
    </row>
    <row r="208" spans="1:64">
      <c r="A208" s="681">
        <v>201</v>
      </c>
      <c r="B208" s="682"/>
      <c r="C208" s="59" t="str">
        <f t="shared" si="7"/>
        <v>累计结算金额</v>
      </c>
      <c r="D208" s="139"/>
      <c r="E208" s="139"/>
      <c r="F208" s="139"/>
      <c r="G208" s="139"/>
      <c r="H208" s="139"/>
      <c r="I208" s="139"/>
      <c r="J208" s="139"/>
      <c r="K208" s="140"/>
      <c r="L208" s="36" t="s">
        <v>431</v>
      </c>
      <c r="M208" s="139"/>
      <c r="N208" s="139"/>
      <c r="O208" s="139"/>
      <c r="P208" s="139"/>
      <c r="Q208" s="139"/>
      <c r="R208" s="139"/>
      <c r="S208" s="139"/>
      <c r="T208" s="139"/>
      <c r="U208" s="683"/>
      <c r="V208" s="682"/>
      <c r="W208" s="684"/>
      <c r="X208" s="685"/>
      <c r="Y208" s="350" t="s">
        <v>1262</v>
      </c>
      <c r="Z208" s="126"/>
      <c r="AA208" s="126"/>
      <c r="AB208" s="126"/>
      <c r="AC208" s="127"/>
      <c r="AD208" s="274">
        <v>19</v>
      </c>
      <c r="AE208" s="134"/>
      <c r="AF208" s="274">
        <v>6</v>
      </c>
      <c r="AG208" s="134"/>
      <c r="AH208" s="330" t="s">
        <v>1264</v>
      </c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40"/>
      <c r="BB208" s="139"/>
      <c r="BC208" s="139"/>
      <c r="BD208" s="139"/>
      <c r="BE208" s="139"/>
      <c r="BF208" s="139"/>
      <c r="BG208" s="43"/>
      <c r="BK208" s="50" t="s">
        <v>1151</v>
      </c>
      <c r="BL208" s="52" t="s">
        <v>1152</v>
      </c>
    </row>
    <row r="209" spans="1:64">
      <c r="A209" s="681">
        <v>202</v>
      </c>
      <c r="B209" s="682"/>
      <c r="C209" s="59" t="str">
        <f t="shared" si="7"/>
        <v>财务审核状态</v>
      </c>
      <c r="D209" s="139"/>
      <c r="E209" s="139"/>
      <c r="F209" s="139"/>
      <c r="G209" s="139"/>
      <c r="H209" s="139"/>
      <c r="I209" s="139"/>
      <c r="J209" s="139"/>
      <c r="K209" s="140"/>
      <c r="L209" s="1" t="s">
        <v>1945</v>
      </c>
      <c r="M209" s="139"/>
      <c r="N209" s="139"/>
      <c r="O209" s="139"/>
      <c r="P209" s="139"/>
      <c r="Q209" s="139"/>
      <c r="R209" s="139"/>
      <c r="S209" s="139"/>
      <c r="T209" s="139"/>
      <c r="U209" s="683"/>
      <c r="V209" s="682"/>
      <c r="W209" s="684"/>
      <c r="X209" s="685"/>
      <c r="Y209" s="273" t="s">
        <v>16</v>
      </c>
      <c r="Z209" s="126"/>
      <c r="AA209" s="126"/>
      <c r="AB209" s="126"/>
      <c r="AC209" s="127"/>
      <c r="AD209" s="274">
        <v>8</v>
      </c>
      <c r="AE209" s="134"/>
      <c r="AF209" s="274">
        <v>0</v>
      </c>
      <c r="AG209" s="134"/>
      <c r="AH209" s="138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40"/>
      <c r="BB209" s="139"/>
      <c r="BC209" s="139"/>
      <c r="BD209" s="139"/>
      <c r="BE209" s="139"/>
      <c r="BF209" s="139"/>
      <c r="BG209" s="43"/>
      <c r="BK209" s="50" t="s">
        <v>1153</v>
      </c>
      <c r="BL209" s="52" t="s">
        <v>1154</v>
      </c>
    </row>
    <row r="210" spans="1:64">
      <c r="A210" s="681">
        <v>203</v>
      </c>
      <c r="B210" s="682"/>
      <c r="C210" s="59" t="str">
        <f t="shared" si="7"/>
        <v>财务合同ID</v>
      </c>
      <c r="D210" s="139"/>
      <c r="E210" s="139"/>
      <c r="F210" s="139"/>
      <c r="G210" s="139"/>
      <c r="H210" s="139"/>
      <c r="I210" s="139"/>
      <c r="J210" s="139"/>
      <c r="K210" s="140"/>
      <c r="L210" s="36" t="s">
        <v>432</v>
      </c>
      <c r="M210" s="139"/>
      <c r="N210" s="139"/>
      <c r="O210" s="139"/>
      <c r="P210" s="139"/>
      <c r="Q210" s="139"/>
      <c r="R210" s="139"/>
      <c r="S210" s="139"/>
      <c r="T210" s="139"/>
      <c r="U210" s="683"/>
      <c r="V210" s="682"/>
      <c r="W210" s="684"/>
      <c r="X210" s="685"/>
      <c r="Y210" s="273" t="s">
        <v>16</v>
      </c>
      <c r="Z210" s="126"/>
      <c r="AA210" s="126"/>
      <c r="AB210" s="126"/>
      <c r="AC210" s="127"/>
      <c r="AD210" s="274">
        <v>100</v>
      </c>
      <c r="AE210" s="134"/>
      <c r="AF210" s="274">
        <v>0</v>
      </c>
      <c r="AG210" s="134"/>
      <c r="AH210" s="138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40"/>
      <c r="BB210" s="139"/>
      <c r="BC210" s="139"/>
      <c r="BD210" s="139"/>
      <c r="BE210" s="139"/>
      <c r="BF210" s="139"/>
      <c r="BG210" s="43"/>
      <c r="BK210" s="50" t="s">
        <v>1155</v>
      </c>
      <c r="BL210" s="52" t="s">
        <v>1156</v>
      </c>
    </row>
    <row r="211" spans="1:64">
      <c r="A211" s="681">
        <v>204</v>
      </c>
      <c r="B211" s="682"/>
      <c r="C211" s="59" t="str">
        <f t="shared" si="7"/>
        <v>财务合同编号</v>
      </c>
      <c r="D211" s="139"/>
      <c r="E211" s="139"/>
      <c r="F211" s="139"/>
      <c r="G211" s="139"/>
      <c r="H211" s="139"/>
      <c r="I211" s="139"/>
      <c r="J211" s="139"/>
      <c r="K211" s="140"/>
      <c r="L211" s="36" t="s">
        <v>433</v>
      </c>
      <c r="M211" s="139"/>
      <c r="N211" s="139"/>
      <c r="O211" s="139"/>
      <c r="P211" s="139"/>
      <c r="Q211" s="139"/>
      <c r="R211" s="139"/>
      <c r="S211" s="139"/>
      <c r="T211" s="139"/>
      <c r="U211" s="683"/>
      <c r="V211" s="682"/>
      <c r="W211" s="684"/>
      <c r="X211" s="685"/>
      <c r="Y211" s="273" t="s">
        <v>16</v>
      </c>
      <c r="Z211" s="126"/>
      <c r="AA211" s="126"/>
      <c r="AB211" s="126"/>
      <c r="AC211" s="127"/>
      <c r="AD211" s="274">
        <v>128</v>
      </c>
      <c r="AE211" s="134"/>
      <c r="AF211" s="274">
        <v>0</v>
      </c>
      <c r="AG211" s="134"/>
      <c r="AH211" s="138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40"/>
      <c r="BB211" s="139"/>
      <c r="BC211" s="139"/>
      <c r="BD211" s="139"/>
      <c r="BE211" s="139"/>
      <c r="BF211" s="139"/>
      <c r="BG211" s="43"/>
      <c r="BK211" s="50" t="s">
        <v>1157</v>
      </c>
      <c r="BL211" s="52" t="s">
        <v>1158</v>
      </c>
    </row>
    <row r="212" spans="1:64">
      <c r="A212" s="681">
        <v>205</v>
      </c>
      <c r="B212" s="682"/>
      <c r="C212" s="59" t="str">
        <f t="shared" si="7"/>
        <v>往来单位名称</v>
      </c>
      <c r="D212" s="139"/>
      <c r="E212" s="139"/>
      <c r="F212" s="139"/>
      <c r="G212" s="139"/>
      <c r="H212" s="139"/>
      <c r="I212" s="139"/>
      <c r="J212" s="139"/>
      <c r="K212" s="140"/>
      <c r="L212" s="36" t="s">
        <v>182</v>
      </c>
      <c r="M212" s="139"/>
      <c r="N212" s="139"/>
      <c r="O212" s="139"/>
      <c r="P212" s="139"/>
      <c r="Q212" s="139"/>
      <c r="R212" s="139"/>
      <c r="S212" s="139"/>
      <c r="T212" s="139"/>
      <c r="U212" s="683"/>
      <c r="V212" s="682"/>
      <c r="W212" s="684"/>
      <c r="X212" s="685"/>
      <c r="Y212" s="273" t="s">
        <v>16</v>
      </c>
      <c r="Z212" s="126"/>
      <c r="AA212" s="126"/>
      <c r="AB212" s="126"/>
      <c r="AC212" s="127"/>
      <c r="AD212" s="274">
        <v>128</v>
      </c>
      <c r="AE212" s="134"/>
      <c r="AF212" s="274">
        <v>0</v>
      </c>
      <c r="AG212" s="134"/>
      <c r="AH212" s="138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40"/>
      <c r="BB212" s="139"/>
      <c r="BC212" s="139"/>
      <c r="BD212" s="139"/>
      <c r="BE212" s="139"/>
      <c r="BF212" s="139"/>
      <c r="BG212" s="43"/>
      <c r="BK212" s="50" t="s">
        <v>1159</v>
      </c>
      <c r="BL212" s="52" t="s">
        <v>1160</v>
      </c>
    </row>
    <row r="213" spans="1:64">
      <c r="A213" s="681">
        <v>206</v>
      </c>
      <c r="B213" s="682"/>
      <c r="C213" s="59" t="str">
        <f t="shared" si="7"/>
        <v>项目内码</v>
      </c>
      <c r="D213" s="142"/>
      <c r="E213" s="142"/>
      <c r="F213" s="142"/>
      <c r="G213" s="142"/>
      <c r="H213" s="142"/>
      <c r="I213" s="142"/>
      <c r="J213" s="142"/>
      <c r="K213" s="143"/>
      <c r="L213" s="1" t="s">
        <v>434</v>
      </c>
      <c r="M213" s="142"/>
      <c r="N213" s="142"/>
      <c r="O213" s="142"/>
      <c r="P213" s="142"/>
      <c r="Q213" s="142"/>
      <c r="R213" s="142"/>
      <c r="S213" s="142"/>
      <c r="T213" s="142"/>
      <c r="U213" s="692"/>
      <c r="V213" s="693"/>
      <c r="W213" s="694"/>
      <c r="X213" s="695"/>
      <c r="Y213" s="275" t="s">
        <v>16</v>
      </c>
      <c r="Z213" s="131"/>
      <c r="AA213" s="131"/>
      <c r="AB213" s="131"/>
      <c r="AC213" s="132"/>
      <c r="AD213" s="274">
        <v>200</v>
      </c>
      <c r="AE213" s="134"/>
      <c r="AF213" s="274">
        <v>0</v>
      </c>
      <c r="AG213" s="134"/>
      <c r="AH213" s="141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40"/>
      <c r="BB213" s="48"/>
      <c r="BC213" s="48"/>
      <c r="BD213" s="48"/>
      <c r="BE213" s="48"/>
      <c r="BF213" s="48"/>
      <c r="BG213" s="49"/>
      <c r="BK213" s="50" t="s">
        <v>1161</v>
      </c>
      <c r="BL213" s="52" t="s">
        <v>1162</v>
      </c>
    </row>
    <row r="214" spans="1:64">
      <c r="A214" s="681">
        <v>207</v>
      </c>
      <c r="B214" s="682"/>
      <c r="C214" s="59" t="str">
        <f t="shared" si="7"/>
        <v>项目编号</v>
      </c>
      <c r="D214" s="142"/>
      <c r="E214" s="142"/>
      <c r="F214" s="142"/>
      <c r="G214" s="142"/>
      <c r="H214" s="142"/>
      <c r="I214" s="142"/>
      <c r="J214" s="142"/>
      <c r="K214" s="143"/>
      <c r="L214" s="1" t="s">
        <v>435</v>
      </c>
      <c r="M214" s="142"/>
      <c r="N214" s="142"/>
      <c r="O214" s="142"/>
      <c r="P214" s="142"/>
      <c r="Q214" s="142"/>
      <c r="R214" s="142"/>
      <c r="S214" s="142"/>
      <c r="T214" s="142"/>
      <c r="U214" s="692"/>
      <c r="V214" s="693"/>
      <c r="W214" s="694"/>
      <c r="X214" s="695"/>
      <c r="Y214" s="275" t="s">
        <v>16</v>
      </c>
      <c r="Z214" s="131"/>
      <c r="AA214" s="131"/>
      <c r="AB214" s="131"/>
      <c r="AC214" s="132"/>
      <c r="AD214" s="274">
        <v>200</v>
      </c>
      <c r="AE214" s="134"/>
      <c r="AF214" s="274">
        <v>0</v>
      </c>
      <c r="AG214" s="134"/>
      <c r="AH214" s="141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40"/>
      <c r="BB214" s="139"/>
      <c r="BC214" s="139"/>
      <c r="BD214" s="139"/>
      <c r="BE214" s="139"/>
      <c r="BF214" s="139"/>
      <c r="BG214" s="43"/>
      <c r="BK214" s="50" t="s">
        <v>1163</v>
      </c>
      <c r="BL214" s="52" t="s">
        <v>1164</v>
      </c>
    </row>
    <row r="215" spans="1:64">
      <c r="A215" s="681">
        <v>208</v>
      </c>
      <c r="B215" s="682"/>
      <c r="C215" s="59" t="str">
        <f t="shared" si="7"/>
        <v>项目名称</v>
      </c>
      <c r="D215" s="142"/>
      <c r="E215" s="142"/>
      <c r="F215" s="142"/>
      <c r="G215" s="142"/>
      <c r="H215" s="142"/>
      <c r="I215" s="142"/>
      <c r="J215" s="142"/>
      <c r="K215" s="143"/>
      <c r="L215" s="1" t="s">
        <v>436</v>
      </c>
      <c r="M215" s="142"/>
      <c r="N215" s="142"/>
      <c r="O215" s="142"/>
      <c r="P215" s="142"/>
      <c r="Q215" s="142"/>
      <c r="R215" s="142"/>
      <c r="S215" s="142"/>
      <c r="T215" s="142"/>
      <c r="U215" s="692"/>
      <c r="V215" s="693"/>
      <c r="W215" s="694"/>
      <c r="X215" s="695"/>
      <c r="Y215" s="275" t="s">
        <v>16</v>
      </c>
      <c r="Z215" s="131"/>
      <c r="AA215" s="131"/>
      <c r="AB215" s="131"/>
      <c r="AC215" s="132"/>
      <c r="AD215" s="274">
        <v>200</v>
      </c>
      <c r="AE215" s="134"/>
      <c r="AF215" s="274">
        <v>0</v>
      </c>
      <c r="AG215" s="134"/>
      <c r="AH215" s="141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40"/>
      <c r="BB215" s="139"/>
      <c r="BC215" s="139"/>
      <c r="BD215" s="139"/>
      <c r="BE215" s="139"/>
      <c r="BF215" s="139"/>
      <c r="BG215" s="43"/>
      <c r="BK215" s="50" t="s">
        <v>1165</v>
      </c>
      <c r="BL215" s="52" t="s">
        <v>1129</v>
      </c>
    </row>
    <row r="216" spans="1:64">
      <c r="A216" s="681">
        <v>209</v>
      </c>
      <c r="B216" s="682"/>
      <c r="C216" s="59" t="str">
        <f t="shared" si="7"/>
        <v>财务合同名称</v>
      </c>
      <c r="D216" s="142"/>
      <c r="E216" s="142"/>
      <c r="F216" s="142"/>
      <c r="G216" s="142"/>
      <c r="H216" s="142"/>
      <c r="I216" s="142"/>
      <c r="J216" s="142"/>
      <c r="K216" s="143"/>
      <c r="L216" s="1" t="s">
        <v>437</v>
      </c>
      <c r="M216" s="142"/>
      <c r="N216" s="142"/>
      <c r="O216" s="142"/>
      <c r="P216" s="142"/>
      <c r="Q216" s="142"/>
      <c r="R216" s="142"/>
      <c r="S216" s="142"/>
      <c r="T216" s="142"/>
      <c r="U216" s="692"/>
      <c r="V216" s="693"/>
      <c r="W216" s="694"/>
      <c r="X216" s="695"/>
      <c r="Y216" s="275" t="s">
        <v>16</v>
      </c>
      <c r="Z216" s="131"/>
      <c r="AA216" s="131"/>
      <c r="AB216" s="131"/>
      <c r="AC216" s="132"/>
      <c r="AD216" s="274">
        <v>256</v>
      </c>
      <c r="AE216" s="134"/>
      <c r="AF216" s="274">
        <v>0</v>
      </c>
      <c r="AG216" s="134"/>
      <c r="AH216" s="141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40"/>
      <c r="BB216" s="139"/>
      <c r="BC216" s="139"/>
      <c r="BD216" s="139"/>
      <c r="BE216" s="139"/>
      <c r="BF216" s="139"/>
      <c r="BG216" s="43"/>
      <c r="BK216" s="50" t="s">
        <v>1197</v>
      </c>
      <c r="BL216" s="52" t="s">
        <v>1198</v>
      </c>
    </row>
    <row r="217" spans="1:64">
      <c r="A217" s="681">
        <v>210</v>
      </c>
      <c r="B217" s="682"/>
      <c r="C217" s="59" t="str">
        <f t="shared" si="7"/>
        <v>是否关联</v>
      </c>
      <c r="D217" s="142"/>
      <c r="E217" s="142"/>
      <c r="F217" s="142"/>
      <c r="G217" s="142"/>
      <c r="H217" s="142"/>
      <c r="I217" s="142"/>
      <c r="J217" s="142"/>
      <c r="K217" s="143"/>
      <c r="L217" s="1" t="s">
        <v>438</v>
      </c>
      <c r="M217" s="142"/>
      <c r="N217" s="142"/>
      <c r="O217" s="142"/>
      <c r="P217" s="142"/>
      <c r="Q217" s="142"/>
      <c r="R217" s="142"/>
      <c r="S217" s="142"/>
      <c r="T217" s="142"/>
      <c r="U217" s="692"/>
      <c r="V217" s="693"/>
      <c r="W217" s="694"/>
      <c r="X217" s="695"/>
      <c r="Y217" s="275" t="s">
        <v>16</v>
      </c>
      <c r="Z217" s="131"/>
      <c r="AA217" s="131"/>
      <c r="AB217" s="131"/>
      <c r="AC217" s="132"/>
      <c r="AD217" s="274">
        <v>16</v>
      </c>
      <c r="AE217" s="134"/>
      <c r="AF217" s="274">
        <v>0</v>
      </c>
      <c r="AG217" s="134"/>
      <c r="AH217" s="141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40"/>
      <c r="BB217" s="139"/>
      <c r="BC217" s="139"/>
      <c r="BD217" s="139"/>
      <c r="BE217" s="139"/>
      <c r="BF217" s="139"/>
      <c r="BG217" s="43"/>
      <c r="BK217" s="50" t="s">
        <v>1166</v>
      </c>
      <c r="BL217" s="52" t="s">
        <v>1199</v>
      </c>
    </row>
    <row r="218" spans="1:64">
      <c r="A218" s="681">
        <v>211</v>
      </c>
      <c r="B218" s="682"/>
      <c r="C218" s="59" t="str">
        <f t="shared" si="7"/>
        <v>合同码ID</v>
      </c>
      <c r="D218" s="142"/>
      <c r="E218" s="142"/>
      <c r="F218" s="142"/>
      <c r="G218" s="142"/>
      <c r="H218" s="142"/>
      <c r="I218" s="142"/>
      <c r="J218" s="142"/>
      <c r="K218" s="143"/>
      <c r="L218" s="1" t="s">
        <v>439</v>
      </c>
      <c r="M218" s="142"/>
      <c r="N218" s="142"/>
      <c r="O218" s="142"/>
      <c r="P218" s="142"/>
      <c r="Q218" s="142"/>
      <c r="R218" s="142"/>
      <c r="S218" s="142"/>
      <c r="T218" s="142"/>
      <c r="U218" s="692"/>
      <c r="V218" s="693"/>
      <c r="W218" s="694"/>
      <c r="X218" s="695"/>
      <c r="Y218" s="275" t="s">
        <v>16</v>
      </c>
      <c r="Z218" s="131"/>
      <c r="AA218" s="131"/>
      <c r="AB218" s="131"/>
      <c r="AC218" s="132"/>
      <c r="AD218" s="274">
        <v>100</v>
      </c>
      <c r="AE218" s="134"/>
      <c r="AF218" s="274">
        <v>0</v>
      </c>
      <c r="AG218" s="134"/>
      <c r="AH218" s="141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40"/>
      <c r="BB218" s="139"/>
      <c r="BC218" s="139"/>
      <c r="BD218" s="139"/>
      <c r="BE218" s="139"/>
      <c r="BF218" s="139"/>
      <c r="BG218" s="43"/>
      <c r="BK218" s="50" t="s">
        <v>1200</v>
      </c>
      <c r="BL218" s="52" t="s">
        <v>1201</v>
      </c>
    </row>
    <row r="219" spans="1:64">
      <c r="A219" s="681">
        <v>212</v>
      </c>
      <c r="B219" s="682"/>
      <c r="C219" s="59" t="str">
        <f t="shared" si="7"/>
        <v>所属项目</v>
      </c>
      <c r="D219" s="139"/>
      <c r="E219" s="139"/>
      <c r="F219" s="139"/>
      <c r="G219" s="139"/>
      <c r="H219" s="139"/>
      <c r="I219" s="139"/>
      <c r="J219" s="139"/>
      <c r="K219" s="140"/>
      <c r="L219" s="36" t="s">
        <v>27</v>
      </c>
      <c r="M219" s="139"/>
      <c r="N219" s="139"/>
      <c r="O219" s="139"/>
      <c r="P219" s="139"/>
      <c r="Q219" s="139"/>
      <c r="R219" s="139"/>
      <c r="S219" s="139"/>
      <c r="T219" s="139"/>
      <c r="U219" s="683"/>
      <c r="V219" s="682"/>
      <c r="W219" s="684"/>
      <c r="X219" s="685"/>
      <c r="Y219" s="273" t="s">
        <v>16</v>
      </c>
      <c r="Z219" s="126"/>
      <c r="AA219" s="126"/>
      <c r="AB219" s="126"/>
      <c r="AC219" s="127"/>
      <c r="AD219" s="274">
        <v>256</v>
      </c>
      <c r="AE219" s="134"/>
      <c r="AF219" s="274">
        <v>0</v>
      </c>
      <c r="AG219" s="134"/>
      <c r="AH219" s="138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40"/>
      <c r="BB219" s="139"/>
      <c r="BC219" s="139"/>
      <c r="BD219" s="139"/>
      <c r="BE219" s="139"/>
      <c r="BF219" s="139"/>
      <c r="BG219" s="43"/>
      <c r="BK219" s="50" t="s">
        <v>1167</v>
      </c>
      <c r="BL219" s="52" t="s">
        <v>1202</v>
      </c>
    </row>
    <row r="220" spans="1:64">
      <c r="A220" s="681">
        <v>213</v>
      </c>
      <c r="B220" s="682"/>
      <c r="C220" s="457" t="str">
        <f t="shared" si="7"/>
        <v>甲方</v>
      </c>
      <c r="D220" s="460"/>
      <c r="E220" s="460"/>
      <c r="F220" s="460"/>
      <c r="G220" s="460"/>
      <c r="H220" s="460"/>
      <c r="I220" s="460"/>
      <c r="J220" s="460"/>
      <c r="K220" s="461"/>
      <c r="L220" s="36" t="s">
        <v>440</v>
      </c>
      <c r="M220" s="139"/>
      <c r="N220" s="139"/>
      <c r="O220" s="139"/>
      <c r="P220" s="139"/>
      <c r="Q220" s="139"/>
      <c r="R220" s="139"/>
      <c r="S220" s="139"/>
      <c r="T220" s="139"/>
      <c r="U220" s="683"/>
      <c r="V220" s="682"/>
      <c r="W220" s="684"/>
      <c r="X220" s="685"/>
      <c r="Y220" s="273" t="s">
        <v>16</v>
      </c>
      <c r="Z220" s="126"/>
      <c r="AA220" s="126"/>
      <c r="AB220" s="126"/>
      <c r="AC220" s="127"/>
      <c r="AD220" s="274">
        <v>256</v>
      </c>
      <c r="AE220" s="134"/>
      <c r="AF220" s="274">
        <v>0</v>
      </c>
      <c r="AG220" s="134"/>
      <c r="AH220" s="138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40"/>
      <c r="BB220" s="139"/>
      <c r="BC220" s="139"/>
      <c r="BD220" s="139"/>
      <c r="BE220" s="139"/>
      <c r="BF220" s="139"/>
      <c r="BG220" s="43"/>
      <c r="BK220" s="50" t="s">
        <v>1203</v>
      </c>
      <c r="BL220" s="52" t="s">
        <v>1204</v>
      </c>
    </row>
    <row r="221" spans="1:64">
      <c r="A221" s="681">
        <v>214</v>
      </c>
      <c r="B221" s="682"/>
      <c r="C221" s="457" t="str">
        <f t="shared" si="7"/>
        <v>合同乙方</v>
      </c>
      <c r="D221" s="460"/>
      <c r="E221" s="460"/>
      <c r="F221" s="460"/>
      <c r="G221" s="460"/>
      <c r="H221" s="460"/>
      <c r="I221" s="460"/>
      <c r="J221" s="460"/>
      <c r="K221" s="461"/>
      <c r="L221" s="36" t="s">
        <v>441</v>
      </c>
      <c r="M221" s="139"/>
      <c r="N221" s="139"/>
      <c r="O221" s="139"/>
      <c r="P221" s="139"/>
      <c r="Q221" s="139"/>
      <c r="R221" s="139"/>
      <c r="S221" s="139"/>
      <c r="T221" s="139"/>
      <c r="U221" s="683"/>
      <c r="V221" s="682"/>
      <c r="W221" s="684"/>
      <c r="X221" s="685"/>
      <c r="Y221" s="273" t="s">
        <v>16</v>
      </c>
      <c r="Z221" s="126"/>
      <c r="AA221" s="126"/>
      <c r="AB221" s="126"/>
      <c r="AC221" s="127"/>
      <c r="AD221" s="274">
        <v>256</v>
      </c>
      <c r="AE221" s="134"/>
      <c r="AF221" s="274">
        <v>0</v>
      </c>
      <c r="AG221" s="134"/>
      <c r="AH221" s="138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40"/>
      <c r="BB221" s="139"/>
      <c r="BC221" s="139"/>
      <c r="BD221" s="139"/>
      <c r="BE221" s="139"/>
      <c r="BF221" s="139"/>
      <c r="BG221" s="43"/>
      <c r="BK221" s="50" t="s">
        <v>1205</v>
      </c>
      <c r="BL221" s="52" t="s">
        <v>1206</v>
      </c>
    </row>
    <row r="222" spans="1:64">
      <c r="A222" s="681">
        <v>215</v>
      </c>
      <c r="B222" s="682"/>
      <c r="C222" s="59" t="str">
        <f>VLOOKUP(L222,$BK$7:$BL$276,2,FALSE)</f>
        <v>统一社会信用代码</v>
      </c>
      <c r="D222" s="331"/>
      <c r="E222" s="331"/>
      <c r="F222" s="331"/>
      <c r="G222" s="331"/>
      <c r="H222" s="331"/>
      <c r="I222" s="331"/>
      <c r="J222" s="331"/>
      <c r="K222" s="332"/>
      <c r="L222" s="1" t="s">
        <v>1946</v>
      </c>
      <c r="M222" s="139"/>
      <c r="N222" s="139"/>
      <c r="O222" s="139"/>
      <c r="P222" s="139"/>
      <c r="Q222" s="139"/>
      <c r="R222" s="139"/>
      <c r="S222" s="139"/>
      <c r="T222" s="139"/>
      <c r="U222" s="683"/>
      <c r="V222" s="682"/>
      <c r="W222" s="684"/>
      <c r="X222" s="685"/>
      <c r="Y222" s="273" t="s">
        <v>16</v>
      </c>
      <c r="Z222" s="126"/>
      <c r="AA222" s="126"/>
      <c r="AB222" s="126"/>
      <c r="AC222" s="127"/>
      <c r="AD222" s="274">
        <v>128</v>
      </c>
      <c r="AE222" s="134"/>
      <c r="AF222" s="274">
        <v>0</v>
      </c>
      <c r="AG222" s="134"/>
      <c r="AH222" s="138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40"/>
      <c r="BB222" s="139"/>
      <c r="BC222" s="139"/>
      <c r="BD222" s="139"/>
      <c r="BE222" s="139"/>
      <c r="BF222" s="139"/>
      <c r="BG222" s="43"/>
      <c r="BK222" s="50" t="s">
        <v>1168</v>
      </c>
      <c r="BL222" s="52" t="s">
        <v>1207</v>
      </c>
    </row>
    <row r="223" spans="1:64">
      <c r="A223" s="681">
        <v>216</v>
      </c>
      <c r="B223" s="682"/>
      <c r="C223" s="669" t="str">
        <f t="shared" si="7"/>
        <v>所属处部</v>
      </c>
      <c r="D223" s="674"/>
      <c r="E223" s="674"/>
      <c r="F223" s="674"/>
      <c r="G223" s="674"/>
      <c r="H223" s="670"/>
      <c r="I223" s="670"/>
      <c r="J223" s="670"/>
      <c r="K223" s="671"/>
      <c r="L223" s="36" t="s">
        <v>442</v>
      </c>
      <c r="M223" s="139"/>
      <c r="N223" s="139"/>
      <c r="O223" s="139"/>
      <c r="P223" s="139"/>
      <c r="Q223" s="139"/>
      <c r="R223" s="139"/>
      <c r="S223" s="139"/>
      <c r="T223" s="139"/>
      <c r="U223" s="683"/>
      <c r="V223" s="682"/>
      <c r="W223" s="684"/>
      <c r="X223" s="685"/>
      <c r="Y223" s="273" t="s">
        <v>16</v>
      </c>
      <c r="Z223" s="126"/>
      <c r="AA223" s="126"/>
      <c r="AB223" s="126"/>
      <c r="AC223" s="127"/>
      <c r="AD223" s="274">
        <v>256</v>
      </c>
      <c r="AE223" s="134"/>
      <c r="AF223" s="274">
        <v>0</v>
      </c>
      <c r="AG223" s="134"/>
      <c r="AH223" s="138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40"/>
      <c r="BB223" s="139"/>
      <c r="BC223" s="139"/>
      <c r="BD223" s="139"/>
      <c r="BE223" s="139"/>
      <c r="BF223" s="139"/>
      <c r="BG223" s="43"/>
      <c r="BK223" s="50" t="s">
        <v>1208</v>
      </c>
      <c r="BL223" s="52" t="s">
        <v>1209</v>
      </c>
    </row>
    <row r="224" spans="1:64">
      <c r="A224" s="681">
        <v>217</v>
      </c>
      <c r="B224" s="682"/>
      <c r="C224" s="669" t="str">
        <f t="shared" si="7"/>
        <v>区域(北京市,广东省..)</v>
      </c>
      <c r="D224" s="674"/>
      <c r="E224" s="674"/>
      <c r="F224" s="674"/>
      <c r="G224" s="674"/>
      <c r="H224" s="670"/>
      <c r="I224" s="670"/>
      <c r="J224" s="670"/>
      <c r="K224" s="671"/>
      <c r="L224" s="36" t="s">
        <v>443</v>
      </c>
      <c r="M224" s="139"/>
      <c r="N224" s="139"/>
      <c r="O224" s="139"/>
      <c r="P224" s="139"/>
      <c r="Q224" s="139"/>
      <c r="R224" s="139"/>
      <c r="S224" s="139"/>
      <c r="T224" s="139"/>
      <c r="U224" s="683"/>
      <c r="V224" s="682"/>
      <c r="W224" s="684"/>
      <c r="X224" s="685"/>
      <c r="Y224" s="273" t="s">
        <v>16</v>
      </c>
      <c r="Z224" s="126"/>
      <c r="AA224" s="126"/>
      <c r="AB224" s="126"/>
      <c r="AC224" s="127"/>
      <c r="AD224" s="274">
        <v>256</v>
      </c>
      <c r="AE224" s="134"/>
      <c r="AF224" s="274">
        <v>0</v>
      </c>
      <c r="AG224" s="134"/>
      <c r="AH224" s="138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40"/>
      <c r="BB224" s="139"/>
      <c r="BC224" s="139"/>
      <c r="BD224" s="139"/>
      <c r="BE224" s="139"/>
      <c r="BF224" s="139"/>
      <c r="BG224" s="43"/>
      <c r="BK224" s="50" t="s">
        <v>1210</v>
      </c>
      <c r="BL224" s="52" t="s">
        <v>1211</v>
      </c>
    </row>
    <row r="225" spans="1:64">
      <c r="A225" s="681">
        <v>218</v>
      </c>
      <c r="B225" s="682"/>
      <c r="C225" s="669" t="str">
        <f t="shared" si="7"/>
        <v>国家</v>
      </c>
      <c r="D225" s="674"/>
      <c r="E225" s="674"/>
      <c r="F225" s="674"/>
      <c r="G225" s="674"/>
      <c r="H225" s="670"/>
      <c r="I225" s="670"/>
      <c r="J225" s="670"/>
      <c r="K225" s="671"/>
      <c r="L225" s="36" t="s">
        <v>444</v>
      </c>
      <c r="M225" s="139"/>
      <c r="N225" s="139"/>
      <c r="O225" s="139"/>
      <c r="P225" s="139"/>
      <c r="Q225" s="139"/>
      <c r="R225" s="139"/>
      <c r="S225" s="139"/>
      <c r="T225" s="139"/>
      <c r="U225" s="683"/>
      <c r="V225" s="682"/>
      <c r="W225" s="684"/>
      <c r="X225" s="685"/>
      <c r="Y225" s="273" t="s">
        <v>16</v>
      </c>
      <c r="Z225" s="126"/>
      <c r="AA225" s="126"/>
      <c r="AB225" s="126"/>
      <c r="AC225" s="127"/>
      <c r="AD225" s="274">
        <v>64</v>
      </c>
      <c r="AE225" s="134"/>
      <c r="AF225" s="274">
        <v>0</v>
      </c>
      <c r="AG225" s="134"/>
      <c r="AH225" s="138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40"/>
      <c r="BB225" s="139"/>
      <c r="BC225" s="139"/>
      <c r="BD225" s="139"/>
      <c r="BE225" s="139"/>
      <c r="BF225" s="139"/>
      <c r="BG225" s="43"/>
      <c r="BK225" s="50" t="s">
        <v>1212</v>
      </c>
      <c r="BL225" s="52" t="s">
        <v>1213</v>
      </c>
    </row>
    <row r="226" spans="1:64">
      <c r="A226" s="681">
        <v>219</v>
      </c>
      <c r="B226" s="682"/>
      <c r="C226" s="669" t="str">
        <f t="shared" si="7"/>
        <v>类型(公路,铁路,市政,其他)</v>
      </c>
      <c r="D226" s="674"/>
      <c r="E226" s="674"/>
      <c r="F226" s="674"/>
      <c r="G226" s="674"/>
      <c r="H226" s="670"/>
      <c r="I226" s="670"/>
      <c r="J226" s="670"/>
      <c r="K226" s="671"/>
      <c r="L226" s="36" t="s">
        <v>445</v>
      </c>
      <c r="M226" s="139"/>
      <c r="N226" s="139"/>
      <c r="O226" s="139"/>
      <c r="P226" s="139"/>
      <c r="Q226" s="139"/>
      <c r="R226" s="139"/>
      <c r="S226" s="139"/>
      <c r="T226" s="139"/>
      <c r="U226" s="683"/>
      <c r="V226" s="682"/>
      <c r="W226" s="684"/>
      <c r="X226" s="685"/>
      <c r="Y226" s="273" t="s">
        <v>16</v>
      </c>
      <c r="Z226" s="126"/>
      <c r="AA226" s="126"/>
      <c r="AB226" s="126"/>
      <c r="AC226" s="127"/>
      <c r="AD226" s="274">
        <v>32</v>
      </c>
      <c r="AE226" s="134"/>
      <c r="AF226" s="274">
        <v>0</v>
      </c>
      <c r="AG226" s="134"/>
      <c r="AH226" s="138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40"/>
      <c r="BB226" s="139"/>
      <c r="BC226" s="139"/>
      <c r="BD226" s="139"/>
      <c r="BE226" s="139"/>
      <c r="BF226" s="139"/>
      <c r="BG226" s="43"/>
      <c r="BK226" s="50" t="s">
        <v>1169</v>
      </c>
      <c r="BL226" s="52" t="s">
        <v>1170</v>
      </c>
    </row>
    <row r="227" spans="1:64">
      <c r="A227" s="681">
        <v>220</v>
      </c>
      <c r="B227" s="682"/>
      <c r="C227" s="669" t="str">
        <f t="shared" si="7"/>
        <v>项目特征</v>
      </c>
      <c r="D227" s="674"/>
      <c r="E227" s="674"/>
      <c r="F227" s="674"/>
      <c r="G227" s="674"/>
      <c r="H227" s="670"/>
      <c r="I227" s="670"/>
      <c r="J227" s="670"/>
      <c r="K227" s="671"/>
      <c r="L227" s="36" t="s">
        <v>446</v>
      </c>
      <c r="M227" s="139"/>
      <c r="N227" s="139"/>
      <c r="O227" s="139"/>
      <c r="P227" s="139"/>
      <c r="Q227" s="139"/>
      <c r="R227" s="139"/>
      <c r="S227" s="139"/>
      <c r="T227" s="139"/>
      <c r="U227" s="683"/>
      <c r="V227" s="682"/>
      <c r="W227" s="684"/>
      <c r="X227" s="685"/>
      <c r="Y227" s="273" t="s">
        <v>16</v>
      </c>
      <c r="Z227" s="126"/>
      <c r="AA227" s="126"/>
      <c r="AB227" s="126"/>
      <c r="AC227" s="127"/>
      <c r="AD227" s="274">
        <v>256</v>
      </c>
      <c r="AE227" s="134"/>
      <c r="AF227" s="274">
        <v>0</v>
      </c>
      <c r="AG227" s="134"/>
      <c r="AH227" s="138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40"/>
      <c r="BB227" s="139"/>
      <c r="BC227" s="139"/>
      <c r="BD227" s="139"/>
      <c r="BE227" s="139"/>
      <c r="BF227" s="139"/>
      <c r="BG227" s="43"/>
      <c r="BK227" s="50" t="s">
        <v>1171</v>
      </c>
      <c r="BL227" s="52" t="s">
        <v>1073</v>
      </c>
    </row>
    <row r="228" spans="1:64">
      <c r="A228" s="681">
        <v>221</v>
      </c>
      <c r="B228" s="682"/>
      <c r="C228" s="669" t="str">
        <f t="shared" si="7"/>
        <v>承包合同中清单是否审核</v>
      </c>
      <c r="D228" s="674"/>
      <c r="E228" s="674"/>
      <c r="F228" s="674"/>
      <c r="G228" s="674"/>
      <c r="H228" s="674"/>
      <c r="I228" s="674"/>
      <c r="J228" s="674"/>
      <c r="K228" s="675"/>
      <c r="L228" s="36" t="s">
        <v>447</v>
      </c>
      <c r="M228" s="139"/>
      <c r="N228" s="139"/>
      <c r="O228" s="139"/>
      <c r="P228" s="139"/>
      <c r="Q228" s="139"/>
      <c r="R228" s="139"/>
      <c r="S228" s="139"/>
      <c r="T228" s="139"/>
      <c r="U228" s="683"/>
      <c r="V228" s="682"/>
      <c r="W228" s="684"/>
      <c r="X228" s="685"/>
      <c r="Y228" s="273" t="s">
        <v>16</v>
      </c>
      <c r="Z228" s="126"/>
      <c r="AA228" s="126"/>
      <c r="AB228" s="126"/>
      <c r="AC228" s="127"/>
      <c r="AD228" s="274">
        <v>16</v>
      </c>
      <c r="AE228" s="134"/>
      <c r="AF228" s="274">
        <v>0</v>
      </c>
      <c r="AG228" s="134"/>
      <c r="AH228" s="138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40"/>
      <c r="BB228" s="139"/>
      <c r="BC228" s="139"/>
      <c r="BD228" s="139"/>
      <c r="BE228" s="139"/>
      <c r="BF228" s="139"/>
      <c r="BG228" s="43"/>
      <c r="BK228" s="50" t="s">
        <v>1172</v>
      </c>
      <c r="BL228" s="52" t="s">
        <v>1173</v>
      </c>
    </row>
    <row r="229" spans="1:64">
      <c r="A229" s="681">
        <v>222</v>
      </c>
      <c r="B229" s="682"/>
      <c r="C229" s="669" t="str">
        <f t="shared" si="7"/>
        <v>清单是否审核</v>
      </c>
      <c r="D229" s="670"/>
      <c r="E229" s="670"/>
      <c r="F229" s="670"/>
      <c r="G229" s="670"/>
      <c r="H229" s="670"/>
      <c r="I229" s="670"/>
      <c r="J229" s="670"/>
      <c r="K229" s="671"/>
      <c r="L229" s="36" t="s">
        <v>448</v>
      </c>
      <c r="M229" s="139"/>
      <c r="N229" s="139"/>
      <c r="O229" s="139"/>
      <c r="P229" s="139"/>
      <c r="Q229" s="139"/>
      <c r="R229" s="139"/>
      <c r="S229" s="139"/>
      <c r="T229" s="139"/>
      <c r="U229" s="683"/>
      <c r="V229" s="682"/>
      <c r="W229" s="684"/>
      <c r="X229" s="685"/>
      <c r="Y229" s="273" t="s">
        <v>16</v>
      </c>
      <c r="Z229" s="126"/>
      <c r="AA229" s="126"/>
      <c r="AB229" s="126"/>
      <c r="AC229" s="127"/>
      <c r="AD229" s="274">
        <v>16</v>
      </c>
      <c r="AE229" s="134"/>
      <c r="AF229" s="274">
        <v>0</v>
      </c>
      <c r="AG229" s="134"/>
      <c r="AH229" s="138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40"/>
      <c r="BB229" s="139"/>
      <c r="BC229" s="139"/>
      <c r="BD229" s="139"/>
      <c r="BE229" s="139"/>
      <c r="BF229" s="139"/>
      <c r="BG229" s="43"/>
      <c r="BK229" s="50" t="s">
        <v>1174</v>
      </c>
      <c r="BL229" s="52" t="s">
        <v>1175</v>
      </c>
    </row>
    <row r="230" spans="1:64">
      <c r="A230" s="681">
        <v>223</v>
      </c>
      <c r="B230" s="682"/>
      <c r="C230" s="669" t="str">
        <f t="shared" si="7"/>
        <v>物资变更是否有审核单据</v>
      </c>
      <c r="D230" s="670"/>
      <c r="E230" s="670"/>
      <c r="F230" s="670"/>
      <c r="G230" s="670"/>
      <c r="H230" s="670"/>
      <c r="I230" s="670"/>
      <c r="J230" s="670"/>
      <c r="K230" s="671"/>
      <c r="L230" s="36" t="s">
        <v>449</v>
      </c>
      <c r="M230" s="139"/>
      <c r="N230" s="139"/>
      <c r="O230" s="139"/>
      <c r="P230" s="139"/>
      <c r="Q230" s="139"/>
      <c r="R230" s="139"/>
      <c r="S230" s="139"/>
      <c r="T230" s="139"/>
      <c r="U230" s="683"/>
      <c r="V230" s="682"/>
      <c r="W230" s="684"/>
      <c r="X230" s="685"/>
      <c r="Y230" s="273" t="s">
        <v>303</v>
      </c>
      <c r="Z230" s="126"/>
      <c r="AA230" s="126"/>
      <c r="AB230" s="126"/>
      <c r="AC230" s="127"/>
      <c r="AD230" s="274">
        <v>0</v>
      </c>
      <c r="AE230" s="134"/>
      <c r="AF230" s="274">
        <v>0</v>
      </c>
      <c r="AG230" s="134"/>
      <c r="AH230" s="138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40"/>
      <c r="BB230" s="139"/>
      <c r="BC230" s="139"/>
      <c r="BD230" s="139"/>
      <c r="BE230" s="139"/>
      <c r="BF230" s="139"/>
      <c r="BG230" s="43"/>
      <c r="BK230" s="50" t="s">
        <v>1176</v>
      </c>
      <c r="BL230" s="52" t="s">
        <v>1177</v>
      </c>
    </row>
    <row r="231" spans="1:64">
      <c r="A231" s="681">
        <v>224</v>
      </c>
      <c r="B231" s="682"/>
      <c r="C231" s="59" t="str">
        <f t="shared" si="7"/>
        <v>用于判断编号是否已被引用</v>
      </c>
      <c r="D231" s="139"/>
      <c r="E231" s="139"/>
      <c r="F231" s="139"/>
      <c r="G231" s="139"/>
      <c r="H231" s="139"/>
      <c r="I231" s="139"/>
      <c r="J231" s="139"/>
      <c r="K231" s="140"/>
      <c r="L231" s="36" t="s">
        <v>450</v>
      </c>
      <c r="M231" s="139"/>
      <c r="N231" s="139"/>
      <c r="O231" s="139"/>
      <c r="P231" s="139"/>
      <c r="Q231" s="139"/>
      <c r="R231" s="139"/>
      <c r="S231" s="139"/>
      <c r="T231" s="139"/>
      <c r="U231" s="683"/>
      <c r="V231" s="682"/>
      <c r="W231" s="684"/>
      <c r="X231" s="685"/>
      <c r="Y231" s="273" t="s">
        <v>303</v>
      </c>
      <c r="Z231" s="126"/>
      <c r="AA231" s="126"/>
      <c r="AB231" s="126"/>
      <c r="AC231" s="127"/>
      <c r="AD231" s="274">
        <v>0</v>
      </c>
      <c r="AE231" s="134"/>
      <c r="AF231" s="274">
        <v>0</v>
      </c>
      <c r="AG231" s="134"/>
      <c r="AH231" s="138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40"/>
      <c r="BB231" s="139"/>
      <c r="BC231" s="139"/>
      <c r="BD231" s="139"/>
      <c r="BE231" s="139"/>
      <c r="BF231" s="139"/>
      <c r="BG231" s="43"/>
      <c r="BK231" s="50" t="s">
        <v>1178</v>
      </c>
      <c r="BL231" s="52" t="s">
        <v>1214</v>
      </c>
    </row>
    <row r="232" spans="1:64">
      <c r="A232" s="681">
        <v>225</v>
      </c>
      <c r="B232" s="682"/>
      <c r="C232" s="59" t="str">
        <f t="shared" ref="C232:C242" si="8">VLOOKUP(L232,$BK$7:$BL$276,2,FALSE)</f>
        <v>原合同编号ID</v>
      </c>
      <c r="D232" s="331"/>
      <c r="E232" s="331"/>
      <c r="F232" s="331"/>
      <c r="G232" s="331"/>
      <c r="H232" s="331"/>
      <c r="I232" s="331"/>
      <c r="J232" s="331"/>
      <c r="K232" s="332"/>
      <c r="L232" s="1" t="s">
        <v>1408</v>
      </c>
      <c r="M232" s="142"/>
      <c r="N232" s="142"/>
      <c r="O232" s="142"/>
      <c r="P232" s="142"/>
      <c r="Q232" s="142"/>
      <c r="R232" s="142"/>
      <c r="S232" s="142"/>
      <c r="T232" s="142"/>
      <c r="U232" s="692"/>
      <c r="V232" s="693"/>
      <c r="W232" s="694"/>
      <c r="X232" s="695"/>
      <c r="Y232" s="275" t="s">
        <v>16</v>
      </c>
      <c r="Z232" s="131"/>
      <c r="AA232" s="131"/>
      <c r="AB232" s="131"/>
      <c r="AC232" s="132"/>
      <c r="AD232" s="274">
        <v>100</v>
      </c>
      <c r="AE232" s="134"/>
      <c r="AF232" s="274">
        <v>0</v>
      </c>
      <c r="AG232" s="134"/>
      <c r="AH232" s="141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40"/>
      <c r="BB232" s="48"/>
      <c r="BC232" s="48"/>
      <c r="BD232" s="48"/>
      <c r="BE232" s="48"/>
      <c r="BF232" s="48"/>
      <c r="BG232" s="49"/>
      <c r="BK232" s="50" t="s">
        <v>1179</v>
      </c>
      <c r="BL232" s="52" t="s">
        <v>1180</v>
      </c>
    </row>
    <row r="233" spans="1:64">
      <c r="A233" s="681">
        <v>226</v>
      </c>
      <c r="B233" s="682"/>
      <c r="C233" s="669" t="str">
        <f t="shared" si="8"/>
        <v>物资结算引用数</v>
      </c>
      <c r="D233" s="672"/>
      <c r="E233" s="672"/>
      <c r="F233" s="672"/>
      <c r="G233" s="672"/>
      <c r="H233" s="672"/>
      <c r="I233" s="672"/>
      <c r="J233" s="672"/>
      <c r="K233" s="673"/>
      <c r="L233" s="1" t="s">
        <v>451</v>
      </c>
      <c r="M233" s="142"/>
      <c r="N233" s="142"/>
      <c r="O233" s="142"/>
      <c r="P233" s="142"/>
      <c r="Q233" s="142"/>
      <c r="R233" s="142"/>
      <c r="S233" s="142"/>
      <c r="T233" s="142"/>
      <c r="U233" s="692"/>
      <c r="V233" s="693"/>
      <c r="W233" s="694"/>
      <c r="X233" s="695"/>
      <c r="Y233" s="275" t="s">
        <v>303</v>
      </c>
      <c r="Z233" s="131"/>
      <c r="AA233" s="131"/>
      <c r="AB233" s="131"/>
      <c r="AC233" s="132"/>
      <c r="AD233" s="274">
        <v>0</v>
      </c>
      <c r="AE233" s="134"/>
      <c r="AF233" s="274">
        <v>0</v>
      </c>
      <c r="AG233" s="134"/>
      <c r="AH233" s="141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40"/>
      <c r="BB233" s="139"/>
      <c r="BC233" s="139"/>
      <c r="BD233" s="139"/>
      <c r="BE233" s="139"/>
      <c r="BF233" s="139"/>
      <c r="BG233" s="43"/>
      <c r="BK233" s="50" t="s">
        <v>1181</v>
      </c>
      <c r="BL233" s="52" t="s">
        <v>1182</v>
      </c>
    </row>
    <row r="234" spans="1:64">
      <c r="A234" s="681">
        <v>227</v>
      </c>
      <c r="B234" s="682"/>
      <c r="C234" s="669" t="str">
        <f t="shared" si="8"/>
        <v>机械及其他结算引用</v>
      </c>
      <c r="D234" s="672"/>
      <c r="E234" s="672"/>
      <c r="F234" s="672"/>
      <c r="G234" s="672"/>
      <c r="H234" s="672"/>
      <c r="I234" s="672"/>
      <c r="J234" s="672"/>
      <c r="K234" s="673"/>
      <c r="L234" s="1" t="s">
        <v>452</v>
      </c>
      <c r="M234" s="142"/>
      <c r="N234" s="142"/>
      <c r="O234" s="142"/>
      <c r="P234" s="142"/>
      <c r="Q234" s="142"/>
      <c r="R234" s="142"/>
      <c r="S234" s="142"/>
      <c r="T234" s="142"/>
      <c r="U234" s="692"/>
      <c r="V234" s="693"/>
      <c r="W234" s="694"/>
      <c r="X234" s="695"/>
      <c r="Y234" s="275" t="s">
        <v>303</v>
      </c>
      <c r="Z234" s="131"/>
      <c r="AA234" s="131"/>
      <c r="AB234" s="131"/>
      <c r="AC234" s="132"/>
      <c r="AD234" s="274">
        <v>0</v>
      </c>
      <c r="AE234" s="134"/>
      <c r="AF234" s="274">
        <v>0</v>
      </c>
      <c r="AG234" s="134"/>
      <c r="AH234" s="141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40"/>
      <c r="BB234" s="139"/>
      <c r="BC234" s="139"/>
      <c r="BD234" s="139"/>
      <c r="BE234" s="139"/>
      <c r="BF234" s="139"/>
      <c r="BG234" s="43"/>
      <c r="BK234" s="50" t="s">
        <v>1183</v>
      </c>
      <c r="BL234" s="52" t="s">
        <v>1184</v>
      </c>
    </row>
    <row r="235" spans="1:64">
      <c r="A235" s="681">
        <v>228</v>
      </c>
      <c r="B235" s="682"/>
      <c r="C235" s="669" t="str">
        <f>VLOOKUP(L235,$BK$7:$BL$276,2,FALSE)</f>
        <v>资产公司结算引用，用于明细是否可以编辑处理</v>
      </c>
      <c r="D235" s="672"/>
      <c r="E235" s="672"/>
      <c r="F235" s="672"/>
      <c r="G235" s="672"/>
      <c r="H235" s="672"/>
      <c r="I235" s="672"/>
      <c r="J235" s="672"/>
      <c r="K235" s="673"/>
      <c r="L235" s="1" t="s">
        <v>453</v>
      </c>
      <c r="M235" s="142"/>
      <c r="N235" s="142"/>
      <c r="O235" s="142"/>
      <c r="P235" s="142"/>
      <c r="Q235" s="142"/>
      <c r="R235" s="142"/>
      <c r="S235" s="142"/>
      <c r="T235" s="142"/>
      <c r="U235" s="692"/>
      <c r="V235" s="693"/>
      <c r="W235" s="694"/>
      <c r="X235" s="695"/>
      <c r="Y235" s="275" t="s">
        <v>303</v>
      </c>
      <c r="Z235" s="131"/>
      <c r="AA235" s="131"/>
      <c r="AB235" s="131"/>
      <c r="AC235" s="132"/>
      <c r="AD235" s="274">
        <v>0</v>
      </c>
      <c r="AE235" s="134"/>
      <c r="AF235" s="274">
        <v>0</v>
      </c>
      <c r="AG235" s="134"/>
      <c r="AH235" s="141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40"/>
      <c r="BB235" s="139"/>
      <c r="BC235" s="139"/>
      <c r="BD235" s="139"/>
      <c r="BE235" s="139"/>
      <c r="BF235" s="139"/>
      <c r="BG235" s="43"/>
      <c r="BK235" s="50" t="s">
        <v>1051</v>
      </c>
      <c r="BL235" s="52" t="s">
        <v>1215</v>
      </c>
    </row>
    <row r="236" spans="1:64">
      <c r="A236" s="681">
        <v>229</v>
      </c>
      <c r="B236" s="682"/>
      <c r="C236" s="59" t="str">
        <f t="shared" si="8"/>
        <v>工程结算引用数</v>
      </c>
      <c r="D236" s="142"/>
      <c r="E236" s="142"/>
      <c r="F236" s="142"/>
      <c r="G236" s="142"/>
      <c r="H236" s="142"/>
      <c r="I236" s="142"/>
      <c r="J236" s="142"/>
      <c r="K236" s="143"/>
      <c r="L236" s="1" t="s">
        <v>454</v>
      </c>
      <c r="M236" s="142"/>
      <c r="N236" s="142"/>
      <c r="O236" s="142"/>
      <c r="P236" s="142"/>
      <c r="Q236" s="142"/>
      <c r="R236" s="142"/>
      <c r="S236" s="142"/>
      <c r="T236" s="142"/>
      <c r="U236" s="692"/>
      <c r="V236" s="693"/>
      <c r="W236" s="694"/>
      <c r="X236" s="695"/>
      <c r="Y236" s="275" t="s">
        <v>303</v>
      </c>
      <c r="Z236" s="131"/>
      <c r="AA236" s="131"/>
      <c r="AB236" s="131"/>
      <c r="AC236" s="132"/>
      <c r="AD236" s="274">
        <v>0</v>
      </c>
      <c r="AE236" s="134"/>
      <c r="AF236" s="274">
        <v>0</v>
      </c>
      <c r="AG236" s="134"/>
      <c r="AH236" s="141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40"/>
      <c r="BB236" s="139"/>
      <c r="BC236" s="139"/>
      <c r="BD236" s="139"/>
      <c r="BE236" s="139"/>
      <c r="BF236" s="139"/>
      <c r="BG236" s="43"/>
      <c r="BK236" s="50" t="s">
        <v>1185</v>
      </c>
      <c r="BL236" s="52" t="s">
        <v>1186</v>
      </c>
    </row>
    <row r="237" spans="1:64">
      <c r="A237" s="681">
        <v>230</v>
      </c>
      <c r="B237" s="682"/>
      <c r="C237" s="59" t="str">
        <f t="shared" si="8"/>
        <v>所属事业部</v>
      </c>
      <c r="D237" s="142"/>
      <c r="E237" s="142"/>
      <c r="F237" s="142"/>
      <c r="G237" s="142"/>
      <c r="H237" s="142"/>
      <c r="I237" s="142"/>
      <c r="J237" s="142"/>
      <c r="K237" s="143"/>
      <c r="L237" s="1" t="s">
        <v>455</v>
      </c>
      <c r="M237" s="142"/>
      <c r="N237" s="142"/>
      <c r="O237" s="142"/>
      <c r="P237" s="142"/>
      <c r="Q237" s="142"/>
      <c r="R237" s="142"/>
      <c r="S237" s="142"/>
      <c r="T237" s="142"/>
      <c r="U237" s="692"/>
      <c r="V237" s="693"/>
      <c r="W237" s="694"/>
      <c r="X237" s="695"/>
      <c r="Y237" s="275" t="s">
        <v>16</v>
      </c>
      <c r="Z237" s="131"/>
      <c r="AA237" s="131"/>
      <c r="AB237" s="131"/>
      <c r="AC237" s="132"/>
      <c r="AD237" s="274">
        <v>100</v>
      </c>
      <c r="AE237" s="134"/>
      <c r="AF237" s="274">
        <v>0</v>
      </c>
      <c r="AG237" s="134"/>
      <c r="AH237" s="141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40"/>
      <c r="BB237" s="139"/>
      <c r="BC237" s="139"/>
      <c r="BD237" s="139"/>
      <c r="BE237" s="139"/>
      <c r="BF237" s="139"/>
      <c r="BG237" s="43"/>
      <c r="BK237" s="50" t="s">
        <v>1216</v>
      </c>
      <c r="BL237" s="51" t="s">
        <v>1217</v>
      </c>
    </row>
    <row r="238" spans="1:64">
      <c r="A238" s="681">
        <v>231</v>
      </c>
      <c r="B238" s="682"/>
      <c r="C238" s="59" t="str">
        <f t="shared" si="8"/>
        <v>是否参与结算指标考核</v>
      </c>
      <c r="D238" s="139"/>
      <c r="E238" s="139"/>
      <c r="F238" s="139"/>
      <c r="G238" s="139"/>
      <c r="H238" s="139"/>
      <c r="I238" s="139"/>
      <c r="J238" s="139"/>
      <c r="K238" s="140"/>
      <c r="L238" s="36" t="s">
        <v>456</v>
      </c>
      <c r="M238" s="139"/>
      <c r="N238" s="139"/>
      <c r="O238" s="139"/>
      <c r="P238" s="139"/>
      <c r="Q238" s="139"/>
      <c r="R238" s="139"/>
      <c r="S238" s="139"/>
      <c r="T238" s="139"/>
      <c r="U238" s="683"/>
      <c r="V238" s="682"/>
      <c r="W238" s="684"/>
      <c r="X238" s="685"/>
      <c r="Y238" s="273" t="s">
        <v>16</v>
      </c>
      <c r="Z238" s="126"/>
      <c r="AA238" s="126"/>
      <c r="AB238" s="126"/>
      <c r="AC238" s="127"/>
      <c r="AD238" s="274">
        <v>100</v>
      </c>
      <c r="AE238" s="134"/>
      <c r="AF238" s="274">
        <v>0</v>
      </c>
      <c r="AG238" s="134"/>
      <c r="AH238" s="138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40"/>
      <c r="BB238" s="139"/>
      <c r="BC238" s="139"/>
      <c r="BD238" s="139"/>
      <c r="BE238" s="139"/>
      <c r="BF238" s="139"/>
      <c r="BG238" s="43"/>
      <c r="BK238" s="50" t="s">
        <v>1187</v>
      </c>
      <c r="BL238" s="51" t="s">
        <v>1218</v>
      </c>
    </row>
    <row r="239" spans="1:64">
      <c r="A239" s="681">
        <v>232</v>
      </c>
      <c r="B239" s="682"/>
      <c r="C239" s="59" t="str">
        <f t="shared" si="8"/>
        <v>是否局发送</v>
      </c>
      <c r="D239" s="139"/>
      <c r="E239" s="139"/>
      <c r="F239" s="139"/>
      <c r="G239" s="139"/>
      <c r="H239" s="139"/>
      <c r="I239" s="139"/>
      <c r="J239" s="139"/>
      <c r="K239" s="140"/>
      <c r="L239" s="36" t="s">
        <v>457</v>
      </c>
      <c r="M239" s="139"/>
      <c r="N239" s="139"/>
      <c r="O239" s="139"/>
      <c r="P239" s="139"/>
      <c r="Q239" s="139"/>
      <c r="R239" s="139"/>
      <c r="S239" s="139"/>
      <c r="T239" s="139"/>
      <c r="U239" s="683"/>
      <c r="V239" s="682"/>
      <c r="W239" s="684"/>
      <c r="X239" s="685"/>
      <c r="Y239" s="273" t="s">
        <v>16</v>
      </c>
      <c r="Z239" s="126"/>
      <c r="AA239" s="126"/>
      <c r="AB239" s="126"/>
      <c r="AC239" s="127"/>
      <c r="AD239" s="274">
        <v>8</v>
      </c>
      <c r="AE239" s="134"/>
      <c r="AF239" s="274">
        <v>0</v>
      </c>
      <c r="AG239" s="134"/>
      <c r="AH239" s="138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40"/>
      <c r="BB239" s="139"/>
      <c r="BC239" s="139"/>
      <c r="BD239" s="139"/>
      <c r="BE239" s="139"/>
      <c r="BF239" s="139"/>
      <c r="BG239" s="43"/>
      <c r="BK239" s="50" t="s">
        <v>1219</v>
      </c>
      <c r="BL239" s="52" t="s">
        <v>1220</v>
      </c>
    </row>
    <row r="240" spans="1:64">
      <c r="A240" s="681">
        <v>233</v>
      </c>
      <c r="B240" s="682"/>
      <c r="C240" s="669" t="str">
        <f t="shared" si="8"/>
        <v>投资合同编号</v>
      </c>
      <c r="D240" s="674"/>
      <c r="E240" s="674"/>
      <c r="F240" s="674"/>
      <c r="G240" s="674"/>
      <c r="H240" s="674"/>
      <c r="I240" s="674"/>
      <c r="J240" s="674"/>
      <c r="K240" s="675"/>
      <c r="L240" s="36" t="s">
        <v>195</v>
      </c>
      <c r="M240" s="139"/>
      <c r="N240" s="139"/>
      <c r="O240" s="139"/>
      <c r="P240" s="139"/>
      <c r="Q240" s="139"/>
      <c r="R240" s="139"/>
      <c r="S240" s="139"/>
      <c r="T240" s="139"/>
      <c r="U240" s="683"/>
      <c r="V240" s="682"/>
      <c r="W240" s="684"/>
      <c r="X240" s="685"/>
      <c r="Y240" s="273" t="s">
        <v>16</v>
      </c>
      <c r="Z240" s="126"/>
      <c r="AA240" s="126"/>
      <c r="AB240" s="126"/>
      <c r="AC240" s="127"/>
      <c r="AD240" s="274">
        <v>64</v>
      </c>
      <c r="AE240" s="134"/>
      <c r="AF240" s="274">
        <v>0</v>
      </c>
      <c r="AG240" s="134"/>
      <c r="AH240" s="138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40"/>
      <c r="BB240" s="139"/>
      <c r="BC240" s="139"/>
      <c r="BD240" s="139"/>
      <c r="BE240" s="139"/>
      <c r="BF240" s="139"/>
      <c r="BG240" s="43"/>
      <c r="BK240" s="50" t="s">
        <v>976</v>
      </c>
      <c r="BL240" s="52" t="s">
        <v>1221</v>
      </c>
    </row>
    <row r="241" spans="1:64">
      <c r="A241" s="681">
        <v>234</v>
      </c>
      <c r="B241" s="682"/>
      <c r="C241" s="669" t="str">
        <f t="shared" si="8"/>
        <v>物资类别ID</v>
      </c>
      <c r="D241" s="670"/>
      <c r="E241" s="670"/>
      <c r="F241" s="670"/>
      <c r="G241" s="670"/>
      <c r="H241" s="670"/>
      <c r="I241" s="670"/>
      <c r="J241" s="670"/>
      <c r="K241" s="671"/>
      <c r="L241" s="36" t="s">
        <v>196</v>
      </c>
      <c r="M241" s="139"/>
      <c r="N241" s="139"/>
      <c r="O241" s="139"/>
      <c r="P241" s="139"/>
      <c r="Q241" s="139"/>
      <c r="R241" s="139"/>
      <c r="S241" s="139"/>
      <c r="T241" s="139"/>
      <c r="U241" s="683"/>
      <c r="V241" s="682"/>
      <c r="W241" s="684"/>
      <c r="X241" s="685"/>
      <c r="Y241" s="273" t="s">
        <v>16</v>
      </c>
      <c r="Z241" s="126"/>
      <c r="AA241" s="126"/>
      <c r="AB241" s="126"/>
      <c r="AC241" s="127"/>
      <c r="AD241" s="274">
        <v>128</v>
      </c>
      <c r="AE241" s="134"/>
      <c r="AF241" s="274">
        <v>0</v>
      </c>
      <c r="AG241" s="134"/>
      <c r="AH241" s="138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40"/>
      <c r="BB241" s="139"/>
      <c r="BC241" s="139"/>
      <c r="BD241" s="139"/>
      <c r="BE241" s="139"/>
      <c r="BF241" s="139"/>
      <c r="BG241" s="43"/>
      <c r="BK241" s="50" t="s">
        <v>1222</v>
      </c>
      <c r="BL241" s="52" t="s">
        <v>1223</v>
      </c>
    </row>
    <row r="242" spans="1:64">
      <c r="A242" s="681">
        <v>235</v>
      </c>
      <c r="B242" s="682"/>
      <c r="C242" s="669" t="str">
        <f t="shared" si="8"/>
        <v>物资类别</v>
      </c>
      <c r="D242" s="670"/>
      <c r="E242" s="670"/>
      <c r="F242" s="670"/>
      <c r="G242" s="670"/>
      <c r="H242" s="670"/>
      <c r="I242" s="670"/>
      <c r="J242" s="670"/>
      <c r="K242" s="671"/>
      <c r="L242" s="1" t="s">
        <v>1939</v>
      </c>
      <c r="M242" s="139"/>
      <c r="N242" s="139"/>
      <c r="O242" s="139"/>
      <c r="P242" s="139"/>
      <c r="Q242" s="139"/>
      <c r="R242" s="139"/>
      <c r="S242" s="139"/>
      <c r="T242" s="139"/>
      <c r="U242" s="683"/>
      <c r="V242" s="682"/>
      <c r="W242" s="684"/>
      <c r="X242" s="685"/>
      <c r="Y242" s="273" t="s">
        <v>16</v>
      </c>
      <c r="Z242" s="126"/>
      <c r="AA242" s="126"/>
      <c r="AB242" s="126"/>
      <c r="AC242" s="127"/>
      <c r="AD242" s="274">
        <v>256</v>
      </c>
      <c r="AE242" s="134"/>
      <c r="AF242" s="274">
        <v>0</v>
      </c>
      <c r="AG242" s="134"/>
      <c r="AH242" s="138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40"/>
      <c r="BB242" s="139"/>
      <c r="BC242" s="139"/>
      <c r="BD242" s="139"/>
      <c r="BE242" s="139"/>
      <c r="BF242" s="139"/>
      <c r="BG242" s="43"/>
      <c r="BK242" s="50" t="s">
        <v>1188</v>
      </c>
      <c r="BL242" s="51" t="s">
        <v>1034</v>
      </c>
    </row>
    <row r="243" spans="1:64">
      <c r="A243" s="681">
        <v>236</v>
      </c>
      <c r="B243" s="682"/>
      <c r="C243" s="496" t="s">
        <v>1606</v>
      </c>
      <c r="D243" s="230"/>
      <c r="E243" s="230"/>
      <c r="F243" s="230"/>
      <c r="G243" s="230"/>
      <c r="H243" s="230"/>
      <c r="I243" s="230"/>
      <c r="J243" s="230"/>
      <c r="K243" s="238"/>
      <c r="L243" s="1" t="s">
        <v>1615</v>
      </c>
      <c r="M243" s="334"/>
      <c r="N243" s="334"/>
      <c r="O243" s="334"/>
      <c r="P243" s="334"/>
      <c r="Q243" s="334"/>
      <c r="R243" s="334"/>
      <c r="S243" s="334"/>
      <c r="T243" s="334"/>
      <c r="U243" s="683"/>
      <c r="V243" s="682"/>
      <c r="W243" s="684"/>
      <c r="X243" s="685"/>
      <c r="Y243" s="493" t="s">
        <v>1620</v>
      </c>
      <c r="Z243" s="492"/>
      <c r="AA243" s="492"/>
      <c r="AB243" s="492"/>
      <c r="AC243" s="492"/>
      <c r="AD243" s="689">
        <v>32</v>
      </c>
      <c r="AE243" s="690"/>
      <c r="AF243" s="689"/>
      <c r="AG243" s="690"/>
      <c r="AH243" s="231" t="s">
        <v>1614</v>
      </c>
      <c r="AI243" s="230"/>
      <c r="AJ243" s="230"/>
      <c r="AK243" s="230"/>
      <c r="AL243" s="230"/>
      <c r="AM243" s="334"/>
      <c r="AN243" s="334"/>
      <c r="AO243" s="334"/>
      <c r="AP243" s="334"/>
      <c r="AQ243" s="334"/>
      <c r="AR243" s="334"/>
      <c r="AS243" s="334"/>
      <c r="AT243" s="334"/>
      <c r="AU243" s="334"/>
      <c r="AV243" s="334"/>
      <c r="AW243" s="334"/>
      <c r="AX243" s="334"/>
      <c r="AY243" s="334"/>
      <c r="AZ243" s="334"/>
      <c r="BA243" s="335"/>
      <c r="BB243" s="334"/>
      <c r="BC243" s="334"/>
      <c r="BD243" s="334"/>
      <c r="BE243" s="334"/>
      <c r="BF243" s="334"/>
      <c r="BG243" s="43"/>
      <c r="BK243" s="50" t="s">
        <v>1224</v>
      </c>
      <c r="BL243" s="52" t="s">
        <v>1225</v>
      </c>
    </row>
    <row r="244" spans="1:64">
      <c r="A244" s="681">
        <v>237</v>
      </c>
      <c r="B244" s="682"/>
      <c r="C244" s="496" t="s">
        <v>1608</v>
      </c>
      <c r="D244" s="230"/>
      <c r="E244" s="230"/>
      <c r="F244" s="230"/>
      <c r="G244" s="230"/>
      <c r="H244" s="230"/>
      <c r="I244" s="230"/>
      <c r="J244" s="230"/>
      <c r="K244" s="238"/>
      <c r="L244" s="1" t="s">
        <v>1616</v>
      </c>
      <c r="M244" s="334"/>
      <c r="N244" s="334"/>
      <c r="O244" s="334"/>
      <c r="P244" s="334"/>
      <c r="Q244" s="334"/>
      <c r="R244" s="334"/>
      <c r="S244" s="334"/>
      <c r="T244" s="334"/>
      <c r="U244" s="683"/>
      <c r="V244" s="682"/>
      <c r="W244" s="684"/>
      <c r="X244" s="685"/>
      <c r="Y244" s="493" t="s">
        <v>1621</v>
      </c>
      <c r="Z244" s="492"/>
      <c r="AA244" s="492"/>
      <c r="AB244" s="492"/>
      <c r="AC244" s="492"/>
      <c r="AD244" s="689">
        <v>32</v>
      </c>
      <c r="AE244" s="690"/>
      <c r="AF244" s="689"/>
      <c r="AG244" s="690"/>
      <c r="AH244" s="231" t="s">
        <v>1614</v>
      </c>
      <c r="AI244" s="230"/>
      <c r="AJ244" s="230"/>
      <c r="AK244" s="230"/>
      <c r="AL244" s="230"/>
      <c r="AM244" s="334"/>
      <c r="AN244" s="334"/>
      <c r="AO244" s="334"/>
      <c r="AP244" s="334"/>
      <c r="AQ244" s="334"/>
      <c r="AR244" s="334"/>
      <c r="AS244" s="334"/>
      <c r="AT244" s="334"/>
      <c r="AU244" s="334"/>
      <c r="AV244" s="334"/>
      <c r="AW244" s="334"/>
      <c r="AX244" s="334"/>
      <c r="AY244" s="334"/>
      <c r="AZ244" s="334"/>
      <c r="BA244" s="335"/>
      <c r="BB244" s="334"/>
      <c r="BC244" s="334"/>
      <c r="BD244" s="334"/>
      <c r="BE244" s="334"/>
      <c r="BF244" s="334"/>
      <c r="BG244" s="43"/>
      <c r="BK244" s="343" t="s">
        <v>38</v>
      </c>
      <c r="BL244" s="101" t="s">
        <v>38</v>
      </c>
    </row>
    <row r="245" spans="1:64">
      <c r="A245" s="681">
        <v>238</v>
      </c>
      <c r="B245" s="682"/>
      <c r="C245" s="496" t="s">
        <v>1609</v>
      </c>
      <c r="D245" s="230"/>
      <c r="E245" s="230"/>
      <c r="F245" s="230"/>
      <c r="G245" s="230"/>
      <c r="H245" s="230"/>
      <c r="I245" s="230"/>
      <c r="J245" s="230"/>
      <c r="K245" s="238"/>
      <c r="L245" s="1" t="s">
        <v>1612</v>
      </c>
      <c r="M245" s="334"/>
      <c r="N245" s="334"/>
      <c r="O245" s="334"/>
      <c r="P245" s="334"/>
      <c r="Q245" s="334"/>
      <c r="R245" s="334"/>
      <c r="S245" s="334"/>
      <c r="T245" s="334"/>
      <c r="U245" s="683"/>
      <c r="V245" s="682"/>
      <c r="W245" s="684"/>
      <c r="X245" s="685"/>
      <c r="Y245" s="493" t="s">
        <v>1613</v>
      </c>
      <c r="Z245" s="492"/>
      <c r="AA245" s="492"/>
      <c r="AB245" s="492"/>
      <c r="AC245" s="492"/>
      <c r="AD245" s="689">
        <v>300</v>
      </c>
      <c r="AE245" s="690"/>
      <c r="AF245" s="689"/>
      <c r="AG245" s="690"/>
      <c r="AH245" s="231" t="s">
        <v>1614</v>
      </c>
      <c r="AI245" s="230"/>
      <c r="AJ245" s="230"/>
      <c r="AK245" s="230"/>
      <c r="AL245" s="230"/>
      <c r="AM245" s="334"/>
      <c r="AN245" s="334"/>
      <c r="AO245" s="334"/>
      <c r="AP245" s="334"/>
      <c r="AQ245" s="334"/>
      <c r="AR245" s="334"/>
      <c r="AS245" s="334"/>
      <c r="AT245" s="334"/>
      <c r="AU245" s="334"/>
      <c r="AV245" s="334"/>
      <c r="AW245" s="334"/>
      <c r="AX245" s="334"/>
      <c r="AY245" s="334"/>
      <c r="AZ245" s="334"/>
      <c r="BA245" s="335"/>
      <c r="BB245" s="334"/>
      <c r="BC245" s="334"/>
      <c r="BD245" s="334"/>
      <c r="BE245" s="334"/>
      <c r="BF245" s="334"/>
      <c r="BG245" s="43"/>
      <c r="BK245" s="343" t="s">
        <v>34</v>
      </c>
      <c r="BL245" s="101" t="s">
        <v>34</v>
      </c>
    </row>
    <row r="246" spans="1:64">
      <c r="A246" s="681">
        <v>239</v>
      </c>
      <c r="B246" s="682"/>
      <c r="C246" s="376" t="s">
        <v>49</v>
      </c>
      <c r="D246" s="377"/>
      <c r="E246" s="377"/>
      <c r="F246" s="377"/>
      <c r="G246" s="377"/>
      <c r="H246" s="377"/>
      <c r="I246" s="377"/>
      <c r="J246" s="377"/>
      <c r="K246" s="378"/>
      <c r="L246" s="379" t="s">
        <v>1332</v>
      </c>
      <c r="M246" s="379"/>
      <c r="N246" s="379"/>
      <c r="O246" s="379"/>
      <c r="P246" s="379"/>
      <c r="Q246" s="379"/>
      <c r="R246" s="379"/>
      <c r="S246" s="379"/>
      <c r="T246" s="379"/>
      <c r="U246" s="760"/>
      <c r="V246" s="761"/>
      <c r="W246" s="756"/>
      <c r="X246" s="757"/>
      <c r="Y246" s="380" t="s">
        <v>1333</v>
      </c>
      <c r="Z246" s="379"/>
      <c r="AA246" s="379"/>
      <c r="AB246" s="379"/>
      <c r="AC246" s="379"/>
      <c r="AD246" s="758">
        <v>0</v>
      </c>
      <c r="AE246" s="759"/>
      <c r="AF246" s="754"/>
      <c r="AG246" s="755"/>
      <c r="AH246" s="381"/>
      <c r="AI246" s="379"/>
      <c r="AJ246" s="379"/>
      <c r="AK246" s="334"/>
      <c r="AL246" s="334"/>
      <c r="AM246" s="334"/>
      <c r="AN246" s="334"/>
      <c r="AO246" s="334"/>
      <c r="AP246" s="334"/>
      <c r="AQ246" s="334"/>
      <c r="AR246" s="334"/>
      <c r="AS246" s="334"/>
      <c r="AT246" s="334"/>
      <c r="AU246" s="334"/>
      <c r="AV246" s="334"/>
      <c r="AW246" s="334"/>
      <c r="AX246" s="334"/>
      <c r="AY246" s="334"/>
      <c r="AZ246" s="334"/>
      <c r="BA246" s="335"/>
      <c r="BB246" s="334"/>
      <c r="BC246" s="334"/>
      <c r="BD246" s="334"/>
      <c r="BE246" s="334"/>
      <c r="BF246" s="334"/>
      <c r="BG246" s="43"/>
      <c r="BK246" s="120"/>
      <c r="BL246" s="52"/>
    </row>
    <row r="247" spans="1:64">
      <c r="A247" s="681">
        <v>240</v>
      </c>
      <c r="B247" s="682"/>
      <c r="C247" s="376" t="s">
        <v>49</v>
      </c>
      <c r="D247" s="377"/>
      <c r="E247" s="377"/>
      <c r="F247" s="377"/>
      <c r="G247" s="377"/>
      <c r="H247" s="377"/>
      <c r="I247" s="377"/>
      <c r="J247" s="377"/>
      <c r="K247" s="378"/>
      <c r="L247" s="379" t="s">
        <v>1334</v>
      </c>
      <c r="M247" s="379"/>
      <c r="N247" s="379"/>
      <c r="O247" s="379"/>
      <c r="P247" s="379"/>
      <c r="Q247" s="379"/>
      <c r="R247" s="379"/>
      <c r="S247" s="379"/>
      <c r="T247" s="379"/>
      <c r="U247" s="760"/>
      <c r="V247" s="761"/>
      <c r="W247" s="756"/>
      <c r="X247" s="757"/>
      <c r="Y247" s="380" t="s">
        <v>1333</v>
      </c>
      <c r="Z247" s="379"/>
      <c r="AA247" s="379"/>
      <c r="AB247" s="379"/>
      <c r="AC247" s="379"/>
      <c r="AD247" s="758">
        <v>0</v>
      </c>
      <c r="AE247" s="759"/>
      <c r="AF247" s="754"/>
      <c r="AG247" s="755"/>
      <c r="AH247" s="381"/>
      <c r="AI247" s="379"/>
      <c r="AJ247" s="379"/>
      <c r="AK247" s="334"/>
      <c r="AL247" s="334"/>
      <c r="AM247" s="334"/>
      <c r="AN247" s="334"/>
      <c r="AO247" s="334"/>
      <c r="AP247" s="334"/>
      <c r="AQ247" s="334"/>
      <c r="AR247" s="334"/>
      <c r="AS247" s="334"/>
      <c r="AT247" s="334"/>
      <c r="AU247" s="334"/>
      <c r="AV247" s="334"/>
      <c r="AW247" s="334"/>
      <c r="AX247" s="334"/>
      <c r="AY247" s="334"/>
      <c r="AZ247" s="334"/>
      <c r="BA247" s="335"/>
      <c r="BB247" s="334"/>
      <c r="BC247" s="334"/>
      <c r="BD247" s="334"/>
      <c r="BE247" s="334"/>
      <c r="BF247" s="334"/>
      <c r="BG247" s="43"/>
      <c r="BK247" s="101"/>
      <c r="BL247" s="101"/>
    </row>
    <row r="248" spans="1:64">
      <c r="A248" s="681">
        <v>241</v>
      </c>
      <c r="B248" s="682"/>
      <c r="C248" s="376" t="s">
        <v>49</v>
      </c>
      <c r="D248" s="377"/>
      <c r="E248" s="377"/>
      <c r="F248" s="377"/>
      <c r="G248" s="377"/>
      <c r="H248" s="377"/>
      <c r="I248" s="377"/>
      <c r="J248" s="377"/>
      <c r="K248" s="378"/>
      <c r="L248" s="379" t="s">
        <v>1335</v>
      </c>
      <c r="M248" s="379"/>
      <c r="N248" s="379"/>
      <c r="O248" s="379"/>
      <c r="P248" s="379"/>
      <c r="Q248" s="379"/>
      <c r="R248" s="379"/>
      <c r="S248" s="379"/>
      <c r="T248" s="379"/>
      <c r="U248" s="760"/>
      <c r="V248" s="761"/>
      <c r="W248" s="756"/>
      <c r="X248" s="757"/>
      <c r="Y248" s="380" t="s">
        <v>1333</v>
      </c>
      <c r="Z248" s="379"/>
      <c r="AA248" s="379"/>
      <c r="AB248" s="379"/>
      <c r="AC248" s="379"/>
      <c r="AD248" s="758">
        <v>0</v>
      </c>
      <c r="AE248" s="759"/>
      <c r="AF248" s="754"/>
      <c r="AG248" s="755"/>
      <c r="AH248" s="381"/>
      <c r="AI248" s="379"/>
      <c r="AJ248" s="379"/>
      <c r="AK248" s="334"/>
      <c r="AL248" s="334"/>
      <c r="AM248" s="334"/>
      <c r="AN248" s="334"/>
      <c r="AO248" s="334"/>
      <c r="AP248" s="334"/>
      <c r="AQ248" s="334"/>
      <c r="AR248" s="334"/>
      <c r="AS248" s="334"/>
      <c r="AT248" s="334"/>
      <c r="AU248" s="334"/>
      <c r="AV248" s="334"/>
      <c r="AW248" s="334"/>
      <c r="AX248" s="334"/>
      <c r="AY248" s="334"/>
      <c r="AZ248" s="334"/>
      <c r="BA248" s="335"/>
      <c r="BB248" s="334"/>
      <c r="BC248" s="334"/>
      <c r="BD248" s="334"/>
      <c r="BE248" s="334"/>
      <c r="BF248" s="334"/>
      <c r="BG248" s="43"/>
      <c r="BK248" s="101"/>
      <c r="BL248" s="101"/>
    </row>
    <row r="249" spans="1:64">
      <c r="A249" s="681">
        <v>242</v>
      </c>
      <c r="B249" s="682"/>
      <c r="C249" s="376" t="s">
        <v>49</v>
      </c>
      <c r="D249" s="377"/>
      <c r="E249" s="377"/>
      <c r="F249" s="377"/>
      <c r="G249" s="377"/>
      <c r="H249" s="377"/>
      <c r="I249" s="377"/>
      <c r="J249" s="377"/>
      <c r="K249" s="378"/>
      <c r="L249" s="379" t="s">
        <v>1336</v>
      </c>
      <c r="M249" s="379"/>
      <c r="N249" s="379"/>
      <c r="O249" s="379"/>
      <c r="P249" s="379"/>
      <c r="Q249" s="379"/>
      <c r="R249" s="379"/>
      <c r="S249" s="379"/>
      <c r="T249" s="379"/>
      <c r="U249" s="760"/>
      <c r="V249" s="761"/>
      <c r="W249" s="756"/>
      <c r="X249" s="757"/>
      <c r="Y249" s="380" t="s">
        <v>1333</v>
      </c>
      <c r="Z249" s="379"/>
      <c r="AA249" s="379"/>
      <c r="AB249" s="379"/>
      <c r="AC249" s="379"/>
      <c r="AD249" s="758">
        <v>0</v>
      </c>
      <c r="AE249" s="759"/>
      <c r="AF249" s="754"/>
      <c r="AG249" s="755"/>
      <c r="AH249" s="381"/>
      <c r="AI249" s="379"/>
      <c r="AJ249" s="379"/>
      <c r="AK249" s="334"/>
      <c r="AL249" s="334"/>
      <c r="AM249" s="334"/>
      <c r="AN249" s="334"/>
      <c r="AO249" s="334"/>
      <c r="AP249" s="334"/>
      <c r="AQ249" s="334"/>
      <c r="AR249" s="334"/>
      <c r="AS249" s="334"/>
      <c r="AT249" s="334"/>
      <c r="AU249" s="334"/>
      <c r="AV249" s="334"/>
      <c r="AW249" s="334"/>
      <c r="AX249" s="334"/>
      <c r="AY249" s="334"/>
      <c r="AZ249" s="334"/>
      <c r="BA249" s="335"/>
      <c r="BB249" s="334"/>
      <c r="BC249" s="334"/>
      <c r="BD249" s="334"/>
      <c r="BE249" s="334"/>
      <c r="BF249" s="334"/>
      <c r="BG249" s="43"/>
      <c r="BK249" s="120"/>
      <c r="BL249" s="52"/>
    </row>
    <row r="250" spans="1:64">
      <c r="A250" s="681">
        <v>243</v>
      </c>
      <c r="B250" s="682"/>
      <c r="C250" s="376" t="s">
        <v>49</v>
      </c>
      <c r="D250" s="377"/>
      <c r="E250" s="377"/>
      <c r="F250" s="377"/>
      <c r="G250" s="377"/>
      <c r="H250" s="377"/>
      <c r="I250" s="377"/>
      <c r="J250" s="377"/>
      <c r="K250" s="378"/>
      <c r="L250" s="379" t="s">
        <v>1348</v>
      </c>
      <c r="M250" s="379"/>
      <c r="N250" s="379"/>
      <c r="O250" s="379"/>
      <c r="P250" s="379"/>
      <c r="Q250" s="379"/>
      <c r="R250" s="379"/>
      <c r="S250" s="379"/>
      <c r="T250" s="379"/>
      <c r="U250" s="760"/>
      <c r="V250" s="761"/>
      <c r="W250" s="756"/>
      <c r="X250" s="757"/>
      <c r="Y250" s="380" t="s">
        <v>1333</v>
      </c>
      <c r="Z250" s="379"/>
      <c r="AA250" s="379"/>
      <c r="AB250" s="379"/>
      <c r="AC250" s="379"/>
      <c r="AD250" s="758">
        <v>0</v>
      </c>
      <c r="AE250" s="759"/>
      <c r="AF250" s="754"/>
      <c r="AG250" s="755"/>
      <c r="AH250" s="381"/>
      <c r="AI250" s="379"/>
      <c r="AJ250" s="379"/>
      <c r="AK250" s="334"/>
      <c r="AL250" s="334"/>
      <c r="AM250" s="334"/>
      <c r="AN250" s="334"/>
      <c r="AO250" s="334"/>
      <c r="AP250" s="334"/>
      <c r="AQ250" s="334"/>
      <c r="AR250" s="334"/>
      <c r="AS250" s="334"/>
      <c r="AT250" s="334"/>
      <c r="AU250" s="334"/>
      <c r="AV250" s="334"/>
      <c r="AW250" s="334"/>
      <c r="AX250" s="334"/>
      <c r="AY250" s="334"/>
      <c r="AZ250" s="334"/>
      <c r="BA250" s="335"/>
      <c r="BB250" s="334"/>
      <c r="BC250" s="334"/>
      <c r="BD250" s="334"/>
      <c r="BE250" s="334"/>
      <c r="BF250" s="334"/>
      <c r="BG250" s="43"/>
      <c r="BK250" s="120"/>
      <c r="BL250" s="120"/>
    </row>
    <row r="251" spans="1:64">
      <c r="A251" s="681">
        <v>244</v>
      </c>
      <c r="B251" s="682"/>
      <c r="C251" s="376" t="s">
        <v>49</v>
      </c>
      <c r="D251" s="377"/>
      <c r="E251" s="377"/>
      <c r="F251" s="377"/>
      <c r="G251" s="377"/>
      <c r="H251" s="377"/>
      <c r="I251" s="377"/>
      <c r="J251" s="377"/>
      <c r="K251" s="378"/>
      <c r="L251" s="379" t="s">
        <v>1349</v>
      </c>
      <c r="M251" s="379"/>
      <c r="N251" s="379"/>
      <c r="O251" s="379"/>
      <c r="P251" s="379"/>
      <c r="Q251" s="379"/>
      <c r="R251" s="379"/>
      <c r="S251" s="379"/>
      <c r="T251" s="379"/>
      <c r="U251" s="760"/>
      <c r="V251" s="761"/>
      <c r="W251" s="756"/>
      <c r="X251" s="757"/>
      <c r="Y251" s="380" t="s">
        <v>1333</v>
      </c>
      <c r="Z251" s="379"/>
      <c r="AA251" s="379"/>
      <c r="AB251" s="379"/>
      <c r="AC251" s="379"/>
      <c r="AD251" s="758">
        <v>0</v>
      </c>
      <c r="AE251" s="759"/>
      <c r="AF251" s="754"/>
      <c r="AG251" s="755"/>
      <c r="AH251" s="382"/>
      <c r="AI251" s="383"/>
      <c r="AJ251" s="383"/>
      <c r="AK251" s="334"/>
      <c r="AL251" s="334"/>
      <c r="AM251" s="334"/>
      <c r="AN251" s="334"/>
      <c r="AO251" s="334"/>
      <c r="AP251" s="334"/>
      <c r="AQ251" s="334"/>
      <c r="AR251" s="334"/>
      <c r="AS251" s="334"/>
      <c r="AT251" s="334"/>
      <c r="AU251" s="334"/>
      <c r="AV251" s="334"/>
      <c r="AW251" s="334"/>
      <c r="AX251" s="334"/>
      <c r="AY251" s="334"/>
      <c r="AZ251" s="334"/>
      <c r="BA251" s="335"/>
      <c r="BB251" s="334"/>
      <c r="BC251" s="334"/>
      <c r="BD251" s="334"/>
      <c r="BE251" s="334"/>
      <c r="BF251" s="334"/>
      <c r="BG251" s="43"/>
      <c r="BK251" s="120"/>
      <c r="BL251" s="101"/>
    </row>
    <row r="252" spans="1:64">
      <c r="A252" s="681">
        <v>245</v>
      </c>
      <c r="B252" s="682"/>
      <c r="C252" s="376" t="s">
        <v>49</v>
      </c>
      <c r="D252" s="377"/>
      <c r="E252" s="377"/>
      <c r="F252" s="377"/>
      <c r="G252" s="377"/>
      <c r="H252" s="377"/>
      <c r="I252" s="377"/>
      <c r="J252" s="377"/>
      <c r="K252" s="378"/>
      <c r="L252" s="379" t="s">
        <v>1350</v>
      </c>
      <c r="M252" s="379"/>
      <c r="N252" s="379"/>
      <c r="O252" s="379"/>
      <c r="P252" s="379"/>
      <c r="Q252" s="379"/>
      <c r="R252" s="379"/>
      <c r="S252" s="379"/>
      <c r="T252" s="379"/>
      <c r="U252" s="760"/>
      <c r="V252" s="761"/>
      <c r="W252" s="756"/>
      <c r="X252" s="757"/>
      <c r="Y252" s="380" t="s">
        <v>1333</v>
      </c>
      <c r="Z252" s="379"/>
      <c r="AA252" s="379"/>
      <c r="AB252" s="379"/>
      <c r="AC252" s="379"/>
      <c r="AD252" s="758">
        <v>0</v>
      </c>
      <c r="AE252" s="759"/>
      <c r="AF252" s="754"/>
      <c r="AG252" s="755"/>
      <c r="AH252" s="382"/>
      <c r="AI252" s="383"/>
      <c r="AJ252" s="383"/>
      <c r="AK252" s="334"/>
      <c r="AL252" s="334"/>
      <c r="AM252" s="334"/>
      <c r="AN252" s="334"/>
      <c r="AO252" s="334"/>
      <c r="AP252" s="334"/>
      <c r="AQ252" s="334"/>
      <c r="AR252" s="334"/>
      <c r="AS252" s="334"/>
      <c r="AT252" s="334"/>
      <c r="AU252" s="334"/>
      <c r="AV252" s="334"/>
      <c r="AW252" s="334"/>
      <c r="AX252" s="334"/>
      <c r="AY252" s="334"/>
      <c r="AZ252" s="334"/>
      <c r="BA252" s="335"/>
      <c r="BB252" s="334"/>
      <c r="BC252" s="334"/>
      <c r="BD252" s="334"/>
      <c r="BE252" s="334"/>
      <c r="BF252" s="334"/>
      <c r="BG252" s="43"/>
      <c r="BK252" s="120"/>
      <c r="BL252" s="120"/>
    </row>
    <row r="253" spans="1:64">
      <c r="A253" s="681">
        <v>246</v>
      </c>
      <c r="B253" s="682"/>
      <c r="C253" s="376" t="s">
        <v>49</v>
      </c>
      <c r="D253" s="377"/>
      <c r="E253" s="377"/>
      <c r="F253" s="377"/>
      <c r="G253" s="377"/>
      <c r="H253" s="377"/>
      <c r="I253" s="377"/>
      <c r="J253" s="377"/>
      <c r="K253" s="378"/>
      <c r="L253" s="379" t="s">
        <v>1351</v>
      </c>
      <c r="M253" s="379"/>
      <c r="N253" s="379"/>
      <c r="O253" s="379"/>
      <c r="P253" s="379"/>
      <c r="Q253" s="379"/>
      <c r="R253" s="379"/>
      <c r="S253" s="379"/>
      <c r="T253" s="379"/>
      <c r="U253" s="760"/>
      <c r="V253" s="761"/>
      <c r="W253" s="756"/>
      <c r="X253" s="757"/>
      <c r="Y253" s="380" t="s">
        <v>1333</v>
      </c>
      <c r="Z253" s="379"/>
      <c r="AA253" s="379"/>
      <c r="AB253" s="379"/>
      <c r="AC253" s="379"/>
      <c r="AD253" s="758">
        <v>0</v>
      </c>
      <c r="AE253" s="759"/>
      <c r="AF253" s="754"/>
      <c r="AG253" s="755"/>
      <c r="AH253" s="382"/>
      <c r="AI253" s="383"/>
      <c r="AJ253" s="383"/>
      <c r="AK253" s="334"/>
      <c r="AL253" s="334"/>
      <c r="AM253" s="334"/>
      <c r="AN253" s="334"/>
      <c r="AO253" s="334"/>
      <c r="AP253" s="334"/>
      <c r="AQ253" s="334"/>
      <c r="AR253" s="334"/>
      <c r="AS253" s="334"/>
      <c r="AT253" s="334"/>
      <c r="AU253" s="334"/>
      <c r="AV253" s="334"/>
      <c r="AW253" s="334"/>
      <c r="AX253" s="334"/>
      <c r="AY253" s="334"/>
      <c r="AZ253" s="334"/>
      <c r="BA253" s="335"/>
      <c r="BB253" s="334"/>
      <c r="BC253" s="334"/>
      <c r="BD253" s="334"/>
      <c r="BE253" s="334"/>
      <c r="BF253" s="334"/>
      <c r="BG253" s="43"/>
      <c r="BK253" s="101"/>
      <c r="BL253" s="101"/>
    </row>
    <row r="254" spans="1:64">
      <c r="A254" s="681">
        <v>247</v>
      </c>
      <c r="B254" s="682"/>
      <c r="C254" s="376" t="s">
        <v>49</v>
      </c>
      <c r="D254" s="377"/>
      <c r="E254" s="377"/>
      <c r="F254" s="377"/>
      <c r="G254" s="377"/>
      <c r="H254" s="377"/>
      <c r="I254" s="377"/>
      <c r="J254" s="377"/>
      <c r="K254" s="378"/>
      <c r="L254" s="379" t="s">
        <v>1352</v>
      </c>
      <c r="M254" s="379"/>
      <c r="N254" s="379"/>
      <c r="O254" s="379"/>
      <c r="P254" s="379"/>
      <c r="Q254" s="379"/>
      <c r="R254" s="379"/>
      <c r="S254" s="379"/>
      <c r="T254" s="379"/>
      <c r="U254" s="760"/>
      <c r="V254" s="761"/>
      <c r="W254" s="756"/>
      <c r="X254" s="757"/>
      <c r="Y254" s="380" t="s">
        <v>1333</v>
      </c>
      <c r="Z254" s="379"/>
      <c r="AA254" s="379"/>
      <c r="AB254" s="379"/>
      <c r="AC254" s="379"/>
      <c r="AD254" s="758">
        <v>0</v>
      </c>
      <c r="AE254" s="759"/>
      <c r="AF254" s="754"/>
      <c r="AG254" s="755"/>
      <c r="AH254" s="382"/>
      <c r="AI254" s="383"/>
      <c r="AJ254" s="383"/>
      <c r="AK254" s="334"/>
      <c r="AL254" s="334"/>
      <c r="AM254" s="334"/>
      <c r="AN254" s="334"/>
      <c r="AO254" s="334"/>
      <c r="AP254" s="334"/>
      <c r="AQ254" s="334"/>
      <c r="AR254" s="334"/>
      <c r="AS254" s="334"/>
      <c r="AT254" s="334"/>
      <c r="AU254" s="334"/>
      <c r="AV254" s="334"/>
      <c r="AW254" s="334"/>
      <c r="AX254" s="334"/>
      <c r="AY254" s="334"/>
      <c r="AZ254" s="334"/>
      <c r="BA254" s="335"/>
      <c r="BB254" s="334"/>
      <c r="BC254" s="334"/>
      <c r="BD254" s="334"/>
      <c r="BE254" s="334"/>
      <c r="BF254" s="334"/>
      <c r="BG254" s="43"/>
      <c r="BK254" s="101"/>
      <c r="BL254" s="101"/>
    </row>
    <row r="255" spans="1:64">
      <c r="A255" s="681">
        <v>248</v>
      </c>
      <c r="B255" s="682"/>
      <c r="C255" s="376" t="s">
        <v>49</v>
      </c>
      <c r="D255" s="377"/>
      <c r="E255" s="377"/>
      <c r="F255" s="377"/>
      <c r="G255" s="377"/>
      <c r="H255" s="377"/>
      <c r="I255" s="377"/>
      <c r="J255" s="377"/>
      <c r="K255" s="378"/>
      <c r="L255" s="379" t="s">
        <v>1353</v>
      </c>
      <c r="M255" s="379"/>
      <c r="N255" s="379"/>
      <c r="O255" s="379"/>
      <c r="P255" s="379"/>
      <c r="Q255" s="379"/>
      <c r="R255" s="379"/>
      <c r="S255" s="379"/>
      <c r="T255" s="379"/>
      <c r="U255" s="760"/>
      <c r="V255" s="761"/>
      <c r="W255" s="756"/>
      <c r="X255" s="757"/>
      <c r="Y255" s="380" t="s">
        <v>1333</v>
      </c>
      <c r="Z255" s="379"/>
      <c r="AA255" s="379"/>
      <c r="AB255" s="379"/>
      <c r="AC255" s="379"/>
      <c r="AD255" s="758">
        <v>0</v>
      </c>
      <c r="AE255" s="759"/>
      <c r="AF255" s="754"/>
      <c r="AG255" s="755"/>
      <c r="AH255" s="381"/>
      <c r="AI255" s="379"/>
      <c r="AJ255" s="379"/>
      <c r="AK255" s="334"/>
      <c r="AL255" s="334"/>
      <c r="AM255" s="334"/>
      <c r="AN255" s="334"/>
      <c r="AO255" s="334"/>
      <c r="AP255" s="334"/>
      <c r="AQ255" s="334"/>
      <c r="AR255" s="334"/>
      <c r="AS255" s="334"/>
      <c r="AT255" s="334"/>
      <c r="AU255" s="334"/>
      <c r="AV255" s="334"/>
      <c r="AW255" s="334"/>
      <c r="AX255" s="334"/>
      <c r="AY255" s="334"/>
      <c r="AZ255" s="334"/>
      <c r="BA255" s="335"/>
      <c r="BB255" s="334"/>
      <c r="BC255" s="334"/>
      <c r="BD255" s="334"/>
      <c r="BE255" s="334"/>
      <c r="BF255" s="334"/>
      <c r="BG255" s="43"/>
      <c r="BK255" s="120"/>
      <c r="BL255" s="52"/>
    </row>
    <row r="256" spans="1:64">
      <c r="A256" s="681">
        <v>249</v>
      </c>
      <c r="B256" s="682"/>
      <c r="C256" s="376" t="s">
        <v>1337</v>
      </c>
      <c r="D256" s="377"/>
      <c r="E256" s="377"/>
      <c r="F256" s="377"/>
      <c r="G256" s="377"/>
      <c r="H256" s="377"/>
      <c r="I256" s="377"/>
      <c r="J256" s="377"/>
      <c r="K256" s="378"/>
      <c r="L256" s="379" t="s">
        <v>1338</v>
      </c>
      <c r="M256" s="379"/>
      <c r="N256" s="379"/>
      <c r="O256" s="379"/>
      <c r="P256" s="379"/>
      <c r="Q256" s="379"/>
      <c r="R256" s="379"/>
      <c r="S256" s="379"/>
      <c r="T256" s="379"/>
      <c r="U256" s="760"/>
      <c r="V256" s="761"/>
      <c r="W256" s="756"/>
      <c r="X256" s="757"/>
      <c r="Y256" s="380" t="s">
        <v>199</v>
      </c>
      <c r="Z256" s="379"/>
      <c r="AA256" s="379"/>
      <c r="AB256" s="379"/>
      <c r="AC256" s="379"/>
      <c r="AD256" s="758">
        <v>32</v>
      </c>
      <c r="AE256" s="759"/>
      <c r="AF256" s="754"/>
      <c r="AG256" s="755"/>
      <c r="AH256" s="382" t="s">
        <v>1337</v>
      </c>
      <c r="AI256" s="383"/>
      <c r="AJ256" s="383"/>
      <c r="AK256" s="334"/>
      <c r="AL256" s="334"/>
      <c r="AM256" s="334"/>
      <c r="AN256" s="334"/>
      <c r="AO256" s="334"/>
      <c r="AP256" s="334"/>
      <c r="AQ256" s="334"/>
      <c r="AR256" s="334"/>
      <c r="AS256" s="334"/>
      <c r="AT256" s="334"/>
      <c r="AU256" s="334"/>
      <c r="AV256" s="334"/>
      <c r="AW256" s="334"/>
      <c r="AX256" s="334"/>
      <c r="AY256" s="334"/>
      <c r="AZ256" s="334"/>
      <c r="BA256" s="335"/>
      <c r="BB256" s="48"/>
      <c r="BC256" s="48"/>
      <c r="BD256" s="48"/>
      <c r="BE256" s="48"/>
      <c r="BF256" s="48"/>
      <c r="BG256" s="49"/>
      <c r="BK256" s="120"/>
      <c r="BL256" s="52"/>
    </row>
    <row r="257" spans="1:64">
      <c r="A257" s="681">
        <v>250</v>
      </c>
      <c r="B257" s="682"/>
      <c r="C257" s="376" t="s">
        <v>1339</v>
      </c>
      <c r="D257" s="377"/>
      <c r="E257" s="377"/>
      <c r="F257" s="377"/>
      <c r="G257" s="377"/>
      <c r="H257" s="377"/>
      <c r="I257" s="377"/>
      <c r="J257" s="377"/>
      <c r="K257" s="378"/>
      <c r="L257" s="379" t="s">
        <v>1340</v>
      </c>
      <c r="M257" s="379"/>
      <c r="N257" s="379"/>
      <c r="O257" s="379"/>
      <c r="P257" s="379"/>
      <c r="Q257" s="379"/>
      <c r="R257" s="379"/>
      <c r="S257" s="379"/>
      <c r="T257" s="379"/>
      <c r="U257" s="760"/>
      <c r="V257" s="761"/>
      <c r="W257" s="756"/>
      <c r="X257" s="757"/>
      <c r="Y257" s="380" t="s">
        <v>199</v>
      </c>
      <c r="Z257" s="379"/>
      <c r="AA257" s="379"/>
      <c r="AB257" s="379"/>
      <c r="AC257" s="379"/>
      <c r="AD257" s="758">
        <v>32</v>
      </c>
      <c r="AE257" s="759"/>
      <c r="AF257" s="754"/>
      <c r="AG257" s="755"/>
      <c r="AH257" s="382" t="s">
        <v>1341</v>
      </c>
      <c r="AI257" s="383"/>
      <c r="AJ257" s="383"/>
      <c r="AK257" s="334"/>
      <c r="AL257" s="334"/>
      <c r="AM257" s="334"/>
      <c r="AN257" s="334"/>
      <c r="AO257" s="334"/>
      <c r="AP257" s="334"/>
      <c r="AQ257" s="334"/>
      <c r="AR257" s="334"/>
      <c r="AS257" s="334"/>
      <c r="AT257" s="334"/>
      <c r="AU257" s="334"/>
      <c r="AV257" s="334"/>
      <c r="AW257" s="334"/>
      <c r="AX257" s="334"/>
      <c r="AY257" s="334"/>
      <c r="AZ257" s="334"/>
      <c r="BA257" s="335"/>
      <c r="BB257" s="334"/>
      <c r="BC257" s="334"/>
      <c r="BD257" s="334"/>
      <c r="BE257" s="334"/>
      <c r="BF257" s="334"/>
      <c r="BG257" s="43"/>
      <c r="BK257" s="120"/>
      <c r="BL257" s="52"/>
    </row>
    <row r="258" spans="1:64">
      <c r="A258" s="681">
        <v>251</v>
      </c>
      <c r="B258" s="682"/>
      <c r="C258" s="376" t="s">
        <v>1342</v>
      </c>
      <c r="D258" s="377"/>
      <c r="E258" s="377"/>
      <c r="F258" s="377"/>
      <c r="G258" s="377"/>
      <c r="H258" s="377"/>
      <c r="I258" s="377"/>
      <c r="J258" s="377"/>
      <c r="K258" s="378"/>
      <c r="L258" s="379" t="s">
        <v>1343</v>
      </c>
      <c r="M258" s="379"/>
      <c r="N258" s="379"/>
      <c r="O258" s="379"/>
      <c r="P258" s="379"/>
      <c r="Q258" s="379"/>
      <c r="R258" s="379"/>
      <c r="S258" s="379"/>
      <c r="T258" s="379"/>
      <c r="U258" s="760"/>
      <c r="V258" s="761"/>
      <c r="W258" s="756"/>
      <c r="X258" s="757"/>
      <c r="Y258" s="380" t="s">
        <v>199</v>
      </c>
      <c r="Z258" s="379"/>
      <c r="AA258" s="379"/>
      <c r="AB258" s="379"/>
      <c r="AC258" s="379"/>
      <c r="AD258" s="758">
        <v>2</v>
      </c>
      <c r="AE258" s="759"/>
      <c r="AF258" s="754"/>
      <c r="AG258" s="755"/>
      <c r="AH258" s="382" t="s">
        <v>1344</v>
      </c>
      <c r="AI258" s="383"/>
      <c r="AJ258" s="383"/>
      <c r="AK258" s="334"/>
      <c r="AQ258" s="334"/>
      <c r="AR258" s="334"/>
      <c r="AS258" s="334"/>
      <c r="AT258" s="334"/>
      <c r="AU258" s="334"/>
      <c r="AV258" s="334"/>
      <c r="AW258" s="334"/>
      <c r="AX258" s="334"/>
      <c r="AY258" s="334"/>
      <c r="AZ258" s="334"/>
      <c r="BA258" s="335"/>
      <c r="BB258" s="334"/>
      <c r="BC258" s="334"/>
      <c r="BD258" s="334"/>
      <c r="BE258" s="334"/>
      <c r="BF258" s="334"/>
      <c r="BG258" s="43"/>
      <c r="BK258" s="120"/>
      <c r="BL258" s="52"/>
    </row>
    <row r="259" spans="1:64">
      <c r="A259" s="681">
        <v>252</v>
      </c>
      <c r="B259" s="682"/>
      <c r="C259" s="376" t="s">
        <v>1345</v>
      </c>
      <c r="D259" s="377"/>
      <c r="E259" s="377"/>
      <c r="F259" s="377"/>
      <c r="G259" s="377"/>
      <c r="H259" s="377"/>
      <c r="I259" s="377"/>
      <c r="J259" s="377"/>
      <c r="K259" s="378"/>
      <c r="L259" s="379" t="s">
        <v>1346</v>
      </c>
      <c r="M259" s="379"/>
      <c r="N259" s="379"/>
      <c r="O259" s="379"/>
      <c r="P259" s="379"/>
      <c r="Q259" s="379"/>
      <c r="R259" s="379"/>
      <c r="S259" s="379"/>
      <c r="T259" s="379"/>
      <c r="U259" s="760"/>
      <c r="V259" s="761"/>
      <c r="W259" s="756"/>
      <c r="X259" s="757"/>
      <c r="Y259" s="380" t="s">
        <v>199</v>
      </c>
      <c r="Z259" s="379"/>
      <c r="AA259" s="379"/>
      <c r="AB259" s="379"/>
      <c r="AC259" s="379"/>
      <c r="AD259" s="758">
        <v>2</v>
      </c>
      <c r="AE259" s="759"/>
      <c r="AF259" s="754"/>
      <c r="AG259" s="755"/>
      <c r="AH259" s="382" t="s">
        <v>1347</v>
      </c>
      <c r="AI259" s="383"/>
      <c r="AJ259" s="383"/>
      <c r="AK259" s="334"/>
      <c r="AL259" s="334"/>
      <c r="AM259" s="334"/>
      <c r="AN259" s="334"/>
      <c r="AO259" s="334"/>
      <c r="AP259" s="334"/>
      <c r="AQ259" s="334"/>
      <c r="AR259" s="334"/>
      <c r="AS259" s="334"/>
      <c r="AT259" s="334"/>
      <c r="AU259" s="334"/>
      <c r="AV259" s="334"/>
      <c r="AW259" s="334"/>
      <c r="AX259" s="334"/>
      <c r="AY259" s="334"/>
      <c r="AZ259" s="334"/>
      <c r="BA259" s="335"/>
      <c r="BB259" s="334"/>
      <c r="BC259" s="334"/>
      <c r="BD259" s="334"/>
      <c r="BE259" s="334"/>
      <c r="BF259" s="334"/>
      <c r="BG259" s="43"/>
      <c r="BK259" s="120"/>
      <c r="BL259" s="52"/>
    </row>
    <row r="260" spans="1:64">
      <c r="A260" s="681"/>
      <c r="B260" s="682"/>
      <c r="C260" s="59"/>
      <c r="D260" s="331"/>
      <c r="E260" s="331"/>
      <c r="F260" s="331"/>
      <c r="G260" s="331"/>
      <c r="H260" s="331"/>
      <c r="I260" s="331"/>
      <c r="J260" s="331"/>
      <c r="K260" s="332"/>
      <c r="L260" s="1"/>
      <c r="M260" s="331"/>
      <c r="N260" s="331"/>
      <c r="O260" s="331"/>
      <c r="P260" s="331"/>
      <c r="Q260" s="331"/>
      <c r="R260" s="331"/>
      <c r="S260" s="331"/>
      <c r="T260" s="331"/>
      <c r="U260" s="692"/>
      <c r="V260" s="693"/>
      <c r="W260" s="694"/>
      <c r="X260" s="695"/>
      <c r="Y260" s="361"/>
      <c r="Z260" s="362"/>
      <c r="AA260" s="362"/>
      <c r="AB260" s="362"/>
      <c r="AC260" s="363"/>
      <c r="AD260" s="359"/>
      <c r="AE260" s="360"/>
      <c r="AF260" s="359"/>
      <c r="AG260" s="360"/>
      <c r="AH260" s="330"/>
      <c r="AI260" s="334"/>
      <c r="AJ260" s="334"/>
      <c r="AK260" s="334"/>
      <c r="AL260" s="334"/>
      <c r="AM260" s="334"/>
      <c r="AN260" s="334"/>
      <c r="AO260" s="334"/>
      <c r="AP260" s="334"/>
      <c r="AQ260" s="334"/>
      <c r="AR260" s="334"/>
      <c r="AS260" s="334"/>
      <c r="AT260" s="334"/>
      <c r="AU260" s="334"/>
      <c r="AV260" s="334"/>
      <c r="AW260" s="334"/>
      <c r="AX260" s="334"/>
      <c r="AY260" s="334"/>
      <c r="AZ260" s="334"/>
      <c r="BA260" s="335"/>
      <c r="BB260" s="334"/>
      <c r="BC260" s="334"/>
      <c r="BD260" s="334"/>
      <c r="BE260" s="334"/>
      <c r="BF260" s="334"/>
      <c r="BG260" s="43"/>
      <c r="BK260" s="120"/>
      <c r="BL260" s="52"/>
    </row>
    <row r="261" spans="1:64">
      <c r="A261" s="681"/>
      <c r="B261" s="682"/>
      <c r="C261" s="59"/>
      <c r="D261" s="331"/>
      <c r="E261" s="331"/>
      <c r="F261" s="331"/>
      <c r="G261" s="331"/>
      <c r="H261" s="331"/>
      <c r="I261" s="331"/>
      <c r="J261" s="331"/>
      <c r="K261" s="332"/>
      <c r="L261" s="1"/>
      <c r="M261" s="331"/>
      <c r="N261" s="331"/>
      <c r="O261" s="331"/>
      <c r="P261" s="331"/>
      <c r="Q261" s="331"/>
      <c r="R261" s="331"/>
      <c r="S261" s="331"/>
      <c r="T261" s="331"/>
      <c r="U261" s="692"/>
      <c r="V261" s="693"/>
      <c r="W261" s="694"/>
      <c r="X261" s="695"/>
      <c r="Y261" s="361"/>
      <c r="Z261" s="362"/>
      <c r="AA261" s="362"/>
      <c r="AB261" s="362"/>
      <c r="AC261" s="363"/>
      <c r="AD261" s="359"/>
      <c r="AE261" s="360"/>
      <c r="AF261" s="359"/>
      <c r="AG261" s="360"/>
      <c r="AH261" s="330"/>
      <c r="AI261" s="334"/>
      <c r="AJ261" s="334"/>
      <c r="AK261" s="334"/>
      <c r="AL261" s="334"/>
      <c r="AM261" s="334"/>
      <c r="AN261" s="334"/>
      <c r="AO261" s="334"/>
      <c r="AP261" s="334"/>
      <c r="AQ261" s="334"/>
      <c r="AR261" s="334"/>
      <c r="AS261" s="334"/>
      <c r="AT261" s="334"/>
      <c r="AU261" s="334"/>
      <c r="AV261" s="334"/>
      <c r="AW261" s="334"/>
      <c r="AX261" s="334"/>
      <c r="AY261" s="334"/>
      <c r="AZ261" s="334"/>
      <c r="BA261" s="335"/>
      <c r="BB261" s="334"/>
      <c r="BC261" s="334"/>
      <c r="BD261" s="334"/>
      <c r="BE261" s="334"/>
      <c r="BF261" s="334"/>
      <c r="BG261" s="43"/>
      <c r="BK261" s="120"/>
      <c r="BL261" s="52"/>
    </row>
    <row r="262" spans="1:64">
      <c r="A262" s="681"/>
      <c r="B262" s="682"/>
      <c r="C262" s="59"/>
      <c r="D262" s="139"/>
      <c r="E262" s="139"/>
      <c r="F262" s="139"/>
      <c r="G262" s="139"/>
      <c r="H262" s="139"/>
      <c r="I262" s="139"/>
      <c r="J262" s="139"/>
      <c r="K262" s="140"/>
      <c r="L262" s="36"/>
      <c r="M262" s="139"/>
      <c r="N262" s="139"/>
      <c r="O262" s="139"/>
      <c r="P262" s="139"/>
      <c r="Q262" s="139"/>
      <c r="R262" s="139"/>
      <c r="S262" s="139"/>
      <c r="T262" s="139"/>
      <c r="U262" s="683"/>
      <c r="V262" s="682"/>
      <c r="W262" s="684"/>
      <c r="X262" s="685"/>
      <c r="Y262" s="125"/>
      <c r="Z262" s="126"/>
      <c r="AA262" s="126"/>
      <c r="AB262" s="126"/>
      <c r="AC262" s="127"/>
      <c r="AD262" s="133"/>
      <c r="AE262" s="134"/>
      <c r="AF262" s="133"/>
      <c r="AG262" s="134"/>
      <c r="AH262" s="138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40"/>
      <c r="BB262" s="139"/>
      <c r="BC262" s="139"/>
      <c r="BD262" s="139"/>
      <c r="BE262" s="139"/>
      <c r="BF262" s="139"/>
      <c r="BG262" s="43"/>
      <c r="BK262" s="120"/>
      <c r="BL262" s="51"/>
    </row>
    <row r="263" spans="1:64">
      <c r="A263" s="681"/>
      <c r="B263" s="682"/>
      <c r="C263" s="59"/>
      <c r="D263" s="139"/>
      <c r="E263" s="139"/>
      <c r="F263" s="139"/>
      <c r="G263" s="139"/>
      <c r="H263" s="139"/>
      <c r="I263" s="139"/>
      <c r="J263" s="139"/>
      <c r="K263" s="140"/>
      <c r="L263" s="36"/>
      <c r="M263" s="139"/>
      <c r="N263" s="139"/>
      <c r="O263" s="139"/>
      <c r="P263" s="139"/>
      <c r="Q263" s="139"/>
      <c r="R263" s="139"/>
      <c r="S263" s="139"/>
      <c r="T263" s="139"/>
      <c r="U263" s="683"/>
      <c r="V263" s="682"/>
      <c r="W263" s="684"/>
      <c r="X263" s="685"/>
      <c r="Y263" s="125"/>
      <c r="Z263" s="126"/>
      <c r="AA263" s="126"/>
      <c r="AB263" s="126"/>
      <c r="AC263" s="127"/>
      <c r="AD263" s="133"/>
      <c r="AE263" s="134"/>
      <c r="AF263" s="133"/>
      <c r="AG263" s="134"/>
      <c r="AH263" s="138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40"/>
      <c r="BB263" s="139"/>
      <c r="BC263" s="139"/>
      <c r="BD263" s="139"/>
      <c r="BE263" s="139"/>
      <c r="BF263" s="139"/>
      <c r="BG263" s="43"/>
      <c r="BK263" s="120"/>
      <c r="BL263" s="51"/>
    </row>
    <row r="264" spans="1:64">
      <c r="A264" s="681"/>
      <c r="B264" s="682"/>
      <c r="C264" s="59"/>
      <c r="D264" s="139"/>
      <c r="E264" s="139"/>
      <c r="F264" s="139"/>
      <c r="G264" s="139"/>
      <c r="H264" s="139"/>
      <c r="I264" s="139"/>
      <c r="J264" s="139"/>
      <c r="K264" s="140"/>
      <c r="L264" s="36"/>
      <c r="M264" s="139"/>
      <c r="N264" s="139"/>
      <c r="O264" s="139"/>
      <c r="P264" s="139"/>
      <c r="Q264" s="139"/>
      <c r="R264" s="139"/>
      <c r="S264" s="139"/>
      <c r="T264" s="139"/>
      <c r="U264" s="683"/>
      <c r="V264" s="682"/>
      <c r="W264" s="684"/>
      <c r="X264" s="685"/>
      <c r="Y264" s="125"/>
      <c r="Z264" s="126"/>
      <c r="AA264" s="126"/>
      <c r="AB264" s="126"/>
      <c r="AC264" s="127"/>
      <c r="AD264" s="133"/>
      <c r="AE264" s="134"/>
      <c r="AF264" s="133"/>
      <c r="AG264" s="134"/>
      <c r="AH264" s="138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40"/>
      <c r="BB264" s="139"/>
      <c r="BC264" s="139"/>
      <c r="BD264" s="139"/>
      <c r="BE264" s="139"/>
      <c r="BF264" s="139"/>
      <c r="BG264" s="43"/>
      <c r="BK264" s="120"/>
      <c r="BL264" s="52"/>
    </row>
    <row r="265" spans="1:64">
      <c r="A265" s="681"/>
      <c r="B265" s="682"/>
      <c r="C265" s="59"/>
      <c r="D265" s="139"/>
      <c r="E265" s="139"/>
      <c r="F265" s="139"/>
      <c r="G265" s="139"/>
      <c r="H265" s="139"/>
      <c r="I265" s="139"/>
      <c r="J265" s="139"/>
      <c r="K265" s="140"/>
      <c r="L265" s="36"/>
      <c r="M265" s="139"/>
      <c r="N265" s="139"/>
      <c r="O265" s="139"/>
      <c r="P265" s="139"/>
      <c r="Q265" s="139"/>
      <c r="R265" s="139"/>
      <c r="S265" s="139"/>
      <c r="T265" s="139"/>
      <c r="U265" s="683"/>
      <c r="V265" s="682"/>
      <c r="W265" s="684"/>
      <c r="X265" s="685"/>
      <c r="Y265" s="125"/>
      <c r="Z265" s="126"/>
      <c r="AA265" s="126"/>
      <c r="AB265" s="126"/>
      <c r="AC265" s="127"/>
      <c r="AD265" s="133"/>
      <c r="AE265" s="134"/>
      <c r="AF265" s="133"/>
      <c r="AG265" s="134"/>
      <c r="AH265" s="138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40"/>
      <c r="BB265" s="139"/>
      <c r="BC265" s="139"/>
      <c r="BD265" s="139"/>
      <c r="BE265" s="139"/>
      <c r="BF265" s="139"/>
      <c r="BG265" s="43"/>
      <c r="BK265" s="120"/>
      <c r="BL265" s="52"/>
    </row>
    <row r="266" spans="1:64">
      <c r="A266" s="681"/>
      <c r="B266" s="682"/>
      <c r="C266" s="59"/>
      <c r="D266" s="139"/>
      <c r="E266" s="139"/>
      <c r="F266" s="139"/>
      <c r="G266" s="139"/>
      <c r="H266" s="139"/>
      <c r="I266" s="139"/>
      <c r="J266" s="139"/>
      <c r="K266" s="140"/>
      <c r="L266" s="36"/>
      <c r="M266" s="139"/>
      <c r="N266" s="139"/>
      <c r="O266" s="139"/>
      <c r="P266" s="139"/>
      <c r="Q266" s="139"/>
      <c r="R266" s="139"/>
      <c r="S266" s="139"/>
      <c r="T266" s="139"/>
      <c r="U266" s="683"/>
      <c r="V266" s="682"/>
      <c r="W266" s="684"/>
      <c r="X266" s="685"/>
      <c r="Y266" s="125"/>
      <c r="Z266" s="126"/>
      <c r="AA266" s="126"/>
      <c r="AB266" s="126"/>
      <c r="AC266" s="127"/>
      <c r="AD266" s="133"/>
      <c r="AE266" s="134"/>
      <c r="AF266" s="133"/>
      <c r="AG266" s="134"/>
      <c r="AH266" s="138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40"/>
      <c r="BB266" s="139"/>
      <c r="BC266" s="139"/>
      <c r="BD266" s="139"/>
      <c r="BE266" s="139"/>
      <c r="BF266" s="139"/>
      <c r="BG266" s="43"/>
      <c r="BK266" s="120"/>
      <c r="BL266" s="52"/>
    </row>
    <row r="267" spans="1:64">
      <c r="A267" s="681"/>
      <c r="B267" s="682"/>
      <c r="C267" s="59"/>
      <c r="D267" s="139"/>
      <c r="E267" s="139"/>
      <c r="F267" s="139"/>
      <c r="G267" s="139"/>
      <c r="H267" s="139"/>
      <c r="I267" s="139"/>
      <c r="J267" s="139"/>
      <c r="K267" s="140"/>
      <c r="L267" s="36"/>
      <c r="M267" s="139"/>
      <c r="N267" s="139"/>
      <c r="O267" s="139"/>
      <c r="P267" s="139"/>
      <c r="Q267" s="139"/>
      <c r="R267" s="139"/>
      <c r="S267" s="139"/>
      <c r="T267" s="139"/>
      <c r="U267" s="683"/>
      <c r="V267" s="682"/>
      <c r="W267" s="684"/>
      <c r="X267" s="685"/>
      <c r="Y267" s="125"/>
      <c r="Z267" s="126"/>
      <c r="AA267" s="126"/>
      <c r="AB267" s="126"/>
      <c r="AC267" s="127"/>
      <c r="AD267" s="133"/>
      <c r="AE267" s="134"/>
      <c r="AF267" s="133"/>
      <c r="AG267" s="134"/>
      <c r="AH267" s="138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40"/>
      <c r="BB267" s="139"/>
      <c r="BC267" s="139"/>
      <c r="BD267" s="139"/>
      <c r="BE267" s="139"/>
      <c r="BF267" s="139"/>
      <c r="BG267" s="43"/>
      <c r="BK267" s="120"/>
      <c r="BL267" s="51"/>
    </row>
    <row r="268" spans="1:64">
      <c r="A268" s="681"/>
      <c r="B268" s="682"/>
      <c r="C268" s="59"/>
      <c r="D268" s="139"/>
      <c r="E268" s="139"/>
      <c r="F268" s="139"/>
      <c r="G268" s="139"/>
      <c r="H268" s="139"/>
      <c r="I268" s="139"/>
      <c r="J268" s="139"/>
      <c r="K268" s="140"/>
      <c r="L268" s="36"/>
      <c r="M268" s="139"/>
      <c r="N268" s="139"/>
      <c r="O268" s="139"/>
      <c r="P268" s="139"/>
      <c r="Q268" s="139"/>
      <c r="R268" s="139"/>
      <c r="S268" s="139"/>
      <c r="T268" s="139"/>
      <c r="U268" s="683"/>
      <c r="V268" s="682"/>
      <c r="W268" s="684"/>
      <c r="X268" s="685"/>
      <c r="Y268" s="125"/>
      <c r="Z268" s="126"/>
      <c r="AA268" s="126"/>
      <c r="AB268" s="126"/>
      <c r="AC268" s="127"/>
      <c r="AD268" s="133"/>
      <c r="AE268" s="134"/>
      <c r="AF268" s="133"/>
      <c r="AG268" s="134"/>
      <c r="AH268" s="138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40"/>
      <c r="BB268" s="139"/>
      <c r="BC268" s="139"/>
      <c r="BD268" s="139"/>
      <c r="BE268" s="139"/>
      <c r="BF268" s="139"/>
      <c r="BG268" s="43"/>
      <c r="BK268" s="120"/>
      <c r="BL268" s="52"/>
    </row>
    <row r="269" spans="1:64">
      <c r="A269" s="681"/>
      <c r="B269" s="682"/>
      <c r="C269" s="59"/>
      <c r="D269" s="139"/>
      <c r="E269" s="139"/>
      <c r="F269" s="139"/>
      <c r="G269" s="139"/>
      <c r="H269" s="139"/>
      <c r="I269" s="139"/>
      <c r="J269" s="139"/>
      <c r="K269" s="140"/>
      <c r="L269" s="36"/>
      <c r="M269" s="139"/>
      <c r="N269" s="139"/>
      <c r="O269" s="139"/>
      <c r="P269" s="139"/>
      <c r="Q269" s="139"/>
      <c r="R269" s="139"/>
      <c r="S269" s="139"/>
      <c r="T269" s="139"/>
      <c r="U269" s="683"/>
      <c r="V269" s="682"/>
      <c r="W269" s="684"/>
      <c r="X269" s="685"/>
      <c r="Y269" s="125"/>
      <c r="Z269" s="126"/>
      <c r="AA269" s="126"/>
      <c r="AB269" s="126"/>
      <c r="AC269" s="127"/>
      <c r="AD269" s="133"/>
      <c r="AE269" s="134"/>
      <c r="AF269" s="133"/>
      <c r="AG269" s="134"/>
      <c r="AH269" s="138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40"/>
      <c r="BB269" s="139"/>
      <c r="BC269" s="139"/>
      <c r="BD269" s="139"/>
      <c r="BE269" s="139"/>
      <c r="BF269" s="139"/>
      <c r="BG269" s="43"/>
      <c r="BK269" s="101"/>
      <c r="BL269" s="101"/>
    </row>
    <row r="270" spans="1:64">
      <c r="A270" s="681"/>
      <c r="B270" s="682"/>
      <c r="C270" s="59"/>
      <c r="D270" s="139"/>
      <c r="E270" s="139"/>
      <c r="F270" s="139"/>
      <c r="G270" s="139"/>
      <c r="H270" s="139"/>
      <c r="I270" s="139"/>
      <c r="J270" s="139"/>
      <c r="K270" s="140"/>
      <c r="L270" s="36"/>
      <c r="M270" s="139"/>
      <c r="N270" s="139"/>
      <c r="O270" s="139"/>
      <c r="P270" s="139"/>
      <c r="Q270" s="139"/>
      <c r="R270" s="139"/>
      <c r="S270" s="139"/>
      <c r="T270" s="139"/>
      <c r="U270" s="683"/>
      <c r="V270" s="682"/>
      <c r="W270" s="684"/>
      <c r="X270" s="685"/>
      <c r="Y270" s="125"/>
      <c r="Z270" s="126"/>
      <c r="AA270" s="126"/>
      <c r="AB270" s="126"/>
      <c r="AC270" s="127"/>
      <c r="AD270" s="133"/>
      <c r="AE270" s="134"/>
      <c r="AF270" s="133"/>
      <c r="AG270" s="134"/>
      <c r="AH270" s="138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40"/>
      <c r="BB270" s="139"/>
      <c r="BC270" s="139"/>
      <c r="BD270" s="139"/>
      <c r="BE270" s="139"/>
      <c r="BF270" s="139"/>
      <c r="BG270" s="43"/>
      <c r="BK270" s="101"/>
      <c r="BL270" s="101"/>
    </row>
    <row r="271" spans="1:64" ht="16.2" thickBot="1">
      <c r="A271" s="145"/>
      <c r="B271" s="145"/>
      <c r="C271" s="145"/>
      <c r="D271" s="145"/>
      <c r="E271" s="145"/>
      <c r="F271" s="145"/>
      <c r="G271" s="145"/>
      <c r="H271" s="145"/>
      <c r="I271" s="145"/>
      <c r="J271" s="145"/>
      <c r="K271" s="146"/>
      <c r="L271" s="145"/>
      <c r="M271" s="145"/>
      <c r="N271" s="145"/>
      <c r="O271" s="145"/>
      <c r="P271" s="145"/>
      <c r="Q271" s="145"/>
      <c r="R271" s="145"/>
      <c r="S271" s="145"/>
      <c r="T271" s="145"/>
      <c r="U271" s="677"/>
      <c r="V271" s="678"/>
      <c r="W271" s="677"/>
      <c r="X271" s="678"/>
      <c r="Y271" s="144"/>
      <c r="Z271" s="145"/>
      <c r="AA271" s="145"/>
      <c r="AB271" s="145"/>
      <c r="AC271" s="146"/>
      <c r="AD271" s="679"/>
      <c r="AE271" s="680"/>
      <c r="AF271" s="679"/>
      <c r="AG271" s="680"/>
      <c r="AH271" s="144"/>
      <c r="AI271" s="145"/>
      <c r="AJ271" s="145"/>
      <c r="AK271" s="145"/>
      <c r="AL271" s="145"/>
      <c r="AM271" s="145"/>
      <c r="AN271" s="145"/>
      <c r="AO271" s="145"/>
      <c r="AP271" s="145"/>
      <c r="AQ271" s="145"/>
      <c r="AR271" s="145"/>
      <c r="AS271" s="145"/>
      <c r="AT271" s="145"/>
      <c r="AU271" s="145"/>
      <c r="AV271" s="145"/>
      <c r="AW271" s="145"/>
      <c r="AX271" s="145"/>
      <c r="AY271" s="145"/>
      <c r="AZ271" s="145"/>
      <c r="BA271" s="146"/>
      <c r="BK271" s="101"/>
      <c r="BL271" s="52"/>
    </row>
    <row r="272" spans="1:64">
      <c r="BK272" s="101"/>
      <c r="BL272" s="51"/>
    </row>
    <row r="273" spans="63:64">
      <c r="BK273" s="101"/>
      <c r="BL273" s="51"/>
    </row>
    <row r="274" spans="63:64">
      <c r="BK274" s="51"/>
      <c r="BL274" s="51"/>
    </row>
    <row r="275" spans="63:64">
      <c r="BK275" s="51"/>
      <c r="BL275" s="51"/>
    </row>
    <row r="276" spans="63:64">
      <c r="BK276" s="51"/>
      <c r="BL276" s="51"/>
    </row>
  </sheetData>
  <mergeCells count="844">
    <mergeCell ref="AD245:AE245"/>
    <mergeCell ref="AF245:AG245"/>
    <mergeCell ref="A243:B243"/>
    <mergeCell ref="A244:B244"/>
    <mergeCell ref="A245:B245"/>
    <mergeCell ref="AD243:AE243"/>
    <mergeCell ref="AF243:AG243"/>
    <mergeCell ref="U244:V244"/>
    <mergeCell ref="W244:X244"/>
    <mergeCell ref="AD244:AE244"/>
    <mergeCell ref="AF244:AG244"/>
    <mergeCell ref="A84:B84"/>
    <mergeCell ref="U84:V84"/>
    <mergeCell ref="W84:X84"/>
    <mergeCell ref="A85:B85"/>
    <mergeCell ref="U85:V85"/>
    <mergeCell ref="W85:X85"/>
    <mergeCell ref="A269:B269"/>
    <mergeCell ref="U269:V269"/>
    <mergeCell ref="W269:X269"/>
    <mergeCell ref="A267:B267"/>
    <mergeCell ref="U267:V267"/>
    <mergeCell ref="W267:X267"/>
    <mergeCell ref="A268:B268"/>
    <mergeCell ref="U268:V268"/>
    <mergeCell ref="W268:X268"/>
    <mergeCell ref="A265:B265"/>
    <mergeCell ref="U265:V265"/>
    <mergeCell ref="W265:X265"/>
    <mergeCell ref="A266:B266"/>
    <mergeCell ref="U266:V266"/>
    <mergeCell ref="W266:X266"/>
    <mergeCell ref="A263:B263"/>
    <mergeCell ref="U263:V263"/>
    <mergeCell ref="W263:X263"/>
    <mergeCell ref="A264:B264"/>
    <mergeCell ref="U264:V264"/>
    <mergeCell ref="W264:X264"/>
    <mergeCell ref="A242:B242"/>
    <mergeCell ref="U242:V242"/>
    <mergeCell ref="W242:X242"/>
    <mergeCell ref="A262:B262"/>
    <mergeCell ref="U262:V262"/>
    <mergeCell ref="W262:X262"/>
    <mergeCell ref="A247:B247"/>
    <mergeCell ref="U247:V247"/>
    <mergeCell ref="W247:X247"/>
    <mergeCell ref="A248:B248"/>
    <mergeCell ref="U248:V248"/>
    <mergeCell ref="W248:X248"/>
    <mergeCell ref="A249:B249"/>
    <mergeCell ref="U249:V249"/>
    <mergeCell ref="W249:X249"/>
    <mergeCell ref="A250:B250"/>
    <mergeCell ref="U250:V250"/>
    <mergeCell ref="W250:X250"/>
    <mergeCell ref="A251:B251"/>
    <mergeCell ref="U251:V251"/>
    <mergeCell ref="W251:X251"/>
    <mergeCell ref="A240:B240"/>
    <mergeCell ref="U240:V240"/>
    <mergeCell ref="W240:X240"/>
    <mergeCell ref="A241:B241"/>
    <mergeCell ref="U241:V241"/>
    <mergeCell ref="W241:X241"/>
    <mergeCell ref="A246:B246"/>
    <mergeCell ref="U246:V246"/>
    <mergeCell ref="W246:X246"/>
    <mergeCell ref="U243:V243"/>
    <mergeCell ref="W243:X243"/>
    <mergeCell ref="U245:V245"/>
    <mergeCell ref="W245:X245"/>
    <mergeCell ref="A238:B238"/>
    <mergeCell ref="U238:V238"/>
    <mergeCell ref="W238:X238"/>
    <mergeCell ref="A239:B239"/>
    <mergeCell ref="U239:V239"/>
    <mergeCell ref="W239:X239"/>
    <mergeCell ref="A236:B236"/>
    <mergeCell ref="U236:V236"/>
    <mergeCell ref="W236:X236"/>
    <mergeCell ref="A237:B237"/>
    <mergeCell ref="U237:V237"/>
    <mergeCell ref="W237:X237"/>
    <mergeCell ref="A234:B234"/>
    <mergeCell ref="U234:V234"/>
    <mergeCell ref="W234:X234"/>
    <mergeCell ref="A235:B235"/>
    <mergeCell ref="U235:V235"/>
    <mergeCell ref="W235:X235"/>
    <mergeCell ref="A232:B232"/>
    <mergeCell ref="U232:V232"/>
    <mergeCell ref="W232:X232"/>
    <mergeCell ref="A233:B233"/>
    <mergeCell ref="U233:V233"/>
    <mergeCell ref="W233:X233"/>
    <mergeCell ref="A230:B230"/>
    <mergeCell ref="U230:V230"/>
    <mergeCell ref="W230:X230"/>
    <mergeCell ref="A231:B231"/>
    <mergeCell ref="U231:V231"/>
    <mergeCell ref="W231:X231"/>
    <mergeCell ref="A228:B228"/>
    <mergeCell ref="U228:V228"/>
    <mergeCell ref="W228:X228"/>
    <mergeCell ref="A229:B229"/>
    <mergeCell ref="U229:V229"/>
    <mergeCell ref="W229:X229"/>
    <mergeCell ref="A226:B226"/>
    <mergeCell ref="U226:V226"/>
    <mergeCell ref="W226:X226"/>
    <mergeCell ref="A227:B227"/>
    <mergeCell ref="U227:V227"/>
    <mergeCell ref="W227:X227"/>
    <mergeCell ref="A224:B224"/>
    <mergeCell ref="U224:V224"/>
    <mergeCell ref="W224:X224"/>
    <mergeCell ref="A225:B225"/>
    <mergeCell ref="U225:V225"/>
    <mergeCell ref="W225:X225"/>
    <mergeCell ref="A222:B222"/>
    <mergeCell ref="U222:V222"/>
    <mergeCell ref="W222:X222"/>
    <mergeCell ref="A223:B223"/>
    <mergeCell ref="U223:V223"/>
    <mergeCell ref="W223:X223"/>
    <mergeCell ref="A220:B220"/>
    <mergeCell ref="U220:V220"/>
    <mergeCell ref="W220:X220"/>
    <mergeCell ref="A221:B221"/>
    <mergeCell ref="U221:V221"/>
    <mergeCell ref="W221:X221"/>
    <mergeCell ref="A218:B218"/>
    <mergeCell ref="U218:V218"/>
    <mergeCell ref="W218:X218"/>
    <mergeCell ref="A219:B219"/>
    <mergeCell ref="U219:V219"/>
    <mergeCell ref="W219:X219"/>
    <mergeCell ref="A216:B216"/>
    <mergeCell ref="U216:V216"/>
    <mergeCell ref="W216:X216"/>
    <mergeCell ref="A217:B217"/>
    <mergeCell ref="U217:V217"/>
    <mergeCell ref="W217:X217"/>
    <mergeCell ref="A214:B214"/>
    <mergeCell ref="U214:V214"/>
    <mergeCell ref="W214:X214"/>
    <mergeCell ref="A215:B215"/>
    <mergeCell ref="U215:V215"/>
    <mergeCell ref="W215:X215"/>
    <mergeCell ref="A212:B212"/>
    <mergeCell ref="U212:V212"/>
    <mergeCell ref="W212:X212"/>
    <mergeCell ref="A213:B213"/>
    <mergeCell ref="U213:V213"/>
    <mergeCell ref="W213:X213"/>
    <mergeCell ref="A210:B210"/>
    <mergeCell ref="U210:V210"/>
    <mergeCell ref="W210:X210"/>
    <mergeCell ref="A211:B211"/>
    <mergeCell ref="U211:V211"/>
    <mergeCell ref="W211:X211"/>
    <mergeCell ref="A208:B208"/>
    <mergeCell ref="U208:V208"/>
    <mergeCell ref="W208:X208"/>
    <mergeCell ref="A209:B209"/>
    <mergeCell ref="U209:V209"/>
    <mergeCell ref="W209:X209"/>
    <mergeCell ref="A206:B206"/>
    <mergeCell ref="U206:V206"/>
    <mergeCell ref="W206:X206"/>
    <mergeCell ref="A207:B207"/>
    <mergeCell ref="U207:V207"/>
    <mergeCell ref="W207:X207"/>
    <mergeCell ref="A204:B204"/>
    <mergeCell ref="U204:V204"/>
    <mergeCell ref="W204:X204"/>
    <mergeCell ref="A205:B205"/>
    <mergeCell ref="U205:V205"/>
    <mergeCell ref="W205:X205"/>
    <mergeCell ref="A202:B202"/>
    <mergeCell ref="U202:V202"/>
    <mergeCell ref="W202:X202"/>
    <mergeCell ref="A203:B203"/>
    <mergeCell ref="U203:V203"/>
    <mergeCell ref="W203:X203"/>
    <mergeCell ref="A200:B200"/>
    <mergeCell ref="U200:V200"/>
    <mergeCell ref="W200:X200"/>
    <mergeCell ref="A201:B201"/>
    <mergeCell ref="U201:V201"/>
    <mergeCell ref="W201:X201"/>
    <mergeCell ref="A198:B198"/>
    <mergeCell ref="U198:V198"/>
    <mergeCell ref="W198:X198"/>
    <mergeCell ref="A199:B199"/>
    <mergeCell ref="U199:V199"/>
    <mergeCell ref="W199:X199"/>
    <mergeCell ref="A196:B196"/>
    <mergeCell ref="U196:V196"/>
    <mergeCell ref="W196:X196"/>
    <mergeCell ref="A197:B197"/>
    <mergeCell ref="U197:V197"/>
    <mergeCell ref="W197:X197"/>
    <mergeCell ref="A194:B194"/>
    <mergeCell ref="U194:V194"/>
    <mergeCell ref="W194:X194"/>
    <mergeCell ref="A195:B195"/>
    <mergeCell ref="U195:V195"/>
    <mergeCell ref="W195:X195"/>
    <mergeCell ref="A192:B192"/>
    <mergeCell ref="U192:V192"/>
    <mergeCell ref="W192:X192"/>
    <mergeCell ref="A193:B193"/>
    <mergeCell ref="U193:V193"/>
    <mergeCell ref="W193:X193"/>
    <mergeCell ref="A190:B190"/>
    <mergeCell ref="U190:V190"/>
    <mergeCell ref="W190:X190"/>
    <mergeCell ref="A191:B191"/>
    <mergeCell ref="U191:V191"/>
    <mergeCell ref="W191:X191"/>
    <mergeCell ref="A188:B188"/>
    <mergeCell ref="U188:V188"/>
    <mergeCell ref="W188:X188"/>
    <mergeCell ref="A189:B189"/>
    <mergeCell ref="U189:V189"/>
    <mergeCell ref="W189:X189"/>
    <mergeCell ref="A186:B186"/>
    <mergeCell ref="U186:V186"/>
    <mergeCell ref="W186:X186"/>
    <mergeCell ref="A187:B187"/>
    <mergeCell ref="U187:V187"/>
    <mergeCell ref="W187:X187"/>
    <mergeCell ref="A184:B184"/>
    <mergeCell ref="U184:V184"/>
    <mergeCell ref="W184:X184"/>
    <mergeCell ref="A185:B185"/>
    <mergeCell ref="U185:V185"/>
    <mergeCell ref="W185:X185"/>
    <mergeCell ref="A182:B182"/>
    <mergeCell ref="U182:V182"/>
    <mergeCell ref="W182:X182"/>
    <mergeCell ref="A183:B183"/>
    <mergeCell ref="U183:V183"/>
    <mergeCell ref="W183:X183"/>
    <mergeCell ref="A180:B180"/>
    <mergeCell ref="U180:V180"/>
    <mergeCell ref="W180:X180"/>
    <mergeCell ref="A181:B181"/>
    <mergeCell ref="U181:V181"/>
    <mergeCell ref="W181:X181"/>
    <mergeCell ref="A178:B178"/>
    <mergeCell ref="U178:V178"/>
    <mergeCell ref="W178:X178"/>
    <mergeCell ref="A179:B179"/>
    <mergeCell ref="U179:V179"/>
    <mergeCell ref="W179:X179"/>
    <mergeCell ref="A176:B176"/>
    <mergeCell ref="U176:V176"/>
    <mergeCell ref="W176:X176"/>
    <mergeCell ref="A177:B177"/>
    <mergeCell ref="U177:V177"/>
    <mergeCell ref="W177:X177"/>
    <mergeCell ref="A174:B174"/>
    <mergeCell ref="U174:V174"/>
    <mergeCell ref="W174:X174"/>
    <mergeCell ref="A175:B175"/>
    <mergeCell ref="U175:V175"/>
    <mergeCell ref="W175:X175"/>
    <mergeCell ref="A172:B172"/>
    <mergeCell ref="U172:V172"/>
    <mergeCell ref="W172:X172"/>
    <mergeCell ref="A173:B173"/>
    <mergeCell ref="U173:V173"/>
    <mergeCell ref="W173:X173"/>
    <mergeCell ref="A170:B170"/>
    <mergeCell ref="U170:V170"/>
    <mergeCell ref="W170:X170"/>
    <mergeCell ref="A171:B171"/>
    <mergeCell ref="U171:V171"/>
    <mergeCell ref="W171:X171"/>
    <mergeCell ref="A168:B168"/>
    <mergeCell ref="U168:V168"/>
    <mergeCell ref="W168:X168"/>
    <mergeCell ref="A169:B169"/>
    <mergeCell ref="U169:V169"/>
    <mergeCell ref="W169:X169"/>
    <mergeCell ref="A166:B166"/>
    <mergeCell ref="U166:V166"/>
    <mergeCell ref="W166:X166"/>
    <mergeCell ref="A167:B167"/>
    <mergeCell ref="U167:V167"/>
    <mergeCell ref="W167:X167"/>
    <mergeCell ref="A164:B164"/>
    <mergeCell ref="U164:V164"/>
    <mergeCell ref="W164:X164"/>
    <mergeCell ref="A165:B165"/>
    <mergeCell ref="U165:V165"/>
    <mergeCell ref="W165:X165"/>
    <mergeCell ref="A162:B162"/>
    <mergeCell ref="U162:V162"/>
    <mergeCell ref="W162:X162"/>
    <mergeCell ref="A163:B163"/>
    <mergeCell ref="U163:V163"/>
    <mergeCell ref="W163:X163"/>
    <mergeCell ref="A160:B160"/>
    <mergeCell ref="U160:V160"/>
    <mergeCell ref="W160:X160"/>
    <mergeCell ref="A161:B161"/>
    <mergeCell ref="U161:V161"/>
    <mergeCell ref="W161:X161"/>
    <mergeCell ref="A158:B158"/>
    <mergeCell ref="U158:V158"/>
    <mergeCell ref="W158:X158"/>
    <mergeCell ref="A159:B159"/>
    <mergeCell ref="U159:V159"/>
    <mergeCell ref="W159:X159"/>
    <mergeCell ref="A156:B156"/>
    <mergeCell ref="U156:V156"/>
    <mergeCell ref="W156:X156"/>
    <mergeCell ref="A157:B157"/>
    <mergeCell ref="U157:V157"/>
    <mergeCell ref="W157:X157"/>
    <mergeCell ref="A154:B154"/>
    <mergeCell ref="U154:V154"/>
    <mergeCell ref="W154:X154"/>
    <mergeCell ref="A155:B155"/>
    <mergeCell ref="U155:V155"/>
    <mergeCell ref="W155:X155"/>
    <mergeCell ref="A152:B152"/>
    <mergeCell ref="U152:V152"/>
    <mergeCell ref="W152:X152"/>
    <mergeCell ref="A153:B153"/>
    <mergeCell ref="U153:V153"/>
    <mergeCell ref="W153:X153"/>
    <mergeCell ref="A150:B150"/>
    <mergeCell ref="U150:V150"/>
    <mergeCell ref="W150:X150"/>
    <mergeCell ref="A151:B151"/>
    <mergeCell ref="U151:V151"/>
    <mergeCell ref="W151:X151"/>
    <mergeCell ref="A148:B148"/>
    <mergeCell ref="U148:V148"/>
    <mergeCell ref="W148:X148"/>
    <mergeCell ref="A149:B149"/>
    <mergeCell ref="U149:V149"/>
    <mergeCell ref="W149:X149"/>
    <mergeCell ref="A146:B146"/>
    <mergeCell ref="U146:V146"/>
    <mergeCell ref="W146:X146"/>
    <mergeCell ref="A147:B147"/>
    <mergeCell ref="U147:V147"/>
    <mergeCell ref="W147:X147"/>
    <mergeCell ref="A144:B144"/>
    <mergeCell ref="U144:V144"/>
    <mergeCell ref="W144:X144"/>
    <mergeCell ref="A145:B145"/>
    <mergeCell ref="U145:V145"/>
    <mergeCell ref="W145:X145"/>
    <mergeCell ref="A142:B142"/>
    <mergeCell ref="U142:V142"/>
    <mergeCell ref="W142:X142"/>
    <mergeCell ref="A143:B143"/>
    <mergeCell ref="U143:V143"/>
    <mergeCell ref="W143:X143"/>
    <mergeCell ref="A140:B140"/>
    <mergeCell ref="U140:V140"/>
    <mergeCell ref="W140:X140"/>
    <mergeCell ref="A141:B141"/>
    <mergeCell ref="U141:V141"/>
    <mergeCell ref="W141:X141"/>
    <mergeCell ref="A138:B138"/>
    <mergeCell ref="U138:V138"/>
    <mergeCell ref="W138:X138"/>
    <mergeCell ref="A139:B139"/>
    <mergeCell ref="U139:V139"/>
    <mergeCell ref="W139:X139"/>
    <mergeCell ref="A136:B136"/>
    <mergeCell ref="U136:V136"/>
    <mergeCell ref="W136:X136"/>
    <mergeCell ref="A137:B137"/>
    <mergeCell ref="U137:V137"/>
    <mergeCell ref="W137:X137"/>
    <mergeCell ref="A134:B134"/>
    <mergeCell ref="U134:V134"/>
    <mergeCell ref="W134:X134"/>
    <mergeCell ref="A135:B135"/>
    <mergeCell ref="U135:V135"/>
    <mergeCell ref="W135:X135"/>
    <mergeCell ref="A132:B132"/>
    <mergeCell ref="U132:V132"/>
    <mergeCell ref="W132:X132"/>
    <mergeCell ref="A133:B133"/>
    <mergeCell ref="U133:V133"/>
    <mergeCell ref="W133:X133"/>
    <mergeCell ref="A130:B130"/>
    <mergeCell ref="U130:V130"/>
    <mergeCell ref="W130:X130"/>
    <mergeCell ref="A131:B131"/>
    <mergeCell ref="U131:V131"/>
    <mergeCell ref="W131:X131"/>
    <mergeCell ref="A128:B128"/>
    <mergeCell ref="U128:V128"/>
    <mergeCell ref="W128:X128"/>
    <mergeCell ref="A129:B129"/>
    <mergeCell ref="U129:V129"/>
    <mergeCell ref="W129:X129"/>
    <mergeCell ref="A126:B126"/>
    <mergeCell ref="U126:V126"/>
    <mergeCell ref="W126:X126"/>
    <mergeCell ref="A127:B127"/>
    <mergeCell ref="U127:V127"/>
    <mergeCell ref="W127:X127"/>
    <mergeCell ref="A124:B124"/>
    <mergeCell ref="U124:V124"/>
    <mergeCell ref="W124:X124"/>
    <mergeCell ref="A125:B125"/>
    <mergeCell ref="U125:V125"/>
    <mergeCell ref="W125:X125"/>
    <mergeCell ref="A122:B122"/>
    <mergeCell ref="U122:V122"/>
    <mergeCell ref="W122:X122"/>
    <mergeCell ref="A123:B123"/>
    <mergeCell ref="U123:V123"/>
    <mergeCell ref="W123:X123"/>
    <mergeCell ref="A120:B120"/>
    <mergeCell ref="U120:V120"/>
    <mergeCell ref="W120:X120"/>
    <mergeCell ref="A121:B121"/>
    <mergeCell ref="U121:V121"/>
    <mergeCell ref="W121:X121"/>
    <mergeCell ref="A118:B118"/>
    <mergeCell ref="U118:V118"/>
    <mergeCell ref="W118:X118"/>
    <mergeCell ref="A119:B119"/>
    <mergeCell ref="U119:V119"/>
    <mergeCell ref="W119:X119"/>
    <mergeCell ref="A116:B116"/>
    <mergeCell ref="U116:V116"/>
    <mergeCell ref="W116:X116"/>
    <mergeCell ref="A117:B117"/>
    <mergeCell ref="U117:V117"/>
    <mergeCell ref="W117:X117"/>
    <mergeCell ref="A114:B114"/>
    <mergeCell ref="U114:V114"/>
    <mergeCell ref="W114:X114"/>
    <mergeCell ref="A115:B115"/>
    <mergeCell ref="U115:V115"/>
    <mergeCell ref="W115:X115"/>
    <mergeCell ref="A112:B112"/>
    <mergeCell ref="U112:V112"/>
    <mergeCell ref="W112:X112"/>
    <mergeCell ref="A113:B113"/>
    <mergeCell ref="U113:V113"/>
    <mergeCell ref="W113:X113"/>
    <mergeCell ref="A110:B110"/>
    <mergeCell ref="U110:V110"/>
    <mergeCell ref="W110:X110"/>
    <mergeCell ref="A111:B111"/>
    <mergeCell ref="U111:V111"/>
    <mergeCell ref="W111:X111"/>
    <mergeCell ref="A108:B108"/>
    <mergeCell ref="U108:V108"/>
    <mergeCell ref="W108:X108"/>
    <mergeCell ref="A109:B109"/>
    <mergeCell ref="U109:V109"/>
    <mergeCell ref="W109:X109"/>
    <mergeCell ref="A106:B106"/>
    <mergeCell ref="U106:V106"/>
    <mergeCell ref="W106:X106"/>
    <mergeCell ref="A107:B107"/>
    <mergeCell ref="U107:V107"/>
    <mergeCell ref="W107:X107"/>
    <mergeCell ref="A104:B104"/>
    <mergeCell ref="U104:V104"/>
    <mergeCell ref="W104:X104"/>
    <mergeCell ref="A105:B105"/>
    <mergeCell ref="U105:V105"/>
    <mergeCell ref="W105:X105"/>
    <mergeCell ref="A102:B102"/>
    <mergeCell ref="U102:V102"/>
    <mergeCell ref="W102:X102"/>
    <mergeCell ref="A103:B103"/>
    <mergeCell ref="U103:V103"/>
    <mergeCell ref="W103:X103"/>
    <mergeCell ref="A100:B100"/>
    <mergeCell ref="U100:V100"/>
    <mergeCell ref="W100:X100"/>
    <mergeCell ref="A101:B101"/>
    <mergeCell ref="U101:V101"/>
    <mergeCell ref="W101:X101"/>
    <mergeCell ref="A98:B98"/>
    <mergeCell ref="U98:V98"/>
    <mergeCell ref="W98:X98"/>
    <mergeCell ref="A99:B99"/>
    <mergeCell ref="U99:V99"/>
    <mergeCell ref="W99:X99"/>
    <mergeCell ref="A96:B96"/>
    <mergeCell ref="U96:V96"/>
    <mergeCell ref="W96:X96"/>
    <mergeCell ref="A97:B97"/>
    <mergeCell ref="U97:V97"/>
    <mergeCell ref="W97:X97"/>
    <mergeCell ref="A94:B94"/>
    <mergeCell ref="U94:V94"/>
    <mergeCell ref="W94:X94"/>
    <mergeCell ref="A95:B95"/>
    <mergeCell ref="U95:V95"/>
    <mergeCell ref="W95:X95"/>
    <mergeCell ref="A92:B92"/>
    <mergeCell ref="U92:V92"/>
    <mergeCell ref="W92:X92"/>
    <mergeCell ref="A93:B93"/>
    <mergeCell ref="U93:V93"/>
    <mergeCell ref="W93:X93"/>
    <mergeCell ref="A90:B90"/>
    <mergeCell ref="U90:V90"/>
    <mergeCell ref="W90:X90"/>
    <mergeCell ref="A91:B91"/>
    <mergeCell ref="U91:V91"/>
    <mergeCell ref="W91:X91"/>
    <mergeCell ref="U88:V88"/>
    <mergeCell ref="W88:X88"/>
    <mergeCell ref="A89:B89"/>
    <mergeCell ref="U89:V89"/>
    <mergeCell ref="W89:X89"/>
    <mergeCell ref="A88:B88"/>
    <mergeCell ref="A80:B80"/>
    <mergeCell ref="U80:V80"/>
    <mergeCell ref="W80:X80"/>
    <mergeCell ref="U87:V87"/>
    <mergeCell ref="W87:X87"/>
    <mergeCell ref="A78:B78"/>
    <mergeCell ref="U78:V78"/>
    <mergeCell ref="W78:X78"/>
    <mergeCell ref="A79:B79"/>
    <mergeCell ref="U79:V79"/>
    <mergeCell ref="W79:X79"/>
    <mergeCell ref="A81:B81"/>
    <mergeCell ref="U81:V81"/>
    <mergeCell ref="W81:X81"/>
    <mergeCell ref="A82:B82"/>
    <mergeCell ref="U82:V82"/>
    <mergeCell ref="W82:X82"/>
    <mergeCell ref="A83:B83"/>
    <mergeCell ref="U83:V83"/>
    <mergeCell ref="W83:X83"/>
    <mergeCell ref="A86:B86"/>
    <mergeCell ref="U86:V86"/>
    <mergeCell ref="W86:X86"/>
    <mergeCell ref="A87:B87"/>
    <mergeCell ref="A76:B76"/>
    <mergeCell ref="U76:V76"/>
    <mergeCell ref="W76:X76"/>
    <mergeCell ref="A77:B77"/>
    <mergeCell ref="U77:V77"/>
    <mergeCell ref="W77:X77"/>
    <mergeCell ref="A74:B74"/>
    <mergeCell ref="U74:V74"/>
    <mergeCell ref="W74:X74"/>
    <mergeCell ref="A75:B75"/>
    <mergeCell ref="U75:V75"/>
    <mergeCell ref="W75:X75"/>
    <mergeCell ref="A72:B72"/>
    <mergeCell ref="U72:V72"/>
    <mergeCell ref="W72:X72"/>
    <mergeCell ref="A73:B73"/>
    <mergeCell ref="U73:V73"/>
    <mergeCell ref="W73:X73"/>
    <mergeCell ref="A70:B70"/>
    <mergeCell ref="U70:V70"/>
    <mergeCell ref="W70:X70"/>
    <mergeCell ref="A71:B71"/>
    <mergeCell ref="U71:V71"/>
    <mergeCell ref="W71:X71"/>
    <mergeCell ref="A68:B68"/>
    <mergeCell ref="U68:V68"/>
    <mergeCell ref="W68:X68"/>
    <mergeCell ref="A69:B69"/>
    <mergeCell ref="U69:V69"/>
    <mergeCell ref="W69:X69"/>
    <mergeCell ref="A66:B66"/>
    <mergeCell ref="U66:V66"/>
    <mergeCell ref="W66:X66"/>
    <mergeCell ref="A67:B67"/>
    <mergeCell ref="U67:V67"/>
    <mergeCell ref="W67:X67"/>
    <mergeCell ref="A64:B64"/>
    <mergeCell ref="U64:V64"/>
    <mergeCell ref="W64:X64"/>
    <mergeCell ref="A65:B65"/>
    <mergeCell ref="U65:V65"/>
    <mergeCell ref="W65:X65"/>
    <mergeCell ref="A62:B62"/>
    <mergeCell ref="U62:V62"/>
    <mergeCell ref="W62:X62"/>
    <mergeCell ref="A63:B63"/>
    <mergeCell ref="U63:V63"/>
    <mergeCell ref="W63:X63"/>
    <mergeCell ref="A60:B60"/>
    <mergeCell ref="U60:V60"/>
    <mergeCell ref="W60:X60"/>
    <mergeCell ref="A61:B61"/>
    <mergeCell ref="U61:V61"/>
    <mergeCell ref="W61:X61"/>
    <mergeCell ref="A58:B58"/>
    <mergeCell ref="U58:V58"/>
    <mergeCell ref="W58:X58"/>
    <mergeCell ref="A59:B59"/>
    <mergeCell ref="U59:V59"/>
    <mergeCell ref="W59:X59"/>
    <mergeCell ref="A56:B56"/>
    <mergeCell ref="U56:V56"/>
    <mergeCell ref="W56:X56"/>
    <mergeCell ref="A57:B57"/>
    <mergeCell ref="U57:V57"/>
    <mergeCell ref="W57:X57"/>
    <mergeCell ref="A54:B54"/>
    <mergeCell ref="U54:V54"/>
    <mergeCell ref="W54:X54"/>
    <mergeCell ref="A55:B55"/>
    <mergeCell ref="U55:V55"/>
    <mergeCell ref="W55:X55"/>
    <mergeCell ref="A52:B52"/>
    <mergeCell ref="U52:V52"/>
    <mergeCell ref="W52:X52"/>
    <mergeCell ref="A53:B53"/>
    <mergeCell ref="U53:V53"/>
    <mergeCell ref="W53:X53"/>
    <mergeCell ref="A50:B50"/>
    <mergeCell ref="U50:V50"/>
    <mergeCell ref="W50:X50"/>
    <mergeCell ref="A51:B51"/>
    <mergeCell ref="U51:V51"/>
    <mergeCell ref="W51:X51"/>
    <mergeCell ref="A48:B48"/>
    <mergeCell ref="U48:V48"/>
    <mergeCell ref="W48:X48"/>
    <mergeCell ref="A49:B49"/>
    <mergeCell ref="U49:V49"/>
    <mergeCell ref="W49:X49"/>
    <mergeCell ref="A46:B46"/>
    <mergeCell ref="U46:V46"/>
    <mergeCell ref="W46:X46"/>
    <mergeCell ref="A47:B47"/>
    <mergeCell ref="U47:V47"/>
    <mergeCell ref="W47:X47"/>
    <mergeCell ref="W44:X44"/>
    <mergeCell ref="A45:B45"/>
    <mergeCell ref="U45:V45"/>
    <mergeCell ref="W45:X45"/>
    <mergeCell ref="A42:B42"/>
    <mergeCell ref="U42:V42"/>
    <mergeCell ref="W42:X42"/>
    <mergeCell ref="A43:B43"/>
    <mergeCell ref="U43:V43"/>
    <mergeCell ref="W43:X43"/>
    <mergeCell ref="U271:V271"/>
    <mergeCell ref="W271:X271"/>
    <mergeCell ref="AD271:AE271"/>
    <mergeCell ref="AF271:AG271"/>
    <mergeCell ref="A30:B30"/>
    <mergeCell ref="U30:V30"/>
    <mergeCell ref="W30:X30"/>
    <mergeCell ref="A31:B31"/>
    <mergeCell ref="U31:V31"/>
    <mergeCell ref="W31:X31"/>
    <mergeCell ref="A36:B36"/>
    <mergeCell ref="U36:V36"/>
    <mergeCell ref="W36:X36"/>
    <mergeCell ref="A37:B37"/>
    <mergeCell ref="U37:V37"/>
    <mergeCell ref="W37:X37"/>
    <mergeCell ref="U33:V33"/>
    <mergeCell ref="W33:X33"/>
    <mergeCell ref="A34:B34"/>
    <mergeCell ref="U34:V34"/>
    <mergeCell ref="W34:X34"/>
    <mergeCell ref="A35:B35"/>
    <mergeCell ref="U35:V35"/>
    <mergeCell ref="W35:X35"/>
    <mergeCell ref="A29:B29"/>
    <mergeCell ref="U29:V29"/>
    <mergeCell ref="W29:X29"/>
    <mergeCell ref="A270:B270"/>
    <mergeCell ref="U270:V270"/>
    <mergeCell ref="W270:X270"/>
    <mergeCell ref="A32:B32"/>
    <mergeCell ref="U32:V32"/>
    <mergeCell ref="W32:X32"/>
    <mergeCell ref="A33:B33"/>
    <mergeCell ref="A40:B40"/>
    <mergeCell ref="U40:V40"/>
    <mergeCell ref="W40:X40"/>
    <mergeCell ref="A41:B41"/>
    <mergeCell ref="U41:V41"/>
    <mergeCell ref="W41:X41"/>
    <mergeCell ref="A38:B38"/>
    <mergeCell ref="U38:V38"/>
    <mergeCell ref="W38:X38"/>
    <mergeCell ref="A39:B39"/>
    <mergeCell ref="U39:V39"/>
    <mergeCell ref="W39:X39"/>
    <mergeCell ref="A44:B44"/>
    <mergeCell ref="U44:V44"/>
    <mergeCell ref="A27:B27"/>
    <mergeCell ref="U27:V27"/>
    <mergeCell ref="W27:X27"/>
    <mergeCell ref="A28:B28"/>
    <mergeCell ref="U28:V28"/>
    <mergeCell ref="W28:X28"/>
    <mergeCell ref="A25:B25"/>
    <mergeCell ref="U25:V25"/>
    <mergeCell ref="W25:X25"/>
    <mergeCell ref="A26:B26"/>
    <mergeCell ref="U26:V26"/>
    <mergeCell ref="W26:X26"/>
    <mergeCell ref="A23:B23"/>
    <mergeCell ref="U23:V23"/>
    <mergeCell ref="W23:X23"/>
    <mergeCell ref="A24:B24"/>
    <mergeCell ref="U24:V24"/>
    <mergeCell ref="W24:X24"/>
    <mergeCell ref="A21:B21"/>
    <mergeCell ref="U21:V21"/>
    <mergeCell ref="W21:X21"/>
    <mergeCell ref="A22:B22"/>
    <mergeCell ref="U22:V22"/>
    <mergeCell ref="W22:X22"/>
    <mergeCell ref="A19:B19"/>
    <mergeCell ref="U19:V19"/>
    <mergeCell ref="W19:X19"/>
    <mergeCell ref="A20:B20"/>
    <mergeCell ref="U20:V20"/>
    <mergeCell ref="W20:X20"/>
    <mergeCell ref="A17:B17"/>
    <mergeCell ref="U17:V17"/>
    <mergeCell ref="W17:X17"/>
    <mergeCell ref="A18:B18"/>
    <mergeCell ref="U18:V18"/>
    <mergeCell ref="W18:X18"/>
    <mergeCell ref="A15:B15"/>
    <mergeCell ref="U15:V15"/>
    <mergeCell ref="W15:X15"/>
    <mergeCell ref="A16:B16"/>
    <mergeCell ref="U16:V16"/>
    <mergeCell ref="W16:X16"/>
    <mergeCell ref="A13:B13"/>
    <mergeCell ref="U13:V13"/>
    <mergeCell ref="W13:X13"/>
    <mergeCell ref="A14:B14"/>
    <mergeCell ref="U14:V14"/>
    <mergeCell ref="W14:X14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W10:X10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D6:AE7"/>
    <mergeCell ref="AF6:AG7"/>
    <mergeCell ref="AH6:BA7"/>
    <mergeCell ref="BB6:BG7"/>
    <mergeCell ref="A252:B252"/>
    <mergeCell ref="U252:V252"/>
    <mergeCell ref="W252:X252"/>
    <mergeCell ref="A253:B253"/>
    <mergeCell ref="U253:V253"/>
    <mergeCell ref="W253:X253"/>
    <mergeCell ref="A254:B254"/>
    <mergeCell ref="U254:V254"/>
    <mergeCell ref="W254:X254"/>
    <mergeCell ref="A255:B255"/>
    <mergeCell ref="U255:V255"/>
    <mergeCell ref="W255:X255"/>
    <mergeCell ref="A256:B256"/>
    <mergeCell ref="U256:V256"/>
    <mergeCell ref="W256:X256"/>
    <mergeCell ref="A260:B260"/>
    <mergeCell ref="U260:V260"/>
    <mergeCell ref="W260:X260"/>
    <mergeCell ref="A261:B261"/>
    <mergeCell ref="U261:V261"/>
    <mergeCell ref="W261:X261"/>
    <mergeCell ref="A257:B257"/>
    <mergeCell ref="U257:V257"/>
    <mergeCell ref="W257:X257"/>
    <mergeCell ref="A258:B258"/>
    <mergeCell ref="U258:V258"/>
    <mergeCell ref="W258:X258"/>
    <mergeCell ref="A259:B259"/>
    <mergeCell ref="U259:V259"/>
    <mergeCell ref="W259:X259"/>
    <mergeCell ref="AD246:AE246"/>
    <mergeCell ref="AF246:AG246"/>
    <mergeCell ref="AD247:AE247"/>
    <mergeCell ref="AF247:AG247"/>
    <mergeCell ref="AD248:AE248"/>
    <mergeCell ref="AF248:AG248"/>
    <mergeCell ref="AD249:AE249"/>
    <mergeCell ref="AF249:AG249"/>
    <mergeCell ref="AD250:AE250"/>
    <mergeCell ref="AF250:AG250"/>
    <mergeCell ref="AD256:AE256"/>
    <mergeCell ref="AF256:AG256"/>
    <mergeCell ref="AD257:AE257"/>
    <mergeCell ref="AF257:AG257"/>
    <mergeCell ref="AD258:AE258"/>
    <mergeCell ref="AF258:AG258"/>
    <mergeCell ref="AD259:AE259"/>
    <mergeCell ref="AF259:AG259"/>
    <mergeCell ref="AD251:AE251"/>
    <mergeCell ref="AF251:AG251"/>
    <mergeCell ref="AD252:AE252"/>
    <mergeCell ref="AF252:AG252"/>
    <mergeCell ref="AD253:AE253"/>
    <mergeCell ref="AF253:AG253"/>
    <mergeCell ref="AD254:AE254"/>
    <mergeCell ref="AF254:AG254"/>
    <mergeCell ref="AD255:AE255"/>
    <mergeCell ref="AF255:AG25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BM89"/>
  <sheetViews>
    <sheetView topLeftCell="A7" zoomScale="85" zoomScaleNormal="85" workbookViewId="0">
      <selection activeCell="C25" sqref="C25:K25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109375" style="63" customWidth="1"/>
    <col min="31" max="33" width="2.6640625" style="63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23"/>
      <c r="B3" s="23"/>
      <c r="C3" s="55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67"/>
      <c r="AE3" s="67"/>
      <c r="AF3" s="67"/>
      <c r="AG3" s="67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1649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756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1291</v>
      </c>
      <c r="BL5" s="353" t="s">
        <v>757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1515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286" t="s">
        <v>16</v>
      </c>
      <c r="Z8" s="287"/>
      <c r="AA8" s="287"/>
      <c r="AB8" s="287"/>
      <c r="AC8" s="288"/>
      <c r="AD8" s="286">
        <v>100</v>
      </c>
      <c r="AE8" s="288"/>
      <c r="AF8" s="289">
        <v>0</v>
      </c>
      <c r="AG8" s="290"/>
      <c r="AH8" s="7" t="s">
        <v>1363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 t="s">
        <v>829</v>
      </c>
      <c r="BL8" s="52" t="s">
        <v>830</v>
      </c>
    </row>
    <row r="9" spans="1:64">
      <c r="A9" s="681">
        <v>2</v>
      </c>
      <c r="B9" s="682"/>
      <c r="C9" s="59" t="str">
        <f t="shared" ref="C9:C56" si="0">VLOOKUP(L9,$BK$7:$BL$89,2,FALSE)</f>
        <v>父节点ID</v>
      </c>
      <c r="D9" s="23"/>
      <c r="E9" s="23"/>
      <c r="F9" s="23"/>
      <c r="G9" s="23"/>
      <c r="H9" s="23"/>
      <c r="I9" s="23"/>
      <c r="J9" s="23"/>
      <c r="K9" s="41"/>
      <c r="L9" s="299" t="s">
        <v>275</v>
      </c>
      <c r="M9" s="23"/>
      <c r="N9" s="23"/>
      <c r="O9" s="23"/>
      <c r="P9" s="23"/>
      <c r="Q9" s="23"/>
      <c r="R9" s="23"/>
      <c r="S9" s="23"/>
      <c r="T9" s="23"/>
      <c r="U9" s="683"/>
      <c r="V9" s="682"/>
      <c r="W9" s="684"/>
      <c r="X9" s="685"/>
      <c r="Y9" s="291" t="s">
        <v>16</v>
      </c>
      <c r="Z9" s="292"/>
      <c r="AA9" s="292"/>
      <c r="AB9" s="292"/>
      <c r="AC9" s="293"/>
      <c r="AD9" s="291">
        <v>100</v>
      </c>
      <c r="AE9" s="293"/>
      <c r="AF9" s="282">
        <v>0</v>
      </c>
      <c r="AG9" s="283"/>
      <c r="AH9" s="9"/>
      <c r="AI9" s="4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41"/>
      <c r="BB9" s="23"/>
      <c r="BC9" s="23"/>
      <c r="BD9" s="23"/>
      <c r="BE9" s="23"/>
      <c r="BF9" s="23"/>
      <c r="BG9" s="43"/>
      <c r="BH9" s="36"/>
      <c r="BK9" s="120" t="s">
        <v>831</v>
      </c>
      <c r="BL9" s="52" t="s">
        <v>832</v>
      </c>
    </row>
    <row r="10" spans="1:64">
      <c r="A10" s="681">
        <v>3</v>
      </c>
      <c r="B10" s="682"/>
      <c r="C10" s="59" t="str">
        <f t="shared" si="0"/>
        <v>树节点编号</v>
      </c>
      <c r="D10" s="4"/>
      <c r="E10" s="4"/>
      <c r="F10" s="4"/>
      <c r="G10" s="4"/>
      <c r="H10" s="4"/>
      <c r="I10" s="4"/>
      <c r="J10" s="4"/>
      <c r="K10" s="10"/>
      <c r="L10" s="1" t="s">
        <v>276</v>
      </c>
      <c r="M10" s="4"/>
      <c r="N10" s="4"/>
      <c r="O10" s="4"/>
      <c r="P10" s="4"/>
      <c r="Q10" s="4"/>
      <c r="R10" s="4"/>
      <c r="S10" s="4"/>
      <c r="T10" s="4"/>
      <c r="U10" s="692"/>
      <c r="V10" s="693"/>
      <c r="W10" s="694"/>
      <c r="X10" s="695"/>
      <c r="Y10" s="291" t="s">
        <v>16</v>
      </c>
      <c r="Z10" s="292"/>
      <c r="AA10" s="292"/>
      <c r="AB10" s="292"/>
      <c r="AC10" s="293"/>
      <c r="AD10" s="291">
        <v>64</v>
      </c>
      <c r="AE10" s="293"/>
      <c r="AF10" s="282">
        <v>0</v>
      </c>
      <c r="AG10" s="283"/>
      <c r="AH10" s="9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10"/>
      <c r="BB10" s="23"/>
      <c r="BC10" s="23"/>
      <c r="BD10" s="23"/>
      <c r="BE10" s="23"/>
      <c r="BF10" s="23"/>
      <c r="BG10" s="43"/>
      <c r="BH10" s="36"/>
      <c r="BK10" s="120" t="s">
        <v>833</v>
      </c>
      <c r="BL10" s="52" t="s">
        <v>834</v>
      </c>
    </row>
    <row r="11" spans="1:64">
      <c r="A11" s="681">
        <v>4</v>
      </c>
      <c r="B11" s="682"/>
      <c r="C11" s="59" t="str">
        <f t="shared" si="0"/>
        <v>责任中心</v>
      </c>
      <c r="D11" s="4"/>
      <c r="E11" s="4"/>
      <c r="F11" s="4"/>
      <c r="G11" s="4"/>
      <c r="H11" s="4"/>
      <c r="I11" s="4"/>
      <c r="J11" s="4"/>
      <c r="K11" s="10"/>
      <c r="L11" s="1" t="s">
        <v>28</v>
      </c>
      <c r="M11" s="4"/>
      <c r="N11" s="4"/>
      <c r="O11" s="4"/>
      <c r="P11" s="4"/>
      <c r="Q11" s="4"/>
      <c r="R11" s="4"/>
      <c r="S11" s="4"/>
      <c r="T11" s="4"/>
      <c r="U11" s="692"/>
      <c r="V11" s="693"/>
      <c r="W11" s="694"/>
      <c r="X11" s="695"/>
      <c r="Y11" s="282" t="s">
        <v>16</v>
      </c>
      <c r="Z11" s="284"/>
      <c r="AA11" s="284"/>
      <c r="AB11" s="284"/>
      <c r="AC11" s="283"/>
      <c r="AD11" s="291">
        <v>100</v>
      </c>
      <c r="AE11" s="293"/>
      <c r="AF11" s="282">
        <v>0</v>
      </c>
      <c r="AG11" s="283"/>
      <c r="AH11" s="9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41"/>
      <c r="BB11" s="48"/>
      <c r="BC11" s="48"/>
      <c r="BD11" s="48"/>
      <c r="BE11" s="48"/>
      <c r="BF11" s="48"/>
      <c r="BG11" s="49"/>
      <c r="BK11" s="120" t="s">
        <v>835</v>
      </c>
      <c r="BL11" s="52" t="s">
        <v>836</v>
      </c>
    </row>
    <row r="12" spans="1:64">
      <c r="A12" s="681">
        <v>5</v>
      </c>
      <c r="B12" s="682"/>
      <c r="C12" s="386" t="s">
        <v>1514</v>
      </c>
      <c r="D12" s="390"/>
      <c r="E12" s="390"/>
      <c r="F12" s="390"/>
      <c r="G12" s="390"/>
      <c r="H12" s="390"/>
      <c r="I12" s="390"/>
      <c r="J12" s="390"/>
      <c r="K12" s="391"/>
      <c r="L12" s="1" t="s">
        <v>1364</v>
      </c>
      <c r="M12" s="4"/>
      <c r="N12" s="4"/>
      <c r="O12" s="4"/>
      <c r="P12" s="4"/>
      <c r="Q12" s="4"/>
      <c r="R12" s="4"/>
      <c r="S12" s="4"/>
      <c r="T12" s="4"/>
      <c r="U12" s="692"/>
      <c r="V12" s="693"/>
      <c r="W12" s="694"/>
      <c r="X12" s="695"/>
      <c r="Y12" s="282" t="s">
        <v>16</v>
      </c>
      <c r="Z12" s="284"/>
      <c r="AA12" s="284"/>
      <c r="AB12" s="284"/>
      <c r="AC12" s="283"/>
      <c r="AD12" s="291">
        <v>100</v>
      </c>
      <c r="AE12" s="293"/>
      <c r="AF12" s="282">
        <v>0</v>
      </c>
      <c r="AG12" s="283"/>
      <c r="AH12" s="9" t="s">
        <v>1513</v>
      </c>
      <c r="AI12" s="23"/>
      <c r="AJ12" s="23"/>
      <c r="AK12" s="23"/>
      <c r="AL12" s="23"/>
      <c r="AM12" s="23"/>
      <c r="AN12" s="23"/>
      <c r="AO12" s="331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41"/>
      <c r="BB12" s="23"/>
      <c r="BC12" s="23"/>
      <c r="BD12" s="23"/>
      <c r="BE12" s="23"/>
      <c r="BF12" s="23"/>
      <c r="BG12" s="43"/>
      <c r="BK12" s="120" t="s">
        <v>837</v>
      </c>
      <c r="BL12" s="52" t="s">
        <v>838</v>
      </c>
    </row>
    <row r="13" spans="1:64">
      <c r="A13" s="681">
        <v>6</v>
      </c>
      <c r="B13" s="682"/>
      <c r="C13" s="59" t="str">
        <f t="shared" si="0"/>
        <v>清单类型</v>
      </c>
      <c r="D13" s="4"/>
      <c r="E13" s="4"/>
      <c r="F13" s="4"/>
      <c r="G13" s="4"/>
      <c r="H13" s="4"/>
      <c r="I13" s="4"/>
      <c r="J13" s="4"/>
      <c r="K13" s="10"/>
      <c r="L13" s="1" t="s">
        <v>278</v>
      </c>
      <c r="M13" s="4"/>
      <c r="N13" s="4"/>
      <c r="O13" s="4"/>
      <c r="P13" s="4"/>
      <c r="Q13" s="4"/>
      <c r="R13" s="4"/>
      <c r="S13" s="4"/>
      <c r="T13" s="4"/>
      <c r="U13" s="692"/>
      <c r="V13" s="693"/>
      <c r="W13" s="694"/>
      <c r="X13" s="695"/>
      <c r="Y13" s="294" t="s">
        <v>303</v>
      </c>
      <c r="Z13" s="295"/>
      <c r="AA13" s="295"/>
      <c r="AB13" s="295"/>
      <c r="AC13" s="296"/>
      <c r="AD13" s="291">
        <v>0</v>
      </c>
      <c r="AE13" s="293"/>
      <c r="AF13" s="282">
        <v>0</v>
      </c>
      <c r="AG13" s="283"/>
      <c r="AH13" s="9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41"/>
      <c r="BB13" s="23"/>
      <c r="BC13" s="23"/>
      <c r="BD13" s="23"/>
      <c r="BE13" s="23"/>
      <c r="BF13" s="23"/>
      <c r="BG13" s="43"/>
      <c r="BK13" s="120" t="s">
        <v>839</v>
      </c>
      <c r="BL13" s="52" t="s">
        <v>840</v>
      </c>
    </row>
    <row r="14" spans="1:64">
      <c r="A14" s="681">
        <v>7</v>
      </c>
      <c r="B14" s="682"/>
      <c r="C14" s="59" t="str">
        <f t="shared" si="0"/>
        <v>清单编号</v>
      </c>
      <c r="D14" s="4"/>
      <c r="E14" s="4"/>
      <c r="F14" s="4"/>
      <c r="G14" s="4"/>
      <c r="H14" s="4"/>
      <c r="I14" s="4"/>
      <c r="J14" s="4"/>
      <c r="K14" s="10"/>
      <c r="L14" s="1" t="s">
        <v>279</v>
      </c>
      <c r="M14" s="4"/>
      <c r="N14" s="4"/>
      <c r="O14" s="4"/>
      <c r="P14" s="4"/>
      <c r="Q14" s="4"/>
      <c r="R14" s="4"/>
      <c r="S14" s="4"/>
      <c r="T14" s="4"/>
      <c r="U14" s="692"/>
      <c r="V14" s="693"/>
      <c r="W14" s="694"/>
      <c r="X14" s="695"/>
      <c r="Y14" s="282" t="s">
        <v>16</v>
      </c>
      <c r="Z14" s="284"/>
      <c r="AA14" s="284"/>
      <c r="AB14" s="284"/>
      <c r="AC14" s="283"/>
      <c r="AD14" s="291">
        <v>256</v>
      </c>
      <c r="AE14" s="293"/>
      <c r="AF14" s="282">
        <v>0</v>
      </c>
      <c r="AG14" s="283"/>
      <c r="AH14" s="9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41"/>
      <c r="BB14" s="23"/>
      <c r="BC14" s="23"/>
      <c r="BD14" s="23"/>
      <c r="BE14" s="23"/>
      <c r="BF14" s="23"/>
      <c r="BG14" s="43"/>
      <c r="BK14" s="120" t="s">
        <v>841</v>
      </c>
      <c r="BL14" s="52" t="s">
        <v>842</v>
      </c>
    </row>
    <row r="15" spans="1:64">
      <c r="A15" s="681">
        <v>8</v>
      </c>
      <c r="B15" s="682"/>
      <c r="C15" s="59" t="str">
        <f t="shared" si="0"/>
        <v>清单名称</v>
      </c>
      <c r="D15" s="4"/>
      <c r="E15" s="4"/>
      <c r="F15" s="4"/>
      <c r="G15" s="4"/>
      <c r="H15" s="4"/>
      <c r="I15" s="4"/>
      <c r="J15" s="4"/>
      <c r="K15" s="10"/>
      <c r="L15" s="1" t="s">
        <v>280</v>
      </c>
      <c r="M15" s="4"/>
      <c r="N15" s="4"/>
      <c r="O15" s="4"/>
      <c r="P15" s="4"/>
      <c r="Q15" s="4"/>
      <c r="R15" s="4"/>
      <c r="S15" s="4"/>
      <c r="T15" s="4"/>
      <c r="U15" s="692"/>
      <c r="V15" s="693"/>
      <c r="W15" s="694"/>
      <c r="X15" s="695"/>
      <c r="Y15" s="282" t="s">
        <v>16</v>
      </c>
      <c r="Z15" s="284"/>
      <c r="AA15" s="284"/>
      <c r="AB15" s="284"/>
      <c r="AC15" s="283"/>
      <c r="AD15" s="291">
        <v>256</v>
      </c>
      <c r="AE15" s="293"/>
      <c r="AF15" s="282">
        <v>0</v>
      </c>
      <c r="AG15" s="283"/>
      <c r="AH15" s="9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41"/>
      <c r="BB15" s="23"/>
      <c r="BC15" s="23"/>
      <c r="BD15" s="23"/>
      <c r="BE15" s="23"/>
      <c r="BF15" s="23"/>
      <c r="BG15" s="43"/>
      <c r="BK15" s="120" t="s">
        <v>843</v>
      </c>
      <c r="BL15" s="52" t="s">
        <v>844</v>
      </c>
    </row>
    <row r="16" spans="1:64">
      <c r="A16" s="681">
        <v>9</v>
      </c>
      <c r="B16" s="682"/>
      <c r="C16" s="59" t="str">
        <f t="shared" si="0"/>
        <v>计量单位</v>
      </c>
      <c r="D16" s="4"/>
      <c r="E16" s="4"/>
      <c r="F16" s="4"/>
      <c r="G16" s="4"/>
      <c r="H16" s="4"/>
      <c r="I16" s="4"/>
      <c r="J16" s="4"/>
      <c r="K16" s="10"/>
      <c r="L16" s="1" t="s">
        <v>281</v>
      </c>
      <c r="M16" s="4"/>
      <c r="N16" s="4"/>
      <c r="O16" s="4"/>
      <c r="P16" s="4"/>
      <c r="Q16" s="4"/>
      <c r="R16" s="4"/>
      <c r="S16" s="4"/>
      <c r="T16" s="4"/>
      <c r="U16" s="692"/>
      <c r="V16" s="693"/>
      <c r="W16" s="694"/>
      <c r="X16" s="695"/>
      <c r="Y16" s="282" t="s">
        <v>16</v>
      </c>
      <c r="Z16" s="284"/>
      <c r="AA16" s="284"/>
      <c r="AB16" s="284"/>
      <c r="AC16" s="283"/>
      <c r="AD16" s="291">
        <v>64</v>
      </c>
      <c r="AE16" s="293"/>
      <c r="AF16" s="282">
        <v>0</v>
      </c>
      <c r="AG16" s="283"/>
      <c r="AH16" s="9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41"/>
      <c r="BB16" s="23"/>
      <c r="BC16" s="23"/>
      <c r="BD16" s="23"/>
      <c r="BE16" s="23"/>
      <c r="BF16" s="23"/>
      <c r="BG16" s="43"/>
      <c r="BK16" s="120" t="s">
        <v>845</v>
      </c>
      <c r="BL16" s="52" t="s">
        <v>846</v>
      </c>
    </row>
    <row r="17" spans="1:65">
      <c r="A17" s="681">
        <v>10</v>
      </c>
      <c r="B17" s="682"/>
      <c r="C17" s="457" t="str">
        <f t="shared" si="0"/>
        <v>合同单价</v>
      </c>
      <c r="D17" s="460"/>
      <c r="E17" s="460"/>
      <c r="F17" s="460"/>
      <c r="G17" s="460"/>
      <c r="H17" s="460"/>
      <c r="I17" s="460"/>
      <c r="J17" s="460"/>
      <c r="K17" s="461"/>
      <c r="L17" s="509" t="s">
        <v>845</v>
      </c>
      <c r="M17" s="230"/>
      <c r="N17" s="230"/>
      <c r="O17" s="230"/>
      <c r="P17" s="230"/>
      <c r="Q17" s="230"/>
      <c r="R17" s="230"/>
      <c r="S17" s="230"/>
      <c r="T17" s="230"/>
      <c r="U17" s="683"/>
      <c r="V17" s="682"/>
      <c r="W17" s="684"/>
      <c r="X17" s="685"/>
      <c r="Y17" s="291" t="s">
        <v>1266</v>
      </c>
      <c r="Z17" s="284"/>
      <c r="AA17" s="284"/>
      <c r="AB17" s="284"/>
      <c r="AC17" s="283"/>
      <c r="AD17" s="282">
        <v>19</v>
      </c>
      <c r="AE17" s="283"/>
      <c r="AF17" s="282">
        <v>6</v>
      </c>
      <c r="AG17" s="283"/>
      <c r="AH17" s="349" t="s">
        <v>198</v>
      </c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41"/>
      <c r="BB17" s="23"/>
      <c r="BC17" s="23"/>
      <c r="BD17" s="23"/>
      <c r="BE17" s="23"/>
      <c r="BF17" s="23"/>
      <c r="BG17" s="43"/>
      <c r="BK17" s="120" t="s">
        <v>847</v>
      </c>
      <c r="BL17" s="52" t="s">
        <v>848</v>
      </c>
    </row>
    <row r="18" spans="1:65">
      <c r="A18" s="681">
        <v>11</v>
      </c>
      <c r="B18" s="682"/>
      <c r="C18" s="457" t="str">
        <f t="shared" si="0"/>
        <v>合同数量</v>
      </c>
      <c r="D18" s="460"/>
      <c r="E18" s="460"/>
      <c r="F18" s="460"/>
      <c r="G18" s="460"/>
      <c r="H18" s="460"/>
      <c r="I18" s="460"/>
      <c r="J18" s="460"/>
      <c r="K18" s="461"/>
      <c r="L18" s="509" t="s">
        <v>1711</v>
      </c>
      <c r="M18" s="230"/>
      <c r="N18" s="230"/>
      <c r="O18" s="230"/>
      <c r="P18" s="230"/>
      <c r="Q18" s="230"/>
      <c r="R18" s="230"/>
      <c r="S18" s="230"/>
      <c r="T18" s="230"/>
      <c r="U18" s="683"/>
      <c r="V18" s="682"/>
      <c r="W18" s="684"/>
      <c r="X18" s="685"/>
      <c r="Y18" s="291" t="s">
        <v>1269</v>
      </c>
      <c r="Z18" s="284"/>
      <c r="AA18" s="284"/>
      <c r="AB18" s="284"/>
      <c r="AC18" s="283"/>
      <c r="AD18" s="282">
        <v>19</v>
      </c>
      <c r="AE18" s="283"/>
      <c r="AF18" s="282">
        <v>6</v>
      </c>
      <c r="AG18" s="283"/>
      <c r="AH18" s="349" t="s">
        <v>198</v>
      </c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41"/>
      <c r="BB18" s="23"/>
      <c r="BC18" s="23"/>
      <c r="BD18" s="23"/>
      <c r="BE18" s="23"/>
      <c r="BF18" s="23"/>
      <c r="BG18" s="43"/>
      <c r="BK18" s="120" t="s">
        <v>849</v>
      </c>
      <c r="BL18" s="52" t="s">
        <v>850</v>
      </c>
      <c r="BM18" s="3" t="s">
        <v>1421</v>
      </c>
    </row>
    <row r="19" spans="1:65">
      <c r="A19" s="681">
        <v>12</v>
      </c>
      <c r="B19" s="682"/>
      <c r="C19" s="457" t="str">
        <f t="shared" si="0"/>
        <v>合同金额</v>
      </c>
      <c r="D19" s="460"/>
      <c r="E19" s="460"/>
      <c r="F19" s="460"/>
      <c r="G19" s="460"/>
      <c r="H19" s="460"/>
      <c r="I19" s="460"/>
      <c r="J19" s="460"/>
      <c r="K19" s="461"/>
      <c r="L19" s="509" t="s">
        <v>1712</v>
      </c>
      <c r="M19" s="230"/>
      <c r="N19" s="230"/>
      <c r="O19" s="230"/>
      <c r="P19" s="230"/>
      <c r="Q19" s="230"/>
      <c r="R19" s="230"/>
      <c r="S19" s="230"/>
      <c r="T19" s="230"/>
      <c r="U19" s="683"/>
      <c r="V19" s="682"/>
      <c r="W19" s="684"/>
      <c r="X19" s="685"/>
      <c r="Y19" s="291" t="s">
        <v>1294</v>
      </c>
      <c r="Z19" s="284"/>
      <c r="AA19" s="284"/>
      <c r="AB19" s="284"/>
      <c r="AC19" s="283"/>
      <c r="AD19" s="282">
        <v>19</v>
      </c>
      <c r="AE19" s="283"/>
      <c r="AF19" s="282">
        <v>6</v>
      </c>
      <c r="AG19" s="283"/>
      <c r="AH19" s="291" t="s">
        <v>1422</v>
      </c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41"/>
      <c r="BB19" s="23"/>
      <c r="BC19" s="23"/>
      <c r="BD19" s="23"/>
      <c r="BE19" s="23"/>
      <c r="BF19" s="23"/>
      <c r="BG19" s="43"/>
      <c r="BK19" s="120" t="s">
        <v>852</v>
      </c>
      <c r="BL19" s="52" t="s">
        <v>853</v>
      </c>
    </row>
    <row r="20" spans="1:65">
      <c r="A20" s="681">
        <v>13</v>
      </c>
      <c r="B20" s="682"/>
      <c r="C20" s="457" t="str">
        <f t="shared" si="0"/>
        <v>工程量</v>
      </c>
      <c r="D20" s="460"/>
      <c r="E20" s="460"/>
      <c r="F20" s="460"/>
      <c r="G20" s="460"/>
      <c r="H20" s="460"/>
      <c r="I20" s="460"/>
      <c r="J20" s="460"/>
      <c r="K20" s="461"/>
      <c r="L20" s="509" t="s">
        <v>852</v>
      </c>
      <c r="M20" s="230"/>
      <c r="N20" s="230"/>
      <c r="O20" s="230"/>
      <c r="P20" s="230"/>
      <c r="Q20" s="230"/>
      <c r="R20" s="230"/>
      <c r="S20" s="230"/>
      <c r="T20" s="230"/>
      <c r="U20" s="683"/>
      <c r="V20" s="682"/>
      <c r="W20" s="684"/>
      <c r="X20" s="685"/>
      <c r="Y20" s="291" t="s">
        <v>1266</v>
      </c>
      <c r="Z20" s="284"/>
      <c r="AA20" s="284"/>
      <c r="AB20" s="284"/>
      <c r="AC20" s="283"/>
      <c r="AD20" s="282">
        <v>19</v>
      </c>
      <c r="AE20" s="283"/>
      <c r="AF20" s="282">
        <v>6</v>
      </c>
      <c r="AG20" s="283"/>
      <c r="AH20" s="349" t="s">
        <v>198</v>
      </c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41"/>
      <c r="BB20" s="23"/>
      <c r="BC20" s="23"/>
      <c r="BD20" s="23"/>
      <c r="BE20" s="23"/>
      <c r="BF20" s="23"/>
      <c r="BG20" s="43"/>
      <c r="BK20" s="120" t="s">
        <v>854</v>
      </c>
      <c r="BL20" s="52" t="s">
        <v>855</v>
      </c>
    </row>
    <row r="21" spans="1:65">
      <c r="A21" s="681">
        <v>14</v>
      </c>
      <c r="B21" s="682"/>
      <c r="C21" s="457" t="str">
        <f t="shared" si="0"/>
        <v>计量单价(含税合同单价)</v>
      </c>
      <c r="D21" s="460"/>
      <c r="E21" s="460"/>
      <c r="F21" s="460"/>
      <c r="G21" s="460"/>
      <c r="H21" s="460"/>
      <c r="I21" s="460"/>
      <c r="J21" s="460"/>
      <c r="K21" s="461"/>
      <c r="L21" s="509" t="s">
        <v>854</v>
      </c>
      <c r="M21" s="230"/>
      <c r="N21" s="230"/>
      <c r="O21" s="230"/>
      <c r="P21" s="230"/>
      <c r="Q21" s="230"/>
      <c r="R21" s="230"/>
      <c r="S21" s="230"/>
      <c r="T21" s="230"/>
      <c r="U21" s="683"/>
      <c r="V21" s="682"/>
      <c r="W21" s="684"/>
      <c r="X21" s="685"/>
      <c r="Y21" s="291" t="s">
        <v>1262</v>
      </c>
      <c r="Z21" s="284"/>
      <c r="AA21" s="284"/>
      <c r="AB21" s="284"/>
      <c r="AC21" s="283"/>
      <c r="AD21" s="282">
        <v>19</v>
      </c>
      <c r="AE21" s="283"/>
      <c r="AF21" s="282">
        <v>6</v>
      </c>
      <c r="AG21" s="283"/>
      <c r="AH21" s="349" t="s">
        <v>198</v>
      </c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41"/>
      <c r="BB21" s="23"/>
      <c r="BC21" s="23"/>
      <c r="BD21" s="23"/>
      <c r="BE21" s="23"/>
      <c r="BF21" s="23"/>
      <c r="BG21" s="43"/>
      <c r="BK21" s="120" t="s">
        <v>856</v>
      </c>
      <c r="BL21" s="52" t="s">
        <v>857</v>
      </c>
    </row>
    <row r="22" spans="1:65">
      <c r="A22" s="681">
        <v>15</v>
      </c>
      <c r="B22" s="682"/>
      <c r="C22" s="414" t="str">
        <f t="shared" si="0"/>
        <v>备注</v>
      </c>
      <c r="D22" s="415"/>
      <c r="E22" s="415"/>
      <c r="F22" s="415"/>
      <c r="G22" s="415"/>
      <c r="H22" s="415"/>
      <c r="I22" s="415"/>
      <c r="J22" s="415"/>
      <c r="K22" s="416"/>
      <c r="L22" s="36" t="s">
        <v>29</v>
      </c>
      <c r="M22" s="23"/>
      <c r="N22" s="23"/>
      <c r="O22" s="23"/>
      <c r="P22" s="23"/>
      <c r="Q22" s="23"/>
      <c r="R22" s="23"/>
      <c r="S22" s="23"/>
      <c r="T22" s="23"/>
      <c r="U22" s="683"/>
      <c r="V22" s="682"/>
      <c r="W22" s="684"/>
      <c r="X22" s="685"/>
      <c r="Y22" s="282" t="s">
        <v>16</v>
      </c>
      <c r="Z22" s="284"/>
      <c r="AA22" s="284"/>
      <c r="AB22" s="284"/>
      <c r="AC22" s="283"/>
      <c r="AD22" s="282">
        <v>256</v>
      </c>
      <c r="AE22" s="283"/>
      <c r="AF22" s="282">
        <v>0</v>
      </c>
      <c r="AG22" s="283"/>
      <c r="AH22" s="42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41"/>
      <c r="BB22" s="23"/>
      <c r="BC22" s="23"/>
      <c r="BD22" s="23"/>
      <c r="BE22" s="23"/>
      <c r="BF22" s="23"/>
      <c r="BG22" s="43"/>
      <c r="BK22" s="120" t="s">
        <v>858</v>
      </c>
      <c r="BL22" s="52" t="s">
        <v>859</v>
      </c>
    </row>
    <row r="23" spans="1:65">
      <c r="A23" s="681">
        <v>16</v>
      </c>
      <c r="B23" s="682"/>
      <c r="C23" s="59" t="str">
        <f t="shared" si="0"/>
        <v>是否删除</v>
      </c>
      <c r="D23" s="23"/>
      <c r="E23" s="23"/>
      <c r="F23" s="23"/>
      <c r="G23" s="23"/>
      <c r="H23" s="23"/>
      <c r="I23" s="23"/>
      <c r="J23" s="23"/>
      <c r="K23" s="41"/>
      <c r="L23" s="36" t="s">
        <v>284</v>
      </c>
      <c r="M23" s="23"/>
      <c r="N23" s="23"/>
      <c r="O23" s="23"/>
      <c r="P23" s="23"/>
      <c r="Q23" s="23"/>
      <c r="R23" s="23"/>
      <c r="S23" s="23"/>
      <c r="T23" s="23"/>
      <c r="U23" s="683"/>
      <c r="V23" s="682"/>
      <c r="W23" s="684"/>
      <c r="X23" s="685"/>
      <c r="Y23" s="282" t="s">
        <v>303</v>
      </c>
      <c r="Z23" s="284"/>
      <c r="AA23" s="284"/>
      <c r="AB23" s="284"/>
      <c r="AC23" s="283"/>
      <c r="AD23" s="282">
        <v>0</v>
      </c>
      <c r="AE23" s="283"/>
      <c r="AF23" s="282">
        <v>0</v>
      </c>
      <c r="AG23" s="283"/>
      <c r="AH23" s="42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41"/>
      <c r="BB23" s="23"/>
      <c r="BC23" s="23"/>
      <c r="BD23" s="23"/>
      <c r="BE23" s="23"/>
      <c r="BF23" s="23"/>
      <c r="BG23" s="43"/>
      <c r="BK23" s="120" t="s">
        <v>860</v>
      </c>
      <c r="BL23" s="52" t="s">
        <v>861</v>
      </c>
    </row>
    <row r="24" spans="1:65">
      <c r="A24" s="681">
        <v>17</v>
      </c>
      <c r="B24" s="682"/>
      <c r="C24" s="59" t="str">
        <f t="shared" si="0"/>
        <v>是否叶子节点</v>
      </c>
      <c r="D24" s="23"/>
      <c r="E24" s="23"/>
      <c r="F24" s="23"/>
      <c r="G24" s="23"/>
      <c r="H24" s="23"/>
      <c r="I24" s="23"/>
      <c r="J24" s="23"/>
      <c r="K24" s="41"/>
      <c r="L24" s="36" t="s">
        <v>285</v>
      </c>
      <c r="M24" s="23"/>
      <c r="N24" s="23"/>
      <c r="O24" s="23"/>
      <c r="P24" s="23"/>
      <c r="Q24" s="23"/>
      <c r="R24" s="23"/>
      <c r="S24" s="23"/>
      <c r="T24" s="23"/>
      <c r="U24" s="683"/>
      <c r="V24" s="682"/>
      <c r="W24" s="684"/>
      <c r="X24" s="685"/>
      <c r="Y24" s="282" t="s">
        <v>303</v>
      </c>
      <c r="Z24" s="284"/>
      <c r="AA24" s="284"/>
      <c r="AB24" s="284"/>
      <c r="AC24" s="283"/>
      <c r="AD24" s="282">
        <v>0</v>
      </c>
      <c r="AE24" s="283"/>
      <c r="AF24" s="282">
        <v>0</v>
      </c>
      <c r="AG24" s="283"/>
      <c r="AH24" s="42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41"/>
      <c r="BB24" s="23"/>
      <c r="BC24" s="23"/>
      <c r="BD24" s="23"/>
      <c r="BE24" s="23"/>
      <c r="BF24" s="23"/>
      <c r="BG24" s="43"/>
      <c r="BK24" s="120" t="s">
        <v>1423</v>
      </c>
      <c r="BL24" s="52" t="s">
        <v>862</v>
      </c>
      <c r="BM24" s="3" t="s">
        <v>1424</v>
      </c>
    </row>
    <row r="25" spans="1:65">
      <c r="A25" s="681">
        <v>18</v>
      </c>
      <c r="B25" s="682"/>
      <c r="C25" s="457" t="str">
        <f t="shared" si="0"/>
        <v>变更状态</v>
      </c>
      <c r="D25" s="460"/>
      <c r="E25" s="460"/>
      <c r="F25" s="460"/>
      <c r="G25" s="460"/>
      <c r="H25" s="460"/>
      <c r="I25" s="460"/>
      <c r="J25" s="460"/>
      <c r="K25" s="461"/>
      <c r="L25" s="36" t="s">
        <v>286</v>
      </c>
      <c r="M25" s="23"/>
      <c r="N25" s="23"/>
      <c r="O25" s="23"/>
      <c r="P25" s="23"/>
      <c r="Q25" s="23"/>
      <c r="R25" s="23"/>
      <c r="S25" s="23"/>
      <c r="T25" s="23"/>
      <c r="U25" s="683"/>
      <c r="V25" s="682"/>
      <c r="W25" s="684"/>
      <c r="X25" s="685"/>
      <c r="Y25" s="282" t="s">
        <v>303</v>
      </c>
      <c r="Z25" s="284"/>
      <c r="AA25" s="284"/>
      <c r="AB25" s="284"/>
      <c r="AC25" s="283"/>
      <c r="AD25" s="282">
        <v>0</v>
      </c>
      <c r="AE25" s="283"/>
      <c r="AF25" s="282">
        <v>0</v>
      </c>
      <c r="AG25" s="283"/>
      <c r="AH25" s="330" t="s">
        <v>1425</v>
      </c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41"/>
      <c r="BB25" s="23"/>
      <c r="BC25" s="23"/>
      <c r="BD25" s="23"/>
      <c r="BE25" s="23"/>
      <c r="BF25" s="23"/>
      <c r="BG25" s="43"/>
      <c r="BK25" s="120" t="s">
        <v>1426</v>
      </c>
      <c r="BL25" s="52" t="s">
        <v>863</v>
      </c>
      <c r="BM25" s="3" t="s">
        <v>1427</v>
      </c>
    </row>
    <row r="26" spans="1:65">
      <c r="A26" s="681">
        <v>19</v>
      </c>
      <c r="B26" s="682"/>
      <c r="C26" s="59" t="str">
        <f t="shared" si="0"/>
        <v>是否可分配计量</v>
      </c>
      <c r="D26" s="23"/>
      <c r="E26" s="23"/>
      <c r="F26" s="23"/>
      <c r="G26" s="23"/>
      <c r="H26" s="23"/>
      <c r="I26" s="23"/>
      <c r="J26" s="23"/>
      <c r="K26" s="41"/>
      <c r="L26" s="36" t="s">
        <v>287</v>
      </c>
      <c r="M26" s="23"/>
      <c r="N26" s="23"/>
      <c r="O26" s="23"/>
      <c r="P26" s="23"/>
      <c r="Q26" s="23"/>
      <c r="R26" s="23"/>
      <c r="S26" s="23"/>
      <c r="T26" s="23"/>
      <c r="U26" s="683"/>
      <c r="V26" s="682"/>
      <c r="W26" s="684"/>
      <c r="X26" s="685"/>
      <c r="Y26" s="282" t="s">
        <v>303</v>
      </c>
      <c r="Z26" s="284"/>
      <c r="AA26" s="284"/>
      <c r="AB26" s="284"/>
      <c r="AC26" s="283"/>
      <c r="AD26" s="282">
        <v>0</v>
      </c>
      <c r="AE26" s="283"/>
      <c r="AF26" s="282">
        <v>0</v>
      </c>
      <c r="AG26" s="283"/>
      <c r="AH26" s="330" t="s">
        <v>1428</v>
      </c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41"/>
      <c r="BB26" s="23"/>
      <c r="BC26" s="23"/>
      <c r="BD26" s="23"/>
      <c r="BE26" s="23"/>
      <c r="BF26" s="23"/>
      <c r="BG26" s="43"/>
      <c r="BK26" s="120" t="s">
        <v>865</v>
      </c>
      <c r="BL26" s="52" t="s">
        <v>865</v>
      </c>
    </row>
    <row r="27" spans="1:65">
      <c r="A27" s="681">
        <v>20</v>
      </c>
      <c r="B27" s="682"/>
      <c r="C27" s="59" t="str">
        <f t="shared" si="0"/>
        <v>updateFlag</v>
      </c>
      <c r="D27" s="23"/>
      <c r="E27" s="23"/>
      <c r="F27" s="23"/>
      <c r="G27" s="23"/>
      <c r="H27" s="23"/>
      <c r="I27" s="23"/>
      <c r="J27" s="23"/>
      <c r="K27" s="41"/>
      <c r="L27" s="36" t="s">
        <v>288</v>
      </c>
      <c r="M27" s="23"/>
      <c r="N27" s="23"/>
      <c r="O27" s="23"/>
      <c r="P27" s="23"/>
      <c r="Q27" s="23"/>
      <c r="R27" s="23"/>
      <c r="S27" s="23"/>
      <c r="T27" s="23"/>
      <c r="U27" s="683"/>
      <c r="V27" s="682"/>
      <c r="W27" s="684"/>
      <c r="X27" s="685"/>
      <c r="Y27" s="282" t="s">
        <v>16</v>
      </c>
      <c r="Z27" s="284"/>
      <c r="AA27" s="284"/>
      <c r="AB27" s="284"/>
      <c r="AC27" s="283"/>
      <c r="AD27" s="282">
        <v>16</v>
      </c>
      <c r="AE27" s="283"/>
      <c r="AF27" s="282">
        <v>0</v>
      </c>
      <c r="AG27" s="283"/>
      <c r="AH27" s="42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41"/>
      <c r="BB27" s="23"/>
      <c r="BC27" s="23"/>
      <c r="BD27" s="23"/>
      <c r="BE27" s="23"/>
      <c r="BF27" s="23"/>
      <c r="BG27" s="43"/>
      <c r="BK27" s="120" t="s">
        <v>866</v>
      </c>
      <c r="BL27" s="52" t="s">
        <v>866</v>
      </c>
      <c r="BM27" s="3" t="s">
        <v>903</v>
      </c>
    </row>
    <row r="28" spans="1:65">
      <c r="A28" s="681">
        <v>21</v>
      </c>
      <c r="B28" s="682"/>
      <c r="C28" s="59" t="str">
        <f t="shared" si="0"/>
        <v>combProp</v>
      </c>
      <c r="D28" s="23"/>
      <c r="E28" s="23"/>
      <c r="F28" s="23"/>
      <c r="G28" s="23"/>
      <c r="H28" s="23"/>
      <c r="I28" s="23"/>
      <c r="J28" s="23"/>
      <c r="K28" s="41"/>
      <c r="L28" s="36" t="s">
        <v>41</v>
      </c>
      <c r="M28" s="23"/>
      <c r="N28" s="23"/>
      <c r="O28" s="23"/>
      <c r="P28" s="23"/>
      <c r="Q28" s="23"/>
      <c r="R28" s="23"/>
      <c r="S28" s="23"/>
      <c r="T28" s="23"/>
      <c r="U28" s="683"/>
      <c r="V28" s="682"/>
      <c r="W28" s="684"/>
      <c r="X28" s="685"/>
      <c r="Y28" s="282" t="s">
        <v>16</v>
      </c>
      <c r="Z28" s="284"/>
      <c r="AA28" s="284"/>
      <c r="AB28" s="284"/>
      <c r="AC28" s="283"/>
      <c r="AD28" s="282">
        <v>1024</v>
      </c>
      <c r="AE28" s="283"/>
      <c r="AF28" s="282">
        <v>0</v>
      </c>
      <c r="AG28" s="283"/>
      <c r="AH28" s="42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41"/>
      <c r="BB28" s="23"/>
      <c r="BC28" s="23"/>
      <c r="BD28" s="23"/>
      <c r="BE28" s="23"/>
      <c r="BF28" s="23"/>
      <c r="BG28" s="43"/>
      <c r="BK28" s="120" t="s">
        <v>867</v>
      </c>
      <c r="BL28" s="120" t="s">
        <v>867</v>
      </c>
    </row>
    <row r="29" spans="1:65">
      <c r="A29" s="681">
        <v>22</v>
      </c>
      <c r="B29" s="682"/>
      <c r="C29" s="59" t="str">
        <f t="shared" si="0"/>
        <v>pp1</v>
      </c>
      <c r="D29" s="23"/>
      <c r="E29" s="23"/>
      <c r="F29" s="23"/>
      <c r="G29" s="23"/>
      <c r="H29" s="23"/>
      <c r="I29" s="23"/>
      <c r="J29" s="23"/>
      <c r="K29" s="41"/>
      <c r="L29" s="1" t="s">
        <v>1480</v>
      </c>
      <c r="M29" s="23"/>
      <c r="N29" s="23"/>
      <c r="O29" s="23"/>
      <c r="P29" s="23"/>
      <c r="Q29" s="23"/>
      <c r="R29" s="23"/>
      <c r="S29" s="23"/>
      <c r="T29" s="23"/>
      <c r="U29" s="683"/>
      <c r="V29" s="682"/>
      <c r="W29" s="684"/>
      <c r="X29" s="685"/>
      <c r="Y29" s="282" t="s">
        <v>16</v>
      </c>
      <c r="Z29" s="284"/>
      <c r="AA29" s="284"/>
      <c r="AB29" s="284"/>
      <c r="AC29" s="283"/>
      <c r="AD29" s="282">
        <v>64</v>
      </c>
      <c r="AE29" s="283"/>
      <c r="AF29" s="282">
        <v>0</v>
      </c>
      <c r="AG29" s="283"/>
      <c r="AH29" s="42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41"/>
      <c r="BB29" s="23"/>
      <c r="BC29" s="23"/>
      <c r="BD29" s="23"/>
      <c r="BE29" s="23"/>
      <c r="BF29" s="23"/>
      <c r="BG29" s="43"/>
      <c r="BK29" s="120" t="s">
        <v>868</v>
      </c>
      <c r="BL29" s="120" t="s">
        <v>868</v>
      </c>
    </row>
    <row r="30" spans="1:65">
      <c r="A30" s="681">
        <v>23</v>
      </c>
      <c r="B30" s="682"/>
      <c r="C30" s="59" t="str">
        <f t="shared" si="0"/>
        <v>pp2</v>
      </c>
      <c r="D30" s="23"/>
      <c r="E30" s="23"/>
      <c r="F30" s="23"/>
      <c r="G30" s="23"/>
      <c r="H30" s="23"/>
      <c r="I30" s="23"/>
      <c r="J30" s="23"/>
      <c r="K30" s="41"/>
      <c r="L30" s="36" t="s">
        <v>67</v>
      </c>
      <c r="M30" s="23"/>
      <c r="N30" s="23"/>
      <c r="O30" s="23"/>
      <c r="P30" s="23"/>
      <c r="Q30" s="23"/>
      <c r="R30" s="23"/>
      <c r="S30" s="23"/>
      <c r="T30" s="23"/>
      <c r="U30" s="683"/>
      <c r="V30" s="682"/>
      <c r="W30" s="684"/>
      <c r="X30" s="685"/>
      <c r="Y30" s="282" t="s">
        <v>16</v>
      </c>
      <c r="Z30" s="284"/>
      <c r="AA30" s="284"/>
      <c r="AB30" s="284"/>
      <c r="AC30" s="283"/>
      <c r="AD30" s="282">
        <v>64</v>
      </c>
      <c r="AE30" s="283"/>
      <c r="AF30" s="282">
        <v>0</v>
      </c>
      <c r="AG30" s="283"/>
      <c r="AH30" s="42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41"/>
      <c r="BB30" s="23"/>
      <c r="BC30" s="23"/>
      <c r="BD30" s="23"/>
      <c r="BE30" s="23"/>
      <c r="BF30" s="23"/>
      <c r="BG30" s="43"/>
      <c r="BK30" s="120" t="s">
        <v>869</v>
      </c>
      <c r="BL30" s="120" t="s">
        <v>869</v>
      </c>
    </row>
    <row r="31" spans="1:65">
      <c r="A31" s="681">
        <v>24</v>
      </c>
      <c r="B31" s="682"/>
      <c r="C31" s="59" t="str">
        <f t="shared" si="0"/>
        <v>pp3</v>
      </c>
      <c r="D31" s="23"/>
      <c r="E31" s="23"/>
      <c r="F31" s="23"/>
      <c r="G31" s="23"/>
      <c r="H31" s="23"/>
      <c r="I31" s="23"/>
      <c r="J31" s="23"/>
      <c r="K31" s="41"/>
      <c r="L31" s="36" t="s">
        <v>68</v>
      </c>
      <c r="M31" s="23"/>
      <c r="N31" s="23"/>
      <c r="O31" s="23"/>
      <c r="P31" s="23"/>
      <c r="Q31" s="23"/>
      <c r="R31" s="23"/>
      <c r="S31" s="23"/>
      <c r="T31" s="23"/>
      <c r="U31" s="683"/>
      <c r="V31" s="682"/>
      <c r="W31" s="684"/>
      <c r="X31" s="685"/>
      <c r="Y31" s="282" t="s">
        <v>16</v>
      </c>
      <c r="Z31" s="284"/>
      <c r="AA31" s="284"/>
      <c r="AB31" s="284"/>
      <c r="AC31" s="283"/>
      <c r="AD31" s="282">
        <v>64</v>
      </c>
      <c r="AE31" s="283"/>
      <c r="AF31" s="282">
        <v>0</v>
      </c>
      <c r="AG31" s="283"/>
      <c r="AH31" s="42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41"/>
      <c r="BB31" s="23"/>
      <c r="BC31" s="23"/>
      <c r="BD31" s="23"/>
      <c r="BE31" s="23"/>
      <c r="BF31" s="23"/>
      <c r="BG31" s="43"/>
      <c r="BK31" s="120" t="s">
        <v>870</v>
      </c>
      <c r="BL31" s="120" t="s">
        <v>870</v>
      </c>
    </row>
    <row r="32" spans="1:65">
      <c r="A32" s="681">
        <v>25</v>
      </c>
      <c r="B32" s="682"/>
      <c r="C32" s="59" t="str">
        <f t="shared" si="0"/>
        <v>pp4</v>
      </c>
      <c r="D32" s="23"/>
      <c r="E32" s="23"/>
      <c r="F32" s="23"/>
      <c r="G32" s="23"/>
      <c r="H32" s="23"/>
      <c r="I32" s="23"/>
      <c r="J32" s="23"/>
      <c r="K32" s="41"/>
      <c r="L32" s="36" t="s">
        <v>44</v>
      </c>
      <c r="M32" s="23"/>
      <c r="N32" s="23"/>
      <c r="O32" s="23"/>
      <c r="P32" s="23"/>
      <c r="Q32" s="23"/>
      <c r="R32" s="23"/>
      <c r="S32" s="23"/>
      <c r="T32" s="23"/>
      <c r="U32" s="683"/>
      <c r="V32" s="682"/>
      <c r="W32" s="684"/>
      <c r="X32" s="685"/>
      <c r="Y32" s="282" t="s">
        <v>16</v>
      </c>
      <c r="Z32" s="284"/>
      <c r="AA32" s="284"/>
      <c r="AB32" s="284"/>
      <c r="AC32" s="283"/>
      <c r="AD32" s="282">
        <v>64</v>
      </c>
      <c r="AE32" s="283"/>
      <c r="AF32" s="282">
        <v>0</v>
      </c>
      <c r="AG32" s="283"/>
      <c r="AH32" s="42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41"/>
      <c r="BB32" s="23"/>
      <c r="BC32" s="23"/>
      <c r="BD32" s="23"/>
      <c r="BE32" s="23"/>
      <c r="BF32" s="23"/>
      <c r="BG32" s="43"/>
      <c r="BK32" s="101" t="s">
        <v>45</v>
      </c>
      <c r="BL32" s="101" t="s">
        <v>45</v>
      </c>
    </row>
    <row r="33" spans="1:65">
      <c r="A33" s="681">
        <v>26</v>
      </c>
      <c r="B33" s="682"/>
      <c r="C33" s="59" t="str">
        <f t="shared" si="0"/>
        <v>pp5</v>
      </c>
      <c r="D33" s="23"/>
      <c r="E33" s="23"/>
      <c r="F33" s="23"/>
      <c r="G33" s="23"/>
      <c r="H33" s="23"/>
      <c r="I33" s="23"/>
      <c r="J33" s="23"/>
      <c r="K33" s="41"/>
      <c r="L33" s="36" t="s">
        <v>45</v>
      </c>
      <c r="M33" s="23"/>
      <c r="N33" s="23"/>
      <c r="O33" s="23"/>
      <c r="P33" s="23"/>
      <c r="Q33" s="23"/>
      <c r="R33" s="23"/>
      <c r="S33" s="23"/>
      <c r="T33" s="23"/>
      <c r="U33" s="683"/>
      <c r="V33" s="682"/>
      <c r="W33" s="684"/>
      <c r="X33" s="685"/>
      <c r="Y33" s="282" t="s">
        <v>16</v>
      </c>
      <c r="Z33" s="284"/>
      <c r="AA33" s="284"/>
      <c r="AB33" s="284"/>
      <c r="AC33" s="283"/>
      <c r="AD33" s="282">
        <v>64</v>
      </c>
      <c r="AE33" s="283"/>
      <c r="AF33" s="282">
        <v>0</v>
      </c>
      <c r="AG33" s="283"/>
      <c r="AH33" s="42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41"/>
      <c r="BB33" s="23"/>
      <c r="BC33" s="23"/>
      <c r="BD33" s="23"/>
      <c r="BE33" s="23"/>
      <c r="BF33" s="23"/>
      <c r="BG33" s="43"/>
      <c r="BK33" s="101" t="s">
        <v>38</v>
      </c>
      <c r="BL33" s="101" t="s">
        <v>38</v>
      </c>
    </row>
    <row r="34" spans="1:65">
      <c r="A34" s="681">
        <v>27</v>
      </c>
      <c r="B34" s="682"/>
      <c r="C34" s="59" t="str">
        <f t="shared" si="0"/>
        <v>pp6</v>
      </c>
      <c r="D34" s="23"/>
      <c r="E34" s="23"/>
      <c r="F34" s="23"/>
      <c r="G34" s="23"/>
      <c r="H34" s="23"/>
      <c r="I34" s="23"/>
      <c r="J34" s="23"/>
      <c r="K34" s="41"/>
      <c r="L34" s="36" t="s">
        <v>38</v>
      </c>
      <c r="M34" s="23"/>
      <c r="N34" s="23"/>
      <c r="O34" s="23"/>
      <c r="P34" s="23"/>
      <c r="Q34" s="23"/>
      <c r="R34" s="23"/>
      <c r="S34" s="23"/>
      <c r="T34" s="23"/>
      <c r="U34" s="683"/>
      <c r="V34" s="682"/>
      <c r="W34" s="684"/>
      <c r="X34" s="685"/>
      <c r="Y34" s="282" t="s">
        <v>16</v>
      </c>
      <c r="Z34" s="284"/>
      <c r="AA34" s="284"/>
      <c r="AB34" s="284"/>
      <c r="AC34" s="283"/>
      <c r="AD34" s="282">
        <v>256</v>
      </c>
      <c r="AE34" s="283"/>
      <c r="AF34" s="282">
        <v>0</v>
      </c>
      <c r="AG34" s="283"/>
      <c r="AH34" s="42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41"/>
      <c r="BB34" s="23"/>
      <c r="BC34" s="23"/>
      <c r="BD34" s="23"/>
      <c r="BE34" s="23"/>
      <c r="BF34" s="23"/>
      <c r="BG34" s="43"/>
      <c r="BK34" s="101" t="s">
        <v>34</v>
      </c>
      <c r="BL34" s="101" t="s">
        <v>34</v>
      </c>
    </row>
    <row r="35" spans="1:65">
      <c r="A35" s="681">
        <v>28</v>
      </c>
      <c r="B35" s="682"/>
      <c r="C35" s="59" t="str">
        <f t="shared" si="0"/>
        <v>pp7</v>
      </c>
      <c r="D35" s="23"/>
      <c r="E35" s="23"/>
      <c r="F35" s="23"/>
      <c r="G35" s="23"/>
      <c r="H35" s="23"/>
      <c r="I35" s="23"/>
      <c r="J35" s="23"/>
      <c r="K35" s="41"/>
      <c r="L35" s="36" t="s">
        <v>34</v>
      </c>
      <c r="M35" s="23"/>
      <c r="N35" s="23"/>
      <c r="O35" s="23"/>
      <c r="P35" s="23"/>
      <c r="Q35" s="23"/>
      <c r="R35" s="23"/>
      <c r="S35" s="23"/>
      <c r="T35" s="23"/>
      <c r="U35" s="683"/>
      <c r="V35" s="682"/>
      <c r="W35" s="684"/>
      <c r="X35" s="685"/>
      <c r="Y35" s="282" t="s">
        <v>16</v>
      </c>
      <c r="Z35" s="284"/>
      <c r="AA35" s="284"/>
      <c r="AB35" s="284"/>
      <c r="AC35" s="283"/>
      <c r="AD35" s="282">
        <v>256</v>
      </c>
      <c r="AE35" s="283"/>
      <c r="AF35" s="282">
        <v>0</v>
      </c>
      <c r="AG35" s="283"/>
      <c r="AH35" s="42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41"/>
      <c r="BB35" s="23"/>
      <c r="BC35" s="23"/>
      <c r="BD35" s="23"/>
      <c r="BE35" s="23"/>
      <c r="BF35" s="23"/>
      <c r="BG35" s="43"/>
      <c r="BK35" s="101" t="s">
        <v>37</v>
      </c>
      <c r="BL35" s="101" t="s">
        <v>37</v>
      </c>
    </row>
    <row r="36" spans="1:65">
      <c r="A36" s="681">
        <v>29</v>
      </c>
      <c r="B36" s="682"/>
      <c r="C36" s="59" t="str">
        <f t="shared" si="0"/>
        <v>pp8</v>
      </c>
      <c r="D36" s="23"/>
      <c r="E36" s="23"/>
      <c r="F36" s="23"/>
      <c r="G36" s="23"/>
      <c r="H36" s="23"/>
      <c r="I36" s="23"/>
      <c r="J36" s="23"/>
      <c r="K36" s="41"/>
      <c r="L36" s="36" t="s">
        <v>37</v>
      </c>
      <c r="M36" s="23"/>
      <c r="N36" s="23"/>
      <c r="O36" s="23"/>
      <c r="P36" s="23"/>
      <c r="Q36" s="23"/>
      <c r="R36" s="23"/>
      <c r="S36" s="23"/>
      <c r="T36" s="23"/>
      <c r="U36" s="683"/>
      <c r="V36" s="682"/>
      <c r="W36" s="684"/>
      <c r="X36" s="685"/>
      <c r="Y36" s="282" t="s">
        <v>16</v>
      </c>
      <c r="Z36" s="284"/>
      <c r="AA36" s="284"/>
      <c r="AB36" s="284"/>
      <c r="AC36" s="283"/>
      <c r="AD36" s="282">
        <v>256</v>
      </c>
      <c r="AE36" s="283"/>
      <c r="AF36" s="282">
        <v>0</v>
      </c>
      <c r="AG36" s="283"/>
      <c r="AH36" s="42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41"/>
      <c r="BB36" s="23"/>
      <c r="BC36" s="23"/>
      <c r="BD36" s="23"/>
      <c r="BE36" s="23"/>
      <c r="BF36" s="23"/>
      <c r="BG36" s="43"/>
      <c r="BK36" s="101" t="s">
        <v>69</v>
      </c>
      <c r="BL36" s="101" t="s">
        <v>69</v>
      </c>
    </row>
    <row r="37" spans="1:65">
      <c r="A37" s="681">
        <v>30</v>
      </c>
      <c r="B37" s="682"/>
      <c r="C37" s="59" t="str">
        <f t="shared" si="0"/>
        <v>pp9</v>
      </c>
      <c r="D37" s="23"/>
      <c r="E37" s="23"/>
      <c r="F37" s="23"/>
      <c r="G37" s="23"/>
      <c r="H37" s="23"/>
      <c r="I37" s="23"/>
      <c r="J37" s="23"/>
      <c r="K37" s="41"/>
      <c r="L37" s="36" t="s">
        <v>69</v>
      </c>
      <c r="M37" s="23"/>
      <c r="N37" s="23"/>
      <c r="O37" s="23"/>
      <c r="P37" s="23"/>
      <c r="Q37" s="23"/>
      <c r="R37" s="23"/>
      <c r="S37" s="23"/>
      <c r="T37" s="23"/>
      <c r="U37" s="683"/>
      <c r="V37" s="682"/>
      <c r="W37" s="684"/>
      <c r="X37" s="685"/>
      <c r="Y37" s="282" t="s">
        <v>16</v>
      </c>
      <c r="Z37" s="284"/>
      <c r="AA37" s="284"/>
      <c r="AB37" s="284"/>
      <c r="AC37" s="283"/>
      <c r="AD37" s="282">
        <v>256</v>
      </c>
      <c r="AE37" s="283"/>
      <c r="AF37" s="282">
        <v>0</v>
      </c>
      <c r="AG37" s="283"/>
      <c r="AH37" s="42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41"/>
      <c r="BB37" s="23"/>
      <c r="BC37" s="23"/>
      <c r="BD37" s="23"/>
      <c r="BE37" s="23"/>
      <c r="BF37" s="23"/>
      <c r="BG37" s="43"/>
      <c r="BK37" s="101" t="s">
        <v>70</v>
      </c>
      <c r="BL37" s="101" t="s">
        <v>70</v>
      </c>
    </row>
    <row r="38" spans="1:65">
      <c r="A38" s="681">
        <v>31</v>
      </c>
      <c r="B38" s="682"/>
      <c r="C38" s="59" t="str">
        <f t="shared" si="0"/>
        <v>pp10</v>
      </c>
      <c r="D38" s="23"/>
      <c r="E38" s="23"/>
      <c r="F38" s="23"/>
      <c r="G38" s="23"/>
      <c r="H38" s="23"/>
      <c r="I38" s="23"/>
      <c r="J38" s="23"/>
      <c r="K38" s="41"/>
      <c r="L38" s="36" t="s">
        <v>70</v>
      </c>
      <c r="M38" s="23"/>
      <c r="N38" s="23"/>
      <c r="O38" s="23"/>
      <c r="P38" s="23"/>
      <c r="Q38" s="23"/>
      <c r="R38" s="23"/>
      <c r="S38" s="23"/>
      <c r="T38" s="23"/>
      <c r="U38" s="683"/>
      <c r="V38" s="682"/>
      <c r="W38" s="684"/>
      <c r="X38" s="685"/>
      <c r="Y38" s="282" t="s">
        <v>16</v>
      </c>
      <c r="Z38" s="284"/>
      <c r="AA38" s="284"/>
      <c r="AB38" s="284"/>
      <c r="AC38" s="283"/>
      <c r="AD38" s="282">
        <v>256</v>
      </c>
      <c r="AE38" s="283"/>
      <c r="AF38" s="282">
        <v>0</v>
      </c>
      <c r="AG38" s="283"/>
      <c r="AH38" s="42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41"/>
      <c r="BB38" s="23"/>
      <c r="BC38" s="23"/>
      <c r="BD38" s="23"/>
      <c r="BE38" s="23"/>
      <c r="BF38" s="23"/>
      <c r="BG38" s="43"/>
      <c r="BK38" s="120" t="s">
        <v>904</v>
      </c>
      <c r="BL38" s="52" t="s">
        <v>905</v>
      </c>
    </row>
    <row r="39" spans="1:65">
      <c r="A39" s="681">
        <v>32</v>
      </c>
      <c r="B39" s="682"/>
      <c r="C39" s="59" t="str">
        <f t="shared" si="0"/>
        <v>最后编辑时间</v>
      </c>
      <c r="D39" s="23"/>
      <c r="E39" s="23"/>
      <c r="F39" s="23"/>
      <c r="G39" s="23"/>
      <c r="H39" s="23"/>
      <c r="I39" s="23"/>
      <c r="J39" s="23"/>
      <c r="K39" s="41"/>
      <c r="L39" s="36" t="s">
        <v>30</v>
      </c>
      <c r="M39" s="23"/>
      <c r="N39" s="23"/>
      <c r="O39" s="23"/>
      <c r="P39" s="23"/>
      <c r="Q39" s="23"/>
      <c r="R39" s="23"/>
      <c r="S39" s="23"/>
      <c r="T39" s="23"/>
      <c r="U39" s="683"/>
      <c r="V39" s="682"/>
      <c r="W39" s="684"/>
      <c r="X39" s="685"/>
      <c r="Y39" s="282" t="s">
        <v>17</v>
      </c>
      <c r="Z39" s="284"/>
      <c r="AA39" s="284"/>
      <c r="AB39" s="284"/>
      <c r="AC39" s="283"/>
      <c r="AD39" s="282"/>
      <c r="AE39" s="283"/>
      <c r="AF39" s="282"/>
      <c r="AG39" s="283"/>
      <c r="AH39" s="330" t="s">
        <v>1298</v>
      </c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41"/>
      <c r="BB39" s="23"/>
      <c r="BC39" s="23"/>
      <c r="BD39" s="23"/>
      <c r="BE39" s="23"/>
      <c r="BF39" s="23"/>
      <c r="BG39" s="43"/>
      <c r="BK39" s="120" t="s">
        <v>871</v>
      </c>
      <c r="BL39" s="52" t="s">
        <v>872</v>
      </c>
    </row>
    <row r="40" spans="1:65">
      <c r="A40" s="681">
        <v>33</v>
      </c>
      <c r="B40" s="682"/>
      <c r="C40" s="59" t="str">
        <f t="shared" si="0"/>
        <v>核定数量</v>
      </c>
      <c r="D40" s="23"/>
      <c r="E40" s="23"/>
      <c r="F40" s="23"/>
      <c r="G40" s="23"/>
      <c r="H40" s="23"/>
      <c r="I40" s="23"/>
      <c r="J40" s="23"/>
      <c r="K40" s="41"/>
      <c r="L40" s="456" t="s">
        <v>289</v>
      </c>
      <c r="M40" s="230"/>
      <c r="N40" s="230"/>
      <c r="O40" s="230"/>
      <c r="P40" s="230"/>
      <c r="Q40" s="230"/>
      <c r="R40" s="230"/>
      <c r="S40" s="230"/>
      <c r="T40" s="230"/>
      <c r="U40" s="683"/>
      <c r="V40" s="682"/>
      <c r="W40" s="684"/>
      <c r="X40" s="685"/>
      <c r="Y40" s="291" t="s">
        <v>1266</v>
      </c>
      <c r="Z40" s="284"/>
      <c r="AA40" s="284"/>
      <c r="AB40" s="284"/>
      <c r="AC40" s="283"/>
      <c r="AD40" s="282">
        <v>19</v>
      </c>
      <c r="AE40" s="283"/>
      <c r="AF40" s="282">
        <v>6</v>
      </c>
      <c r="AG40" s="283"/>
      <c r="AH40" s="330" t="s">
        <v>1263</v>
      </c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41"/>
      <c r="BB40" s="23"/>
      <c r="BC40" s="23"/>
      <c r="BD40" s="23"/>
      <c r="BE40" s="23"/>
      <c r="BF40" s="23"/>
      <c r="BG40" s="43"/>
      <c r="BK40" s="120" t="s">
        <v>873</v>
      </c>
      <c r="BL40" s="52" t="s">
        <v>874</v>
      </c>
    </row>
    <row r="41" spans="1:65">
      <c r="A41" s="681">
        <v>34</v>
      </c>
      <c r="B41" s="682"/>
      <c r="C41" s="59" t="str">
        <f t="shared" si="0"/>
        <v>预计变更后数量</v>
      </c>
      <c r="D41" s="23"/>
      <c r="E41" s="23"/>
      <c r="F41" s="23"/>
      <c r="G41" s="23"/>
      <c r="H41" s="23"/>
      <c r="I41" s="23"/>
      <c r="J41" s="23"/>
      <c r="K41" s="41"/>
      <c r="L41" s="456" t="s">
        <v>290</v>
      </c>
      <c r="M41" s="230"/>
      <c r="N41" s="230"/>
      <c r="O41" s="230"/>
      <c r="P41" s="230"/>
      <c r="Q41" s="230"/>
      <c r="R41" s="230"/>
      <c r="S41" s="230"/>
      <c r="T41" s="230"/>
      <c r="U41" s="683"/>
      <c r="V41" s="682"/>
      <c r="W41" s="684"/>
      <c r="X41" s="685"/>
      <c r="Y41" s="291" t="s">
        <v>1270</v>
      </c>
      <c r="Z41" s="284"/>
      <c r="AA41" s="284"/>
      <c r="AB41" s="284"/>
      <c r="AC41" s="283"/>
      <c r="AD41" s="282">
        <v>19</v>
      </c>
      <c r="AE41" s="283"/>
      <c r="AF41" s="282">
        <v>6</v>
      </c>
      <c r="AG41" s="283"/>
      <c r="AH41" s="330" t="s">
        <v>1278</v>
      </c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41"/>
      <c r="BB41" s="23"/>
      <c r="BC41" s="23"/>
      <c r="BD41" s="23"/>
      <c r="BE41" s="23"/>
      <c r="BF41" s="23"/>
      <c r="BG41" s="43"/>
      <c r="BK41" s="120" t="s">
        <v>876</v>
      </c>
      <c r="BL41" s="52" t="s">
        <v>875</v>
      </c>
    </row>
    <row r="42" spans="1:65">
      <c r="A42" s="681">
        <v>35</v>
      </c>
      <c r="B42" s="682"/>
      <c r="C42" s="59" t="str">
        <f t="shared" si="0"/>
        <v>预计变更后单价</v>
      </c>
      <c r="D42" s="23"/>
      <c r="E42" s="23"/>
      <c r="F42" s="23"/>
      <c r="G42" s="23"/>
      <c r="H42" s="23"/>
      <c r="I42" s="23"/>
      <c r="J42" s="23"/>
      <c r="K42" s="41"/>
      <c r="L42" s="456" t="s">
        <v>291</v>
      </c>
      <c r="M42" s="230"/>
      <c r="N42" s="230"/>
      <c r="O42" s="230"/>
      <c r="P42" s="230"/>
      <c r="Q42" s="230"/>
      <c r="R42" s="230"/>
      <c r="S42" s="230"/>
      <c r="T42" s="230"/>
      <c r="U42" s="683"/>
      <c r="V42" s="682"/>
      <c r="W42" s="684"/>
      <c r="X42" s="685"/>
      <c r="Y42" s="291" t="s">
        <v>1266</v>
      </c>
      <c r="Z42" s="284"/>
      <c r="AA42" s="284"/>
      <c r="AB42" s="284"/>
      <c r="AC42" s="283"/>
      <c r="AD42" s="282">
        <v>19</v>
      </c>
      <c r="AE42" s="283"/>
      <c r="AF42" s="282">
        <v>6</v>
      </c>
      <c r="AG42" s="283"/>
      <c r="AH42" s="330" t="s">
        <v>1263</v>
      </c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41"/>
      <c r="BB42" s="23"/>
      <c r="BC42" s="23"/>
      <c r="BD42" s="23"/>
      <c r="BE42" s="23"/>
      <c r="BF42" s="23"/>
      <c r="BG42" s="43"/>
      <c r="BK42" s="120" t="s">
        <v>1429</v>
      </c>
      <c r="BL42" s="52" t="s">
        <v>877</v>
      </c>
      <c r="BM42" s="3" t="s">
        <v>878</v>
      </c>
    </row>
    <row r="43" spans="1:65">
      <c r="A43" s="681">
        <v>36</v>
      </c>
      <c r="B43" s="682"/>
      <c r="C43" s="59" t="str">
        <f t="shared" si="0"/>
        <v>清单类型</v>
      </c>
      <c r="D43" s="23"/>
      <c r="E43" s="23"/>
      <c r="F43" s="23"/>
      <c r="G43" s="23"/>
      <c r="H43" s="23"/>
      <c r="I43" s="23"/>
      <c r="J43" s="23"/>
      <c r="K43" s="41"/>
      <c r="L43" s="36" t="s">
        <v>292</v>
      </c>
      <c r="M43" s="23"/>
      <c r="N43" s="23"/>
      <c r="O43" s="23"/>
      <c r="P43" s="23"/>
      <c r="Q43" s="23"/>
      <c r="R43" s="23"/>
      <c r="S43" s="23"/>
      <c r="T43" s="23"/>
      <c r="U43" s="683"/>
      <c r="V43" s="682"/>
      <c r="W43" s="684"/>
      <c r="X43" s="685"/>
      <c r="Y43" s="282" t="s">
        <v>16</v>
      </c>
      <c r="Z43" s="284"/>
      <c r="AA43" s="284"/>
      <c r="AB43" s="284"/>
      <c r="AC43" s="283"/>
      <c r="AD43" s="282">
        <v>16</v>
      </c>
      <c r="AE43" s="283"/>
      <c r="AF43" s="282">
        <v>0</v>
      </c>
      <c r="AG43" s="283"/>
      <c r="AH43" s="330" t="s">
        <v>1706</v>
      </c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41"/>
      <c r="BB43" s="23"/>
      <c r="BC43" s="23"/>
      <c r="BD43" s="23"/>
      <c r="BE43" s="23"/>
      <c r="BF43" s="23"/>
      <c r="BG43" s="43"/>
      <c r="BK43" s="120" t="s">
        <v>879</v>
      </c>
      <c r="BL43" s="52" t="s">
        <v>880</v>
      </c>
    </row>
    <row r="44" spans="1:65">
      <c r="A44" s="681">
        <v>37</v>
      </c>
      <c r="B44" s="682"/>
      <c r="C44" s="59" t="str">
        <f t="shared" si="0"/>
        <v>用于判断是否要重算预算单价</v>
      </c>
      <c r="D44" s="23"/>
      <c r="E44" s="23"/>
      <c r="F44" s="23"/>
      <c r="G44" s="23"/>
      <c r="H44" s="23"/>
      <c r="I44" s="23"/>
      <c r="J44" s="23"/>
      <c r="K44" s="41"/>
      <c r="L44" s="36" t="s">
        <v>293</v>
      </c>
      <c r="M44" s="23"/>
      <c r="N44" s="23"/>
      <c r="O44" s="23"/>
      <c r="P44" s="23"/>
      <c r="Q44" s="23"/>
      <c r="R44" s="23"/>
      <c r="S44" s="23"/>
      <c r="T44" s="23"/>
      <c r="U44" s="683"/>
      <c r="V44" s="682"/>
      <c r="W44" s="684"/>
      <c r="X44" s="685"/>
      <c r="Y44" s="282" t="s">
        <v>16</v>
      </c>
      <c r="Z44" s="284"/>
      <c r="AA44" s="284"/>
      <c r="AB44" s="284"/>
      <c r="AC44" s="283"/>
      <c r="AD44" s="282">
        <v>16</v>
      </c>
      <c r="AE44" s="283"/>
      <c r="AF44" s="282">
        <v>0</v>
      </c>
      <c r="AG44" s="283"/>
      <c r="AH44" s="42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41"/>
      <c r="BB44" s="23"/>
      <c r="BC44" s="23"/>
      <c r="BD44" s="23"/>
      <c r="BE44" s="23"/>
      <c r="BF44" s="23"/>
      <c r="BG44" s="43"/>
      <c r="BK44" s="120" t="s">
        <v>881</v>
      </c>
      <c r="BL44" s="52" t="s">
        <v>882</v>
      </c>
    </row>
    <row r="45" spans="1:65">
      <c r="A45" s="681">
        <v>38</v>
      </c>
      <c r="B45" s="682"/>
      <c r="C45" s="59" t="str">
        <f t="shared" si="0"/>
        <v>old contract qty</v>
      </c>
      <c r="D45" s="23"/>
      <c r="E45" s="23"/>
      <c r="F45" s="23"/>
      <c r="G45" s="23"/>
      <c r="H45" s="23"/>
      <c r="I45" s="23"/>
      <c r="J45" s="23"/>
      <c r="K45" s="41"/>
      <c r="L45" s="456" t="s">
        <v>294</v>
      </c>
      <c r="M45" s="230"/>
      <c r="N45" s="230"/>
      <c r="O45" s="230"/>
      <c r="P45" s="230"/>
      <c r="Q45" s="230"/>
      <c r="R45" s="230"/>
      <c r="S45" s="230"/>
      <c r="T45" s="230"/>
      <c r="U45" s="683"/>
      <c r="V45" s="682"/>
      <c r="W45" s="684"/>
      <c r="X45" s="685"/>
      <c r="Y45" s="291" t="s">
        <v>1289</v>
      </c>
      <c r="Z45" s="284"/>
      <c r="AA45" s="284"/>
      <c r="AB45" s="284"/>
      <c r="AC45" s="283"/>
      <c r="AD45" s="282">
        <v>19</v>
      </c>
      <c r="AE45" s="283"/>
      <c r="AF45" s="282">
        <v>6</v>
      </c>
      <c r="AG45" s="283"/>
      <c r="AH45" s="330" t="s">
        <v>1264</v>
      </c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41"/>
      <c r="BB45" s="23"/>
      <c r="BC45" s="23"/>
      <c r="BD45" s="23"/>
      <c r="BE45" s="23"/>
      <c r="BF45" s="23"/>
      <c r="BG45" s="43"/>
      <c r="BK45" s="120" t="s">
        <v>883</v>
      </c>
      <c r="BL45" s="52" t="s">
        <v>884</v>
      </c>
      <c r="BM45" s="3" t="s">
        <v>885</v>
      </c>
    </row>
    <row r="46" spans="1:65">
      <c r="A46" s="681">
        <v>39</v>
      </c>
      <c r="B46" s="682"/>
      <c r="C46" s="59" t="str">
        <f t="shared" si="0"/>
        <v>是否局下达</v>
      </c>
      <c r="D46" s="23"/>
      <c r="E46" s="23"/>
      <c r="F46" s="23"/>
      <c r="G46" s="23"/>
      <c r="H46" s="23"/>
      <c r="I46" s="23"/>
      <c r="J46" s="23"/>
      <c r="K46" s="41"/>
      <c r="L46" s="36" t="s">
        <v>295</v>
      </c>
      <c r="M46" s="23"/>
      <c r="N46" s="23"/>
      <c r="O46" s="23"/>
      <c r="P46" s="23"/>
      <c r="Q46" s="23"/>
      <c r="R46" s="23"/>
      <c r="S46" s="23"/>
      <c r="T46" s="23"/>
      <c r="U46" s="683"/>
      <c r="V46" s="682"/>
      <c r="W46" s="684"/>
      <c r="X46" s="685"/>
      <c r="Y46" s="282" t="s">
        <v>16</v>
      </c>
      <c r="Z46" s="284"/>
      <c r="AA46" s="284"/>
      <c r="AB46" s="284"/>
      <c r="AC46" s="283"/>
      <c r="AD46" s="282">
        <v>2</v>
      </c>
      <c r="AE46" s="283"/>
      <c r="AF46" s="282">
        <v>0</v>
      </c>
      <c r="AG46" s="283"/>
      <c r="AH46" s="330" t="s">
        <v>1430</v>
      </c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41"/>
      <c r="BB46" s="23"/>
      <c r="BC46" s="23"/>
      <c r="BD46" s="23"/>
      <c r="BE46" s="23"/>
      <c r="BF46" s="23"/>
      <c r="BG46" s="43"/>
      <c r="BK46" s="120" t="s">
        <v>886</v>
      </c>
      <c r="BL46" s="52" t="s">
        <v>887</v>
      </c>
    </row>
    <row r="47" spans="1:65">
      <c r="A47" s="681">
        <v>40</v>
      </c>
      <c r="B47" s="682"/>
      <c r="C47" s="59" t="str">
        <f t="shared" si="0"/>
        <v>要求修改</v>
      </c>
      <c r="D47" s="23"/>
      <c r="E47" s="23"/>
      <c r="F47" s="23"/>
      <c r="G47" s="23"/>
      <c r="H47" s="23"/>
      <c r="I47" s="23"/>
      <c r="J47" s="23"/>
      <c r="K47" s="41"/>
      <c r="L47" s="36" t="s">
        <v>296</v>
      </c>
      <c r="M47" s="23"/>
      <c r="N47" s="23"/>
      <c r="O47" s="23"/>
      <c r="P47" s="23"/>
      <c r="Q47" s="23"/>
      <c r="R47" s="23"/>
      <c r="S47" s="23"/>
      <c r="T47" s="23"/>
      <c r="U47" s="683"/>
      <c r="V47" s="682"/>
      <c r="W47" s="684"/>
      <c r="X47" s="685"/>
      <c r="Y47" s="282" t="s">
        <v>16</v>
      </c>
      <c r="Z47" s="284"/>
      <c r="AA47" s="284"/>
      <c r="AB47" s="284"/>
      <c r="AC47" s="283"/>
      <c r="AD47" s="282">
        <v>8</v>
      </c>
      <c r="AE47" s="283"/>
      <c r="AF47" s="282">
        <v>0</v>
      </c>
      <c r="AG47" s="283"/>
      <c r="AH47" s="42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41"/>
      <c r="BB47" s="23"/>
      <c r="BC47" s="23"/>
      <c r="BD47" s="23"/>
      <c r="BE47" s="23"/>
      <c r="BF47" s="23"/>
      <c r="BG47" s="43"/>
      <c r="BK47" s="120" t="s">
        <v>888</v>
      </c>
      <c r="BL47" s="52" t="s">
        <v>889</v>
      </c>
    </row>
    <row r="48" spans="1:65">
      <c r="A48" s="681">
        <v>41</v>
      </c>
      <c r="B48" s="682"/>
      <c r="C48" s="59" t="str">
        <f t="shared" si="0"/>
        <v>修改人</v>
      </c>
      <c r="D48" s="23"/>
      <c r="E48" s="23"/>
      <c r="F48" s="23"/>
      <c r="G48" s="23"/>
      <c r="H48" s="23"/>
      <c r="I48" s="23"/>
      <c r="J48" s="23"/>
      <c r="K48" s="41"/>
      <c r="L48" s="36" t="s">
        <v>297</v>
      </c>
      <c r="M48" s="23"/>
      <c r="N48" s="23"/>
      <c r="O48" s="23"/>
      <c r="P48" s="23"/>
      <c r="Q48" s="23"/>
      <c r="R48" s="23"/>
      <c r="S48" s="23"/>
      <c r="T48" s="23"/>
      <c r="U48" s="683"/>
      <c r="V48" s="682"/>
      <c r="W48" s="684"/>
      <c r="X48" s="685"/>
      <c r="Y48" s="282" t="s">
        <v>16</v>
      </c>
      <c r="Z48" s="284"/>
      <c r="AA48" s="284"/>
      <c r="AB48" s="284"/>
      <c r="AC48" s="283"/>
      <c r="AD48" s="282">
        <v>128</v>
      </c>
      <c r="AE48" s="283"/>
      <c r="AF48" s="282">
        <v>0</v>
      </c>
      <c r="AG48" s="283"/>
      <c r="AH48" s="42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41"/>
      <c r="BB48" s="23"/>
      <c r="BC48" s="23"/>
      <c r="BD48" s="23"/>
      <c r="BE48" s="23"/>
      <c r="BF48" s="23"/>
      <c r="BG48" s="43"/>
      <c r="BK48" s="120" t="s">
        <v>890</v>
      </c>
      <c r="BL48" s="52" t="s">
        <v>891</v>
      </c>
    </row>
    <row r="49" spans="1:65">
      <c r="A49" s="681">
        <v>42</v>
      </c>
      <c r="B49" s="682"/>
      <c r="C49" s="59" t="str">
        <f t="shared" si="0"/>
        <v>修改人</v>
      </c>
      <c r="D49" s="23"/>
      <c r="E49" s="23"/>
      <c r="F49" s="23"/>
      <c r="G49" s="23"/>
      <c r="H49" s="23"/>
      <c r="I49" s="23"/>
      <c r="J49" s="23"/>
      <c r="K49" s="41"/>
      <c r="L49" s="36" t="s">
        <v>298</v>
      </c>
      <c r="M49" s="23"/>
      <c r="N49" s="23"/>
      <c r="O49" s="23"/>
      <c r="P49" s="23"/>
      <c r="Q49" s="23"/>
      <c r="R49" s="23"/>
      <c r="S49" s="23"/>
      <c r="T49" s="23"/>
      <c r="U49" s="683"/>
      <c r="V49" s="682"/>
      <c r="W49" s="684"/>
      <c r="X49" s="685"/>
      <c r="Y49" s="282" t="s">
        <v>16</v>
      </c>
      <c r="Z49" s="284"/>
      <c r="AA49" s="284"/>
      <c r="AB49" s="284"/>
      <c r="AC49" s="283"/>
      <c r="AD49" s="282">
        <v>128</v>
      </c>
      <c r="AE49" s="283"/>
      <c r="AF49" s="282">
        <v>0</v>
      </c>
      <c r="AG49" s="283"/>
      <c r="AH49" s="42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41"/>
      <c r="BB49" s="23"/>
      <c r="BC49" s="23"/>
      <c r="BD49" s="23"/>
      <c r="BE49" s="23"/>
      <c r="BF49" s="23"/>
      <c r="BG49" s="43"/>
      <c r="BK49" s="120" t="s">
        <v>892</v>
      </c>
      <c r="BL49" s="52" t="s">
        <v>893</v>
      </c>
    </row>
    <row r="50" spans="1:65">
      <c r="A50" s="681">
        <v>43</v>
      </c>
      <c r="B50" s="682"/>
      <c r="C50" s="59" t="str">
        <f t="shared" si="0"/>
        <v>修改日期</v>
      </c>
      <c r="D50" s="23"/>
      <c r="E50" s="23"/>
      <c r="F50" s="23"/>
      <c r="G50" s="23"/>
      <c r="H50" s="23"/>
      <c r="I50" s="23"/>
      <c r="J50" s="23"/>
      <c r="K50" s="41"/>
      <c r="L50" s="1" t="s">
        <v>299</v>
      </c>
      <c r="M50" s="23"/>
      <c r="N50" s="23"/>
      <c r="O50" s="23"/>
      <c r="P50" s="23"/>
      <c r="Q50" s="23"/>
      <c r="R50" s="23"/>
      <c r="S50" s="23"/>
      <c r="T50" s="23"/>
      <c r="U50" s="683"/>
      <c r="V50" s="682"/>
      <c r="W50" s="684"/>
      <c r="X50" s="685"/>
      <c r="Y50" s="282" t="s">
        <v>16</v>
      </c>
      <c r="Z50" s="284"/>
      <c r="AA50" s="284"/>
      <c r="AB50" s="284"/>
      <c r="AC50" s="283"/>
      <c r="AD50" s="282">
        <v>16</v>
      </c>
      <c r="AE50" s="283"/>
      <c r="AF50" s="282">
        <v>0</v>
      </c>
      <c r="AG50" s="283"/>
      <c r="AH50" s="42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41"/>
      <c r="BB50" s="23"/>
      <c r="BC50" s="23"/>
      <c r="BD50" s="23"/>
      <c r="BE50" s="23"/>
      <c r="BF50" s="23"/>
      <c r="BG50" s="43"/>
      <c r="BK50" s="120" t="s">
        <v>974</v>
      </c>
      <c r="BL50" s="52" t="s">
        <v>975</v>
      </c>
    </row>
    <row r="51" spans="1:65">
      <c r="A51" s="681">
        <v>44</v>
      </c>
      <c r="B51" s="682"/>
      <c r="C51" s="457" t="str">
        <f t="shared" si="0"/>
        <v>原合同不含税合同单价</v>
      </c>
      <c r="D51" s="460"/>
      <c r="E51" s="460"/>
      <c r="F51" s="460"/>
      <c r="G51" s="460"/>
      <c r="H51" s="460"/>
      <c r="I51" s="460"/>
      <c r="J51" s="460"/>
      <c r="K51" s="461"/>
      <c r="L51" s="509" t="s">
        <v>1715</v>
      </c>
      <c r="M51" s="230"/>
      <c r="N51" s="230"/>
      <c r="O51" s="230"/>
      <c r="P51" s="230"/>
      <c r="Q51" s="230"/>
      <c r="R51" s="230"/>
      <c r="S51" s="230"/>
      <c r="T51" s="230"/>
      <c r="U51" s="683"/>
      <c r="V51" s="682"/>
      <c r="W51" s="684"/>
      <c r="X51" s="685"/>
      <c r="Y51" s="291" t="s">
        <v>1266</v>
      </c>
      <c r="Z51" s="284"/>
      <c r="AA51" s="284"/>
      <c r="AB51" s="284"/>
      <c r="AC51" s="283"/>
      <c r="AD51" s="282">
        <v>19</v>
      </c>
      <c r="AE51" s="283"/>
      <c r="AF51" s="282">
        <v>6</v>
      </c>
      <c r="AG51" s="283"/>
      <c r="AH51" s="330" t="s">
        <v>1264</v>
      </c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41"/>
      <c r="BB51" s="23"/>
      <c r="BC51" s="23"/>
      <c r="BD51" s="23"/>
      <c r="BE51" s="23"/>
      <c r="BF51" s="23"/>
      <c r="BG51" s="43"/>
      <c r="BK51" s="120" t="s">
        <v>894</v>
      </c>
      <c r="BL51" s="52" t="s">
        <v>972</v>
      </c>
    </row>
    <row r="52" spans="1:65">
      <c r="A52" s="681">
        <v>45</v>
      </c>
      <c r="B52" s="682"/>
      <c r="C52" s="457" t="str">
        <f t="shared" si="0"/>
        <v>变更后不含税合同单价</v>
      </c>
      <c r="D52" s="460"/>
      <c r="E52" s="460"/>
      <c r="F52" s="460"/>
      <c r="G52" s="460"/>
      <c r="H52" s="460"/>
      <c r="I52" s="460"/>
      <c r="J52" s="460"/>
      <c r="K52" s="461"/>
      <c r="L52" s="509" t="s">
        <v>1717</v>
      </c>
      <c r="M52" s="230"/>
      <c r="N52" s="230"/>
      <c r="O52" s="230"/>
      <c r="P52" s="230"/>
      <c r="Q52" s="230"/>
      <c r="R52" s="230"/>
      <c r="S52" s="230"/>
      <c r="T52" s="230"/>
      <c r="U52" s="683"/>
      <c r="V52" s="682"/>
      <c r="W52" s="684"/>
      <c r="X52" s="685"/>
      <c r="Y52" s="291" t="s">
        <v>1266</v>
      </c>
      <c r="Z52" s="284"/>
      <c r="AA52" s="284"/>
      <c r="AB52" s="284"/>
      <c r="AC52" s="283"/>
      <c r="AD52" s="282">
        <v>19</v>
      </c>
      <c r="AE52" s="283"/>
      <c r="AF52" s="282">
        <v>6</v>
      </c>
      <c r="AG52" s="283"/>
      <c r="AH52" s="333" t="s">
        <v>198</v>
      </c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41"/>
      <c r="BB52" s="23"/>
      <c r="BC52" s="23"/>
      <c r="BD52" s="23"/>
      <c r="BE52" s="23"/>
      <c r="BF52" s="23"/>
      <c r="BG52" s="43"/>
      <c r="BK52" s="120" t="s">
        <v>895</v>
      </c>
      <c r="BL52" s="52" t="s">
        <v>896</v>
      </c>
    </row>
    <row r="53" spans="1:65">
      <c r="A53" s="681">
        <v>46</v>
      </c>
      <c r="B53" s="682"/>
      <c r="C53" s="59" t="str">
        <f t="shared" si="0"/>
        <v>税率</v>
      </c>
      <c r="D53" s="334"/>
      <c r="E53" s="334"/>
      <c r="F53" s="334"/>
      <c r="G53" s="334"/>
      <c r="H53" s="334"/>
      <c r="I53" s="334"/>
      <c r="J53" s="334"/>
      <c r="K53" s="335"/>
      <c r="L53" s="456" t="s">
        <v>99</v>
      </c>
      <c r="M53" s="230"/>
      <c r="N53" s="230"/>
      <c r="O53" s="230"/>
      <c r="P53" s="230"/>
      <c r="Q53" s="230"/>
      <c r="R53" s="230"/>
      <c r="S53" s="230"/>
      <c r="T53" s="230"/>
      <c r="U53" s="683"/>
      <c r="V53" s="682"/>
      <c r="W53" s="684"/>
      <c r="X53" s="685"/>
      <c r="Y53" s="282" t="s">
        <v>16</v>
      </c>
      <c r="Z53" s="284"/>
      <c r="AA53" s="284"/>
      <c r="AB53" s="284"/>
      <c r="AC53" s="283"/>
      <c r="AD53" s="282">
        <v>16</v>
      </c>
      <c r="AE53" s="283"/>
      <c r="AF53" s="282">
        <v>0</v>
      </c>
      <c r="AG53" s="283"/>
      <c r="AH53" s="42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41"/>
      <c r="BB53" s="23"/>
      <c r="BC53" s="23"/>
      <c r="BD53" s="23"/>
      <c r="BE53" s="23"/>
      <c r="BF53" s="23"/>
      <c r="BG53" s="43"/>
      <c r="BK53" s="120" t="s">
        <v>897</v>
      </c>
      <c r="BL53" s="52" t="s">
        <v>973</v>
      </c>
    </row>
    <row r="54" spans="1:65">
      <c r="A54" s="681">
        <v>47</v>
      </c>
      <c r="B54" s="682"/>
      <c r="C54" s="457" t="str">
        <f t="shared" si="0"/>
        <v>不含税合同金额</v>
      </c>
      <c r="D54" s="460"/>
      <c r="E54" s="460"/>
      <c r="F54" s="460"/>
      <c r="G54" s="460"/>
      <c r="H54" s="460"/>
      <c r="I54" s="460"/>
      <c r="J54" s="460"/>
      <c r="K54" s="461"/>
      <c r="L54" s="1" t="s">
        <v>1718</v>
      </c>
      <c r="M54" s="23"/>
      <c r="N54" s="23"/>
      <c r="O54" s="23"/>
      <c r="P54" s="23"/>
      <c r="Q54" s="23"/>
      <c r="R54" s="23"/>
      <c r="S54" s="23"/>
      <c r="T54" s="23"/>
      <c r="U54" s="683"/>
      <c r="V54" s="682"/>
      <c r="W54" s="684"/>
      <c r="X54" s="685"/>
      <c r="Y54" s="291" t="s">
        <v>1290</v>
      </c>
      <c r="Z54" s="284"/>
      <c r="AA54" s="284"/>
      <c r="AB54" s="284"/>
      <c r="AC54" s="283"/>
      <c r="AD54" s="282">
        <v>19</v>
      </c>
      <c r="AE54" s="283"/>
      <c r="AF54" s="282">
        <v>6</v>
      </c>
      <c r="AG54" s="283"/>
      <c r="AH54" s="330" t="s">
        <v>1288</v>
      </c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41"/>
      <c r="BB54" s="23"/>
      <c r="BC54" s="23"/>
      <c r="BD54" s="23"/>
      <c r="BE54" s="23"/>
      <c r="BF54" s="23"/>
      <c r="BG54" s="43"/>
      <c r="BK54" s="120" t="s">
        <v>898</v>
      </c>
      <c r="BL54" s="52" t="s">
        <v>899</v>
      </c>
    </row>
    <row r="55" spans="1:65">
      <c r="A55" s="681">
        <v>48</v>
      </c>
      <c r="B55" s="682"/>
      <c r="C55" s="59" t="str">
        <f t="shared" si="0"/>
        <v>计价规则ID</v>
      </c>
      <c r="D55" s="23"/>
      <c r="E55" s="23"/>
      <c r="F55" s="23"/>
      <c r="G55" s="23"/>
      <c r="H55" s="23"/>
      <c r="I55" s="23"/>
      <c r="J55" s="23"/>
      <c r="K55" s="41"/>
      <c r="L55" s="36" t="s">
        <v>301</v>
      </c>
      <c r="M55" s="23"/>
      <c r="N55" s="23"/>
      <c r="O55" s="23"/>
      <c r="P55" s="23"/>
      <c r="Q55" s="23"/>
      <c r="R55" s="23"/>
      <c r="S55" s="23"/>
      <c r="T55" s="23"/>
      <c r="U55" s="683"/>
      <c r="V55" s="682"/>
      <c r="W55" s="684"/>
      <c r="X55" s="685"/>
      <c r="Y55" s="282" t="s">
        <v>16</v>
      </c>
      <c r="Z55" s="284"/>
      <c r="AA55" s="284"/>
      <c r="AB55" s="284"/>
      <c r="AC55" s="283"/>
      <c r="AD55" s="282">
        <v>100</v>
      </c>
      <c r="AE55" s="283"/>
      <c r="AF55" s="282">
        <v>0</v>
      </c>
      <c r="AG55" s="283"/>
      <c r="AH55" s="42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41"/>
      <c r="BB55" s="23"/>
      <c r="BC55" s="23"/>
      <c r="BD55" s="23"/>
      <c r="BE55" s="23"/>
      <c r="BF55" s="23"/>
      <c r="BG55" s="43"/>
      <c r="BK55" s="120" t="s">
        <v>900</v>
      </c>
      <c r="BL55" s="52" t="s">
        <v>901</v>
      </c>
    </row>
    <row r="56" spans="1:65">
      <c r="A56" s="681">
        <v>49</v>
      </c>
      <c r="B56" s="682"/>
      <c r="C56" s="59" t="str">
        <f t="shared" si="0"/>
        <v>计价规则名称</v>
      </c>
      <c r="D56" s="23"/>
      <c r="E56" s="23"/>
      <c r="F56" s="23"/>
      <c r="G56" s="23"/>
      <c r="H56" s="23"/>
      <c r="I56" s="23"/>
      <c r="J56" s="23"/>
      <c r="K56" s="41"/>
      <c r="L56" s="36" t="s">
        <v>302</v>
      </c>
      <c r="M56" s="23"/>
      <c r="N56" s="23"/>
      <c r="O56" s="23"/>
      <c r="P56" s="23"/>
      <c r="Q56" s="23"/>
      <c r="R56" s="23"/>
      <c r="S56" s="23"/>
      <c r="T56" s="23"/>
      <c r="U56" s="683"/>
      <c r="V56" s="682"/>
      <c r="W56" s="684"/>
      <c r="X56" s="685"/>
      <c r="Y56" s="282" t="s">
        <v>16</v>
      </c>
      <c r="Z56" s="284"/>
      <c r="AA56" s="284"/>
      <c r="AB56" s="284"/>
      <c r="AC56" s="283"/>
      <c r="AD56" s="282">
        <v>512</v>
      </c>
      <c r="AE56" s="283"/>
      <c r="AF56" s="282">
        <v>0</v>
      </c>
      <c r="AG56" s="283"/>
      <c r="AH56" s="42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41"/>
      <c r="BB56" s="23"/>
      <c r="BC56" s="23"/>
      <c r="BD56" s="23"/>
      <c r="BE56" s="23"/>
      <c r="BF56" s="23"/>
      <c r="BG56" s="43"/>
      <c r="BK56" s="120"/>
      <c r="BL56" s="52"/>
    </row>
    <row r="57" spans="1:65">
      <c r="A57" s="681">
        <v>50</v>
      </c>
      <c r="B57" s="682"/>
      <c r="C57" s="376" t="s">
        <v>49</v>
      </c>
      <c r="D57" s="377"/>
      <c r="E57" s="377"/>
      <c r="F57" s="377"/>
      <c r="G57" s="377"/>
      <c r="H57" s="377"/>
      <c r="I57" s="377"/>
      <c r="J57" s="377"/>
      <c r="K57" s="378"/>
      <c r="L57" s="379" t="s">
        <v>1332</v>
      </c>
      <c r="M57" s="379"/>
      <c r="N57" s="379"/>
      <c r="O57" s="379"/>
      <c r="P57" s="379"/>
      <c r="Q57" s="379"/>
      <c r="R57" s="379"/>
      <c r="S57" s="379"/>
      <c r="T57" s="379"/>
      <c r="U57" s="760"/>
      <c r="V57" s="761"/>
      <c r="W57" s="756"/>
      <c r="X57" s="757"/>
      <c r="Y57" s="380" t="s">
        <v>1333</v>
      </c>
      <c r="Z57" s="379"/>
      <c r="AA57" s="379"/>
      <c r="AB57" s="379"/>
      <c r="AC57" s="379"/>
      <c r="AD57" s="758">
        <v>0</v>
      </c>
      <c r="AE57" s="759"/>
      <c r="AF57" s="754"/>
      <c r="AG57" s="755"/>
      <c r="AH57" s="381"/>
      <c r="AI57" s="379"/>
      <c r="AJ57" s="379"/>
      <c r="AK57" s="334"/>
      <c r="AL57" s="334"/>
      <c r="AM57" s="334"/>
      <c r="AN57" s="334"/>
      <c r="AO57" s="334"/>
      <c r="AP57" s="334"/>
      <c r="AQ57" s="334"/>
      <c r="AR57" s="334"/>
      <c r="AS57" s="334"/>
      <c r="AT57" s="334"/>
      <c r="AU57" s="334"/>
      <c r="AV57" s="334"/>
      <c r="AW57" s="334"/>
      <c r="AX57" s="334"/>
      <c r="AY57" s="334"/>
      <c r="AZ57" s="334"/>
      <c r="BA57" s="335"/>
      <c r="BB57" s="334"/>
      <c r="BC57" s="334"/>
      <c r="BD57" s="334"/>
      <c r="BE57" s="334"/>
      <c r="BF57" s="334"/>
      <c r="BG57" s="43"/>
      <c r="BK57" s="101"/>
      <c r="BL57" s="101"/>
    </row>
    <row r="58" spans="1:65">
      <c r="A58" s="681">
        <v>51</v>
      </c>
      <c r="B58" s="682"/>
      <c r="C58" s="376" t="s">
        <v>49</v>
      </c>
      <c r="D58" s="377"/>
      <c r="E58" s="377"/>
      <c r="F58" s="377"/>
      <c r="G58" s="377"/>
      <c r="H58" s="377"/>
      <c r="I58" s="377"/>
      <c r="J58" s="377"/>
      <c r="K58" s="378"/>
      <c r="L58" s="379" t="s">
        <v>1334</v>
      </c>
      <c r="M58" s="379"/>
      <c r="N58" s="379"/>
      <c r="O58" s="379"/>
      <c r="P58" s="379"/>
      <c r="Q58" s="379"/>
      <c r="R58" s="379"/>
      <c r="S58" s="379"/>
      <c r="T58" s="379"/>
      <c r="U58" s="760"/>
      <c r="V58" s="761"/>
      <c r="W58" s="756"/>
      <c r="X58" s="757"/>
      <c r="Y58" s="380" t="s">
        <v>1333</v>
      </c>
      <c r="Z58" s="379"/>
      <c r="AA58" s="379"/>
      <c r="AB58" s="379"/>
      <c r="AC58" s="379"/>
      <c r="AD58" s="758">
        <v>0</v>
      </c>
      <c r="AE58" s="759"/>
      <c r="AF58" s="754"/>
      <c r="AG58" s="755"/>
      <c r="AH58" s="381"/>
      <c r="AI58" s="379"/>
      <c r="AJ58" s="379"/>
      <c r="AK58" s="334"/>
      <c r="AL58" s="334"/>
      <c r="AM58" s="334"/>
      <c r="AN58" s="334"/>
      <c r="AO58" s="334"/>
      <c r="AP58" s="334"/>
      <c r="AQ58" s="334"/>
      <c r="AR58" s="334"/>
      <c r="AS58" s="334"/>
      <c r="AT58" s="334"/>
      <c r="AU58" s="334"/>
      <c r="AV58" s="334"/>
      <c r="AW58" s="334"/>
      <c r="AX58" s="334"/>
      <c r="AY58" s="334"/>
      <c r="AZ58" s="334"/>
      <c r="BA58" s="335"/>
      <c r="BB58" s="334"/>
      <c r="BC58" s="334"/>
      <c r="BD58" s="334"/>
      <c r="BE58" s="334"/>
      <c r="BF58" s="334"/>
      <c r="BG58" s="43"/>
      <c r="BK58" s="101"/>
      <c r="BL58" s="101"/>
    </row>
    <row r="59" spans="1:65">
      <c r="A59" s="681">
        <v>52</v>
      </c>
      <c r="B59" s="682"/>
      <c r="C59" s="376" t="s">
        <v>49</v>
      </c>
      <c r="D59" s="377"/>
      <c r="E59" s="377"/>
      <c r="F59" s="377"/>
      <c r="G59" s="377"/>
      <c r="H59" s="377"/>
      <c r="I59" s="377"/>
      <c r="J59" s="377"/>
      <c r="K59" s="378"/>
      <c r="L59" s="379" t="s">
        <v>1335</v>
      </c>
      <c r="M59" s="379"/>
      <c r="N59" s="379"/>
      <c r="O59" s="379"/>
      <c r="P59" s="379"/>
      <c r="Q59" s="379"/>
      <c r="R59" s="379"/>
      <c r="S59" s="379"/>
      <c r="T59" s="379"/>
      <c r="U59" s="760"/>
      <c r="V59" s="761"/>
      <c r="W59" s="756"/>
      <c r="X59" s="757"/>
      <c r="Y59" s="380" t="s">
        <v>1333</v>
      </c>
      <c r="Z59" s="379"/>
      <c r="AA59" s="379"/>
      <c r="AB59" s="379"/>
      <c r="AC59" s="379"/>
      <c r="AD59" s="758">
        <v>0</v>
      </c>
      <c r="AE59" s="759"/>
      <c r="AF59" s="754"/>
      <c r="AG59" s="755"/>
      <c r="AH59" s="381"/>
      <c r="AI59" s="379"/>
      <c r="AJ59" s="379"/>
      <c r="AK59" s="334"/>
      <c r="AL59" s="334"/>
      <c r="AM59" s="334"/>
      <c r="AN59" s="334"/>
      <c r="AO59" s="334"/>
      <c r="AP59" s="334"/>
      <c r="AQ59" s="334"/>
      <c r="AR59" s="334"/>
      <c r="AS59" s="334"/>
      <c r="AT59" s="334"/>
      <c r="AU59" s="334"/>
      <c r="AV59" s="334"/>
      <c r="AW59" s="334"/>
      <c r="AX59" s="334"/>
      <c r="AY59" s="334"/>
      <c r="AZ59" s="334"/>
      <c r="BA59" s="335"/>
      <c r="BB59" s="334"/>
      <c r="BC59" s="334"/>
      <c r="BD59" s="334"/>
      <c r="BE59" s="334"/>
      <c r="BF59" s="334"/>
      <c r="BG59" s="43"/>
      <c r="BK59" s="101"/>
      <c r="BL59" s="101"/>
    </row>
    <row r="60" spans="1:65">
      <c r="A60" s="681">
        <v>53</v>
      </c>
      <c r="B60" s="682"/>
      <c r="C60" s="376" t="s">
        <v>49</v>
      </c>
      <c r="D60" s="377"/>
      <c r="E60" s="377"/>
      <c r="F60" s="377"/>
      <c r="G60" s="377"/>
      <c r="H60" s="377"/>
      <c r="I60" s="377"/>
      <c r="J60" s="377"/>
      <c r="K60" s="378"/>
      <c r="L60" s="379" t="s">
        <v>1336</v>
      </c>
      <c r="M60" s="379"/>
      <c r="N60" s="379"/>
      <c r="O60" s="379"/>
      <c r="P60" s="379"/>
      <c r="Q60" s="379"/>
      <c r="R60" s="379"/>
      <c r="S60" s="379"/>
      <c r="T60" s="379"/>
      <c r="U60" s="760"/>
      <c r="V60" s="761"/>
      <c r="W60" s="756"/>
      <c r="X60" s="757"/>
      <c r="Y60" s="380" t="s">
        <v>1333</v>
      </c>
      <c r="Z60" s="379"/>
      <c r="AA60" s="379"/>
      <c r="AB60" s="379"/>
      <c r="AC60" s="379"/>
      <c r="AD60" s="758">
        <v>0</v>
      </c>
      <c r="AE60" s="759"/>
      <c r="AF60" s="754"/>
      <c r="AG60" s="755"/>
      <c r="AH60" s="381"/>
      <c r="AI60" s="379"/>
      <c r="AJ60" s="379"/>
      <c r="AK60" s="334"/>
      <c r="AL60" s="334"/>
      <c r="AM60" s="334"/>
      <c r="AN60" s="334"/>
      <c r="AO60" s="334"/>
      <c r="AP60" s="334"/>
      <c r="AQ60" s="334"/>
      <c r="AR60" s="334"/>
      <c r="AS60" s="334"/>
      <c r="AT60" s="334"/>
      <c r="AU60" s="334"/>
      <c r="AV60" s="334"/>
      <c r="AW60" s="334"/>
      <c r="AX60" s="334"/>
      <c r="AY60" s="334"/>
      <c r="AZ60" s="334"/>
      <c r="BA60" s="335"/>
      <c r="BB60" s="334"/>
      <c r="BC60" s="334"/>
      <c r="BD60" s="334"/>
      <c r="BE60" s="334"/>
      <c r="BF60" s="334"/>
      <c r="BG60" s="43"/>
      <c r="BK60" s="120"/>
      <c r="BL60" s="52"/>
    </row>
    <row r="61" spans="1:65">
      <c r="A61" s="681">
        <v>54</v>
      </c>
      <c r="B61" s="682"/>
      <c r="C61" s="376" t="s">
        <v>49</v>
      </c>
      <c r="D61" s="377"/>
      <c r="E61" s="377"/>
      <c r="F61" s="377"/>
      <c r="G61" s="377"/>
      <c r="H61" s="377"/>
      <c r="I61" s="377"/>
      <c r="J61" s="377"/>
      <c r="K61" s="378"/>
      <c r="L61" s="379" t="s">
        <v>1348</v>
      </c>
      <c r="M61" s="379"/>
      <c r="N61" s="379"/>
      <c r="O61" s="379"/>
      <c r="P61" s="379"/>
      <c r="Q61" s="379"/>
      <c r="R61" s="379"/>
      <c r="S61" s="379"/>
      <c r="T61" s="379"/>
      <c r="U61" s="760"/>
      <c r="V61" s="761"/>
      <c r="W61" s="756"/>
      <c r="X61" s="757"/>
      <c r="Y61" s="380" t="s">
        <v>1333</v>
      </c>
      <c r="Z61" s="379"/>
      <c r="AA61" s="379"/>
      <c r="AB61" s="379"/>
      <c r="AC61" s="379"/>
      <c r="AD61" s="758">
        <v>0</v>
      </c>
      <c r="AE61" s="759"/>
      <c r="AF61" s="754"/>
      <c r="AG61" s="755"/>
      <c r="AH61" s="381"/>
      <c r="AI61" s="379"/>
      <c r="AJ61" s="379"/>
      <c r="AK61" s="334"/>
      <c r="AL61" s="334"/>
      <c r="AM61" s="334"/>
      <c r="AN61" s="334"/>
      <c r="AO61" s="334"/>
      <c r="AP61" s="334"/>
      <c r="AQ61" s="334"/>
      <c r="AR61" s="334"/>
      <c r="AS61" s="334"/>
      <c r="AT61" s="334"/>
      <c r="AU61" s="334"/>
      <c r="AV61" s="334"/>
      <c r="AW61" s="334"/>
      <c r="AX61" s="334"/>
      <c r="AY61" s="334"/>
      <c r="AZ61" s="334"/>
      <c r="BA61" s="335"/>
      <c r="BB61" s="334"/>
      <c r="BC61" s="334"/>
      <c r="BD61" s="334"/>
      <c r="BE61" s="334"/>
      <c r="BF61" s="334"/>
      <c r="BG61" s="43"/>
      <c r="BK61" s="120"/>
      <c r="BL61" s="52"/>
    </row>
    <row r="62" spans="1:65">
      <c r="A62" s="681">
        <v>55</v>
      </c>
      <c r="B62" s="682"/>
      <c r="C62" s="376" t="s">
        <v>49</v>
      </c>
      <c r="D62" s="377"/>
      <c r="E62" s="377"/>
      <c r="F62" s="377"/>
      <c r="G62" s="377"/>
      <c r="H62" s="377"/>
      <c r="I62" s="377"/>
      <c r="J62" s="377"/>
      <c r="K62" s="378"/>
      <c r="L62" s="379" t="s">
        <v>1349</v>
      </c>
      <c r="M62" s="379"/>
      <c r="N62" s="379"/>
      <c r="O62" s="379"/>
      <c r="P62" s="379"/>
      <c r="Q62" s="379"/>
      <c r="R62" s="379"/>
      <c r="S62" s="379"/>
      <c r="T62" s="379"/>
      <c r="U62" s="760"/>
      <c r="V62" s="761"/>
      <c r="W62" s="756"/>
      <c r="X62" s="757"/>
      <c r="Y62" s="380" t="s">
        <v>1333</v>
      </c>
      <c r="Z62" s="379"/>
      <c r="AA62" s="379"/>
      <c r="AB62" s="379"/>
      <c r="AC62" s="379"/>
      <c r="AD62" s="758">
        <v>0</v>
      </c>
      <c r="AE62" s="759"/>
      <c r="AF62" s="754"/>
      <c r="AG62" s="755"/>
      <c r="AH62" s="382"/>
      <c r="AI62" s="383"/>
      <c r="AJ62" s="383"/>
      <c r="AK62" s="334"/>
      <c r="AL62" s="334"/>
      <c r="AM62" s="334"/>
      <c r="AN62" s="334"/>
      <c r="AO62" s="334"/>
      <c r="AP62" s="334"/>
      <c r="AQ62" s="334"/>
      <c r="AR62" s="334"/>
      <c r="AS62" s="334"/>
      <c r="AT62" s="334"/>
      <c r="AU62" s="334"/>
      <c r="AV62" s="334"/>
      <c r="AW62" s="334"/>
      <c r="AX62" s="334"/>
      <c r="AY62" s="334"/>
      <c r="AZ62" s="334"/>
      <c r="BA62" s="335"/>
      <c r="BB62" s="334"/>
      <c r="BC62" s="334"/>
      <c r="BD62" s="334"/>
      <c r="BE62" s="334"/>
      <c r="BF62" s="334"/>
      <c r="BG62" s="43"/>
      <c r="BK62" s="120"/>
      <c r="BL62" s="52"/>
    </row>
    <row r="63" spans="1:65">
      <c r="A63" s="681">
        <v>56</v>
      </c>
      <c r="B63" s="682"/>
      <c r="C63" s="376" t="s">
        <v>49</v>
      </c>
      <c r="D63" s="377"/>
      <c r="E63" s="377"/>
      <c r="F63" s="377"/>
      <c r="G63" s="377"/>
      <c r="H63" s="377"/>
      <c r="I63" s="377"/>
      <c r="J63" s="377"/>
      <c r="K63" s="378"/>
      <c r="L63" s="379" t="s">
        <v>1350</v>
      </c>
      <c r="M63" s="379"/>
      <c r="N63" s="379"/>
      <c r="O63" s="379"/>
      <c r="P63" s="379"/>
      <c r="Q63" s="379"/>
      <c r="R63" s="379"/>
      <c r="S63" s="379"/>
      <c r="T63" s="379"/>
      <c r="U63" s="760"/>
      <c r="V63" s="761"/>
      <c r="W63" s="756"/>
      <c r="X63" s="757"/>
      <c r="Y63" s="380" t="s">
        <v>1333</v>
      </c>
      <c r="Z63" s="379"/>
      <c r="AA63" s="379"/>
      <c r="AB63" s="379"/>
      <c r="AC63" s="379"/>
      <c r="AD63" s="758">
        <v>0</v>
      </c>
      <c r="AE63" s="759"/>
      <c r="AF63" s="754"/>
      <c r="AG63" s="755"/>
      <c r="AH63" s="382"/>
      <c r="AI63" s="383"/>
      <c r="AJ63" s="383"/>
      <c r="AK63" s="334"/>
      <c r="AL63" s="334"/>
      <c r="AM63" s="334"/>
      <c r="AN63" s="334"/>
      <c r="AO63" s="334"/>
      <c r="AP63" s="334"/>
      <c r="AQ63" s="334"/>
      <c r="AR63" s="334"/>
      <c r="AS63" s="334"/>
      <c r="AT63" s="334"/>
      <c r="AU63" s="334"/>
      <c r="AV63" s="334"/>
      <c r="AW63" s="334"/>
      <c r="AX63" s="334"/>
      <c r="AY63" s="334"/>
      <c r="AZ63" s="334"/>
      <c r="BA63" s="335"/>
      <c r="BB63" s="334"/>
      <c r="BC63" s="334"/>
      <c r="BD63" s="334"/>
      <c r="BE63" s="334"/>
      <c r="BF63" s="334"/>
      <c r="BG63" s="43"/>
      <c r="BK63" s="120"/>
      <c r="BL63" s="52"/>
    </row>
    <row r="64" spans="1:65">
      <c r="A64" s="681">
        <v>57</v>
      </c>
      <c r="B64" s="682"/>
      <c r="C64" s="376" t="s">
        <v>49</v>
      </c>
      <c r="D64" s="377"/>
      <c r="E64" s="377"/>
      <c r="F64" s="377"/>
      <c r="G64" s="377"/>
      <c r="H64" s="377"/>
      <c r="I64" s="377"/>
      <c r="J64" s="377"/>
      <c r="K64" s="378"/>
      <c r="L64" s="379" t="s">
        <v>1351</v>
      </c>
      <c r="M64" s="379"/>
      <c r="N64" s="379"/>
      <c r="O64" s="379"/>
      <c r="P64" s="379"/>
      <c r="Q64" s="379"/>
      <c r="R64" s="379"/>
      <c r="S64" s="379"/>
      <c r="T64" s="379"/>
      <c r="U64" s="760"/>
      <c r="V64" s="761"/>
      <c r="W64" s="756"/>
      <c r="X64" s="757"/>
      <c r="Y64" s="380" t="s">
        <v>1333</v>
      </c>
      <c r="Z64" s="379"/>
      <c r="AA64" s="379"/>
      <c r="AB64" s="379"/>
      <c r="AC64" s="379"/>
      <c r="AD64" s="758">
        <v>0</v>
      </c>
      <c r="AE64" s="759"/>
      <c r="AF64" s="754"/>
      <c r="AG64" s="755"/>
      <c r="AH64" s="382"/>
      <c r="AI64" s="383"/>
      <c r="AJ64" s="383"/>
      <c r="AK64" s="334"/>
      <c r="AL64" s="334"/>
      <c r="AM64" s="334"/>
      <c r="AN64" s="334"/>
      <c r="AO64" s="334"/>
      <c r="AP64" s="334"/>
      <c r="AQ64" s="334"/>
      <c r="AR64" s="334"/>
      <c r="AS64" s="334"/>
      <c r="AT64" s="334"/>
      <c r="AU64" s="334"/>
      <c r="AV64" s="334"/>
      <c r="AW64" s="334"/>
      <c r="AX64" s="334"/>
      <c r="AY64" s="334"/>
      <c r="AZ64" s="334"/>
      <c r="BA64" s="335"/>
      <c r="BB64" s="334"/>
      <c r="BC64" s="334"/>
      <c r="BD64" s="334"/>
      <c r="BE64" s="334"/>
      <c r="BF64" s="334"/>
      <c r="BG64" s="43"/>
      <c r="BK64" s="120"/>
      <c r="BL64" s="52"/>
      <c r="BM64" s="3"/>
    </row>
    <row r="65" spans="1:65">
      <c r="A65" s="681">
        <v>58</v>
      </c>
      <c r="B65" s="682"/>
      <c r="C65" s="376" t="s">
        <v>49</v>
      </c>
      <c r="D65" s="377"/>
      <c r="E65" s="377"/>
      <c r="F65" s="377"/>
      <c r="G65" s="377"/>
      <c r="H65" s="377"/>
      <c r="I65" s="377"/>
      <c r="J65" s="377"/>
      <c r="K65" s="378"/>
      <c r="L65" s="379" t="s">
        <v>1352</v>
      </c>
      <c r="M65" s="379"/>
      <c r="N65" s="379"/>
      <c r="O65" s="379"/>
      <c r="P65" s="379"/>
      <c r="Q65" s="379"/>
      <c r="R65" s="379"/>
      <c r="S65" s="379"/>
      <c r="T65" s="379"/>
      <c r="U65" s="760"/>
      <c r="V65" s="761"/>
      <c r="W65" s="756"/>
      <c r="X65" s="757"/>
      <c r="Y65" s="380" t="s">
        <v>1333</v>
      </c>
      <c r="Z65" s="379"/>
      <c r="AA65" s="379"/>
      <c r="AB65" s="379"/>
      <c r="AC65" s="379"/>
      <c r="AD65" s="758">
        <v>0</v>
      </c>
      <c r="AE65" s="759"/>
      <c r="AF65" s="754"/>
      <c r="AG65" s="755"/>
      <c r="AH65" s="382"/>
      <c r="AI65" s="383"/>
      <c r="AJ65" s="383"/>
      <c r="AK65" s="334"/>
      <c r="AL65" s="334"/>
      <c r="AM65" s="334"/>
      <c r="AN65" s="334"/>
      <c r="AO65" s="334"/>
      <c r="AP65" s="334"/>
      <c r="AQ65" s="334"/>
      <c r="AR65" s="334"/>
      <c r="AS65" s="334"/>
      <c r="AT65" s="334"/>
      <c r="AU65" s="334"/>
      <c r="AV65" s="334"/>
      <c r="AW65" s="334"/>
      <c r="AX65" s="334"/>
      <c r="AY65" s="334"/>
      <c r="AZ65" s="334"/>
      <c r="BA65" s="335"/>
      <c r="BB65" s="334"/>
      <c r="BC65" s="334"/>
      <c r="BD65" s="334"/>
      <c r="BE65" s="334"/>
      <c r="BF65" s="334"/>
      <c r="BG65" s="43"/>
      <c r="BK65" s="120"/>
      <c r="BL65" s="52"/>
    </row>
    <row r="66" spans="1:65">
      <c r="A66" s="681">
        <v>59</v>
      </c>
      <c r="B66" s="682"/>
      <c r="C66" s="376" t="s">
        <v>49</v>
      </c>
      <c r="D66" s="377"/>
      <c r="E66" s="377"/>
      <c r="F66" s="377"/>
      <c r="G66" s="377"/>
      <c r="H66" s="377"/>
      <c r="I66" s="377"/>
      <c r="J66" s="377"/>
      <c r="K66" s="378"/>
      <c r="L66" s="379" t="s">
        <v>1353</v>
      </c>
      <c r="M66" s="379"/>
      <c r="N66" s="379"/>
      <c r="O66" s="379"/>
      <c r="P66" s="379"/>
      <c r="Q66" s="379"/>
      <c r="R66" s="379"/>
      <c r="S66" s="379"/>
      <c r="T66" s="379"/>
      <c r="U66" s="760"/>
      <c r="V66" s="761"/>
      <c r="W66" s="756"/>
      <c r="X66" s="757"/>
      <c r="Y66" s="380" t="s">
        <v>1333</v>
      </c>
      <c r="Z66" s="379"/>
      <c r="AA66" s="379"/>
      <c r="AB66" s="379"/>
      <c r="AC66" s="379"/>
      <c r="AD66" s="758">
        <v>0</v>
      </c>
      <c r="AE66" s="759"/>
      <c r="AF66" s="754"/>
      <c r="AG66" s="755"/>
      <c r="AH66" s="381"/>
      <c r="AI66" s="379"/>
      <c r="AJ66" s="379"/>
      <c r="AK66" s="334"/>
      <c r="AL66" s="334"/>
      <c r="AM66" s="334"/>
      <c r="AN66" s="334"/>
      <c r="AO66" s="334"/>
      <c r="AP66" s="334"/>
      <c r="AQ66" s="334"/>
      <c r="AR66" s="334"/>
      <c r="AS66" s="334"/>
      <c r="AT66" s="334"/>
      <c r="AU66" s="334"/>
      <c r="AV66" s="334"/>
      <c r="AW66" s="334"/>
      <c r="AX66" s="334"/>
      <c r="AY66" s="334"/>
      <c r="AZ66" s="334"/>
      <c r="BA66" s="335"/>
      <c r="BB66" s="334"/>
      <c r="BC66" s="334"/>
      <c r="BD66" s="334"/>
      <c r="BE66" s="334"/>
      <c r="BF66" s="334"/>
      <c r="BG66" s="43"/>
      <c r="BK66" s="120"/>
      <c r="BL66" s="52"/>
    </row>
    <row r="67" spans="1:65">
      <c r="A67" s="681">
        <v>60</v>
      </c>
      <c r="B67" s="682"/>
      <c r="C67" s="376" t="s">
        <v>1337</v>
      </c>
      <c r="D67" s="377"/>
      <c r="E67" s="377"/>
      <c r="F67" s="377"/>
      <c r="G67" s="377"/>
      <c r="H67" s="377"/>
      <c r="I67" s="377"/>
      <c r="J67" s="377"/>
      <c r="K67" s="378"/>
      <c r="L67" s="379" t="s">
        <v>1338</v>
      </c>
      <c r="M67" s="379"/>
      <c r="N67" s="379"/>
      <c r="O67" s="379"/>
      <c r="P67" s="379"/>
      <c r="Q67" s="379"/>
      <c r="R67" s="379"/>
      <c r="S67" s="379"/>
      <c r="T67" s="379"/>
      <c r="U67" s="760"/>
      <c r="V67" s="761"/>
      <c r="W67" s="756"/>
      <c r="X67" s="757"/>
      <c r="Y67" s="380" t="s">
        <v>199</v>
      </c>
      <c r="Z67" s="379"/>
      <c r="AA67" s="379"/>
      <c r="AB67" s="379"/>
      <c r="AC67" s="379"/>
      <c r="AD67" s="758">
        <v>32</v>
      </c>
      <c r="AE67" s="759"/>
      <c r="AF67" s="754"/>
      <c r="AG67" s="755"/>
      <c r="AH67" s="382" t="s">
        <v>1337</v>
      </c>
      <c r="AI67" s="383"/>
      <c r="AJ67" s="383"/>
      <c r="AK67" s="334"/>
      <c r="AL67" s="334"/>
      <c r="AM67" s="334"/>
      <c r="AN67" s="334"/>
      <c r="AO67" s="334"/>
      <c r="AP67" s="334"/>
      <c r="AQ67" s="334"/>
      <c r="AR67" s="334"/>
      <c r="AS67" s="334"/>
      <c r="AT67" s="334"/>
      <c r="AU67" s="334"/>
      <c r="AV67" s="334"/>
      <c r="AW67" s="334"/>
      <c r="AX67" s="334"/>
      <c r="AY67" s="334"/>
      <c r="AZ67" s="334"/>
      <c r="BA67" s="335"/>
      <c r="BB67" s="334"/>
      <c r="BC67" s="334"/>
      <c r="BD67" s="334"/>
      <c r="BE67" s="334"/>
      <c r="BF67" s="334"/>
      <c r="BG67" s="43"/>
      <c r="BK67" s="120"/>
      <c r="BL67" s="52"/>
      <c r="BM67" s="3"/>
    </row>
    <row r="68" spans="1:65">
      <c r="A68" s="681">
        <v>61</v>
      </c>
      <c r="B68" s="682"/>
      <c r="C68" s="376" t="s">
        <v>1339</v>
      </c>
      <c r="D68" s="377"/>
      <c r="E68" s="377"/>
      <c r="F68" s="377"/>
      <c r="G68" s="377"/>
      <c r="H68" s="377"/>
      <c r="I68" s="377"/>
      <c r="J68" s="377"/>
      <c r="K68" s="378"/>
      <c r="L68" s="379" t="s">
        <v>1340</v>
      </c>
      <c r="M68" s="379"/>
      <c r="N68" s="379"/>
      <c r="O68" s="379"/>
      <c r="P68" s="379"/>
      <c r="Q68" s="379"/>
      <c r="R68" s="379"/>
      <c r="S68" s="379"/>
      <c r="T68" s="379"/>
      <c r="U68" s="760"/>
      <c r="V68" s="761"/>
      <c r="W68" s="756"/>
      <c r="X68" s="757"/>
      <c r="Y68" s="380" t="s">
        <v>199</v>
      </c>
      <c r="Z68" s="379"/>
      <c r="AA68" s="379"/>
      <c r="AB68" s="379"/>
      <c r="AC68" s="379"/>
      <c r="AD68" s="758">
        <v>32</v>
      </c>
      <c r="AE68" s="759"/>
      <c r="AF68" s="754"/>
      <c r="AG68" s="755"/>
      <c r="AH68" s="382" t="s">
        <v>1341</v>
      </c>
      <c r="AI68" s="383"/>
      <c r="AJ68" s="383"/>
      <c r="AK68" s="334"/>
      <c r="AL68" s="334"/>
      <c r="AM68" s="334"/>
      <c r="AN68" s="334"/>
      <c r="AO68" s="334"/>
      <c r="AP68" s="334"/>
      <c r="AQ68" s="334"/>
      <c r="AR68" s="334"/>
      <c r="AS68" s="334"/>
      <c r="AT68" s="334"/>
      <c r="AU68" s="334"/>
      <c r="AV68" s="334"/>
      <c r="AW68" s="334"/>
      <c r="AX68" s="334"/>
      <c r="AY68" s="334"/>
      <c r="AZ68" s="334"/>
      <c r="BA68" s="335"/>
      <c r="BB68" s="334"/>
      <c r="BC68" s="334"/>
      <c r="BD68" s="334"/>
      <c r="BE68" s="334"/>
      <c r="BF68" s="334"/>
      <c r="BG68" s="43"/>
      <c r="BK68" s="120"/>
      <c r="BL68" s="52"/>
    </row>
    <row r="69" spans="1:65">
      <c r="A69" s="681">
        <v>62</v>
      </c>
      <c r="B69" s="682"/>
      <c r="C69" s="376" t="s">
        <v>1342</v>
      </c>
      <c r="D69" s="377"/>
      <c r="E69" s="377"/>
      <c r="F69" s="377"/>
      <c r="G69" s="377"/>
      <c r="H69" s="377"/>
      <c r="I69" s="377"/>
      <c r="J69" s="377"/>
      <c r="K69" s="378"/>
      <c r="L69" s="379" t="s">
        <v>1343</v>
      </c>
      <c r="M69" s="379"/>
      <c r="N69" s="379"/>
      <c r="O69" s="379"/>
      <c r="P69" s="379"/>
      <c r="Q69" s="379"/>
      <c r="R69" s="379"/>
      <c r="S69" s="379"/>
      <c r="T69" s="379"/>
      <c r="U69" s="760"/>
      <c r="V69" s="761"/>
      <c r="W69" s="756"/>
      <c r="X69" s="757"/>
      <c r="Y69" s="380" t="s">
        <v>199</v>
      </c>
      <c r="Z69" s="379"/>
      <c r="AA69" s="379"/>
      <c r="AB69" s="379"/>
      <c r="AC69" s="379"/>
      <c r="AD69" s="758">
        <v>2</v>
      </c>
      <c r="AE69" s="759"/>
      <c r="AF69" s="754"/>
      <c r="AG69" s="755"/>
      <c r="AH69" s="382" t="s">
        <v>1344</v>
      </c>
      <c r="AI69" s="383"/>
      <c r="AJ69" s="383"/>
      <c r="AK69" s="334"/>
      <c r="AP69" s="334"/>
      <c r="AQ69" s="334"/>
      <c r="AR69" s="334"/>
      <c r="AS69" s="334"/>
      <c r="AT69" s="334"/>
      <c r="AU69" s="334"/>
      <c r="AV69" s="334"/>
      <c r="AW69" s="334"/>
      <c r="AX69" s="334"/>
      <c r="AY69" s="334"/>
      <c r="AZ69" s="334"/>
      <c r="BA69" s="335"/>
      <c r="BB69" s="334"/>
      <c r="BC69" s="334"/>
      <c r="BD69" s="334"/>
      <c r="BE69" s="334"/>
      <c r="BF69" s="334"/>
      <c r="BG69" s="43"/>
      <c r="BK69" s="120"/>
      <c r="BL69" s="52"/>
    </row>
    <row r="70" spans="1:65">
      <c r="A70" s="681">
        <v>63</v>
      </c>
      <c r="B70" s="682"/>
      <c r="C70" s="376" t="s">
        <v>1345</v>
      </c>
      <c r="D70" s="377"/>
      <c r="E70" s="377"/>
      <c r="F70" s="377"/>
      <c r="G70" s="377"/>
      <c r="H70" s="377"/>
      <c r="I70" s="377"/>
      <c r="J70" s="377"/>
      <c r="K70" s="378"/>
      <c r="L70" s="379" t="s">
        <v>1346</v>
      </c>
      <c r="M70" s="379"/>
      <c r="N70" s="379"/>
      <c r="O70" s="379"/>
      <c r="P70" s="379"/>
      <c r="Q70" s="379"/>
      <c r="R70" s="379"/>
      <c r="S70" s="379"/>
      <c r="T70" s="379"/>
      <c r="U70" s="760"/>
      <c r="V70" s="761"/>
      <c r="W70" s="756"/>
      <c r="X70" s="757"/>
      <c r="Y70" s="380" t="s">
        <v>199</v>
      </c>
      <c r="Z70" s="379"/>
      <c r="AA70" s="379"/>
      <c r="AB70" s="379"/>
      <c r="AC70" s="379"/>
      <c r="AD70" s="758">
        <v>2</v>
      </c>
      <c r="AE70" s="759"/>
      <c r="AF70" s="754"/>
      <c r="AG70" s="755"/>
      <c r="AH70" s="382" t="s">
        <v>1347</v>
      </c>
      <c r="AI70" s="383"/>
      <c r="AJ70" s="383"/>
      <c r="AK70" s="334"/>
      <c r="AL70" s="334"/>
      <c r="AM70" s="334"/>
      <c r="AN70" s="334"/>
      <c r="AO70" s="334"/>
      <c r="AP70" s="334"/>
      <c r="AQ70" s="334"/>
      <c r="AR70" s="334"/>
      <c r="AS70" s="334"/>
      <c r="AT70" s="334"/>
      <c r="AU70" s="334"/>
      <c r="AV70" s="334"/>
      <c r="AW70" s="334"/>
      <c r="AX70" s="334"/>
      <c r="AY70" s="334"/>
      <c r="AZ70" s="334"/>
      <c r="BA70" s="335"/>
      <c r="BB70" s="334"/>
      <c r="BC70" s="334"/>
      <c r="BD70" s="334"/>
      <c r="BE70" s="334"/>
      <c r="BF70" s="334"/>
      <c r="BG70" s="43"/>
      <c r="BK70" s="120"/>
      <c r="BL70" s="52"/>
    </row>
    <row r="71" spans="1:65">
      <c r="A71" s="681"/>
      <c r="B71" s="682"/>
      <c r="C71" s="59"/>
      <c r="D71" s="334"/>
      <c r="E71" s="334"/>
      <c r="F71" s="334"/>
      <c r="G71" s="334"/>
      <c r="H71" s="334"/>
      <c r="I71" s="334"/>
      <c r="J71" s="334"/>
      <c r="K71" s="335"/>
      <c r="L71" s="36"/>
      <c r="M71" s="334"/>
      <c r="N71" s="334"/>
      <c r="O71" s="334"/>
      <c r="P71" s="334"/>
      <c r="Q71" s="334"/>
      <c r="R71" s="334"/>
      <c r="S71" s="334"/>
      <c r="T71" s="334"/>
      <c r="U71" s="683"/>
      <c r="V71" s="682"/>
      <c r="W71" s="684"/>
      <c r="X71" s="685"/>
      <c r="Y71" s="368"/>
      <c r="Z71" s="370"/>
      <c r="AA71" s="370"/>
      <c r="AB71" s="370"/>
      <c r="AC71" s="369"/>
      <c r="AD71" s="368"/>
      <c r="AE71" s="369"/>
      <c r="AF71" s="368"/>
      <c r="AG71" s="369"/>
      <c r="AH71" s="333"/>
      <c r="AI71" s="334"/>
      <c r="AJ71" s="334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5"/>
      <c r="BB71" s="334"/>
      <c r="BC71" s="334"/>
      <c r="BD71" s="334"/>
      <c r="BE71" s="334"/>
      <c r="BF71" s="334"/>
      <c r="BG71" s="43"/>
      <c r="BK71" s="120"/>
      <c r="BL71" s="52"/>
    </row>
    <row r="72" spans="1:65">
      <c r="A72" s="681"/>
      <c r="B72" s="682"/>
      <c r="C72" s="59"/>
      <c r="D72" s="334"/>
      <c r="E72" s="334"/>
      <c r="F72" s="334"/>
      <c r="G72" s="334"/>
      <c r="H72" s="334"/>
      <c r="I72" s="334"/>
      <c r="J72" s="334"/>
      <c r="K72" s="335"/>
      <c r="L72" s="1"/>
      <c r="M72" s="334"/>
      <c r="N72" s="334"/>
      <c r="O72" s="334"/>
      <c r="P72" s="334"/>
      <c r="Q72" s="334"/>
      <c r="R72" s="334"/>
      <c r="S72" s="334"/>
      <c r="T72" s="334"/>
      <c r="U72" s="683"/>
      <c r="V72" s="682"/>
      <c r="W72" s="684"/>
      <c r="X72" s="685"/>
      <c r="Y72" s="368"/>
      <c r="Z72" s="370"/>
      <c r="AA72" s="370"/>
      <c r="AB72" s="370"/>
      <c r="AC72" s="369"/>
      <c r="AD72" s="368"/>
      <c r="AE72" s="369"/>
      <c r="AF72" s="368"/>
      <c r="AG72" s="369"/>
      <c r="AH72" s="333"/>
      <c r="AI72" s="334"/>
      <c r="AJ72" s="334"/>
      <c r="AK72" s="334"/>
      <c r="AL72" s="334"/>
      <c r="AM72" s="334"/>
      <c r="AN72" s="334"/>
      <c r="AO72" s="334"/>
      <c r="AP72" s="334"/>
      <c r="AQ72" s="334"/>
      <c r="AR72" s="334"/>
      <c r="AS72" s="334"/>
      <c r="AT72" s="334"/>
      <c r="AU72" s="334"/>
      <c r="AV72" s="334"/>
      <c r="AW72" s="334"/>
      <c r="AX72" s="334"/>
      <c r="AY72" s="334"/>
      <c r="AZ72" s="334"/>
      <c r="BA72" s="335"/>
      <c r="BB72" s="334"/>
      <c r="BC72" s="334"/>
      <c r="BD72" s="334"/>
      <c r="BE72" s="334"/>
      <c r="BF72" s="334"/>
      <c r="BG72" s="43"/>
      <c r="BK72" s="120"/>
      <c r="BL72" s="52"/>
    </row>
    <row r="73" spans="1:65">
      <c r="A73" s="681"/>
      <c r="B73" s="682"/>
      <c r="C73" s="59"/>
      <c r="D73" s="334"/>
      <c r="E73" s="334"/>
      <c r="F73" s="334"/>
      <c r="G73" s="334"/>
      <c r="H73" s="334"/>
      <c r="I73" s="334"/>
      <c r="J73" s="334"/>
      <c r="K73" s="335"/>
      <c r="L73" s="36"/>
      <c r="M73" s="334"/>
      <c r="N73" s="334"/>
      <c r="O73" s="334"/>
      <c r="P73" s="334"/>
      <c r="Q73" s="334"/>
      <c r="R73" s="334"/>
      <c r="S73" s="334"/>
      <c r="T73" s="334"/>
      <c r="U73" s="683"/>
      <c r="V73" s="682"/>
      <c r="W73" s="684"/>
      <c r="X73" s="685"/>
      <c r="Y73" s="291"/>
      <c r="Z73" s="370"/>
      <c r="AA73" s="370"/>
      <c r="AB73" s="370"/>
      <c r="AC73" s="369"/>
      <c r="AD73" s="368"/>
      <c r="AE73" s="369"/>
      <c r="AF73" s="368"/>
      <c r="AG73" s="369"/>
      <c r="AH73" s="330"/>
      <c r="AI73" s="334"/>
      <c r="AJ73" s="334"/>
      <c r="AK73" s="334"/>
      <c r="AL73" s="334"/>
      <c r="AM73" s="334"/>
      <c r="AN73" s="334"/>
      <c r="AO73" s="334"/>
      <c r="AP73" s="334"/>
      <c r="AQ73" s="334"/>
      <c r="AR73" s="334"/>
      <c r="AS73" s="334"/>
      <c r="AT73" s="334"/>
      <c r="AU73" s="334"/>
      <c r="AV73" s="334"/>
      <c r="AW73" s="334"/>
      <c r="AX73" s="334"/>
      <c r="AY73" s="334"/>
      <c r="AZ73" s="334"/>
      <c r="BA73" s="335"/>
      <c r="BB73" s="334"/>
      <c r="BC73" s="334"/>
      <c r="BD73" s="334"/>
      <c r="BE73" s="334"/>
      <c r="BF73" s="334"/>
      <c r="BG73" s="43"/>
      <c r="BK73" s="120"/>
      <c r="BL73" s="52"/>
    </row>
    <row r="74" spans="1:65">
      <c r="A74" s="681"/>
      <c r="B74" s="682"/>
      <c r="C74" s="59"/>
      <c r="D74" s="23"/>
      <c r="E74" s="23"/>
      <c r="F74" s="23"/>
      <c r="G74" s="23"/>
      <c r="H74" s="23"/>
      <c r="I74" s="23"/>
      <c r="J74" s="23"/>
      <c r="K74" s="41"/>
      <c r="L74" s="36"/>
      <c r="M74" s="23"/>
      <c r="N74" s="23"/>
      <c r="O74" s="23"/>
      <c r="P74" s="23"/>
      <c r="Q74" s="23"/>
      <c r="R74" s="23"/>
      <c r="S74" s="23"/>
      <c r="T74" s="23"/>
      <c r="U74" s="683"/>
      <c r="V74" s="682"/>
      <c r="W74" s="684"/>
      <c r="X74" s="685"/>
      <c r="Y74" s="279"/>
      <c r="Z74" s="280"/>
      <c r="AA74" s="280"/>
      <c r="AB74" s="280"/>
      <c r="AC74" s="281"/>
      <c r="AD74" s="282"/>
      <c r="AE74" s="283"/>
      <c r="AF74" s="297"/>
      <c r="AG74" s="298"/>
      <c r="AH74" s="42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41"/>
      <c r="BB74" s="23"/>
      <c r="BC74" s="23"/>
      <c r="BD74" s="23"/>
      <c r="BE74" s="23"/>
      <c r="BF74" s="23"/>
      <c r="BG74" s="43"/>
      <c r="BK74" s="51"/>
      <c r="BL74" s="51"/>
    </row>
    <row r="75" spans="1:65">
      <c r="A75" s="681"/>
      <c r="B75" s="682"/>
      <c r="C75" s="59"/>
      <c r="D75" s="23"/>
      <c r="E75" s="23"/>
      <c r="F75" s="23"/>
      <c r="G75" s="23"/>
      <c r="H75" s="23"/>
      <c r="I75" s="23"/>
      <c r="J75" s="23"/>
      <c r="K75" s="41"/>
      <c r="L75" s="36"/>
      <c r="M75" s="23"/>
      <c r="N75" s="23"/>
      <c r="O75" s="23"/>
      <c r="P75" s="23"/>
      <c r="Q75" s="23"/>
      <c r="R75" s="23"/>
      <c r="S75" s="23"/>
      <c r="T75" s="23"/>
      <c r="U75" s="683"/>
      <c r="V75" s="682"/>
      <c r="W75" s="684"/>
      <c r="X75" s="685"/>
      <c r="Y75" s="279"/>
      <c r="Z75" s="280"/>
      <c r="AA75" s="280"/>
      <c r="AB75" s="280"/>
      <c r="AC75" s="281"/>
      <c r="AD75" s="282"/>
      <c r="AE75" s="283"/>
      <c r="AF75" s="297"/>
      <c r="AG75" s="298"/>
      <c r="AH75" s="42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41"/>
      <c r="BB75" s="23"/>
      <c r="BC75" s="23"/>
      <c r="BD75" s="23"/>
      <c r="BE75" s="23"/>
      <c r="BF75" s="23"/>
      <c r="BG75" s="43"/>
      <c r="BK75" s="51"/>
      <c r="BL75" s="51"/>
    </row>
    <row r="76" spans="1:65">
      <c r="A76" s="681"/>
      <c r="B76" s="682"/>
      <c r="C76" s="59"/>
      <c r="D76" s="23"/>
      <c r="E76" s="23"/>
      <c r="F76" s="23"/>
      <c r="G76" s="23"/>
      <c r="H76" s="23"/>
      <c r="I76" s="23"/>
      <c r="J76" s="23"/>
      <c r="K76" s="41"/>
      <c r="L76" s="36"/>
      <c r="M76" s="23"/>
      <c r="N76" s="23"/>
      <c r="O76" s="23"/>
      <c r="P76" s="23"/>
      <c r="Q76" s="23"/>
      <c r="R76" s="23"/>
      <c r="S76" s="23"/>
      <c r="T76" s="23"/>
      <c r="U76" s="683"/>
      <c r="V76" s="682"/>
      <c r="W76" s="684"/>
      <c r="X76" s="685"/>
      <c r="Y76" s="279"/>
      <c r="Z76" s="280"/>
      <c r="AA76" s="280"/>
      <c r="AB76" s="280"/>
      <c r="AC76" s="281"/>
      <c r="AD76" s="282"/>
      <c r="AE76" s="283"/>
      <c r="AF76" s="297"/>
      <c r="AG76" s="298"/>
      <c r="AH76" s="42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41"/>
      <c r="BB76" s="23"/>
      <c r="BC76" s="23"/>
      <c r="BD76" s="23"/>
      <c r="BE76" s="23"/>
      <c r="BF76" s="23"/>
      <c r="BG76" s="43"/>
      <c r="BK76" s="51"/>
      <c r="BL76" s="51"/>
    </row>
    <row r="77" spans="1:65" ht="16.2" thickBot="1">
      <c r="A77" s="45"/>
      <c r="B77" s="45"/>
      <c r="C77" s="44"/>
      <c r="D77" s="45"/>
      <c r="E77" s="45"/>
      <c r="F77" s="45"/>
      <c r="G77" s="45"/>
      <c r="H77" s="45"/>
      <c r="I77" s="45"/>
      <c r="J77" s="45"/>
      <c r="K77" s="46"/>
      <c r="L77" s="45"/>
      <c r="M77" s="45"/>
      <c r="N77" s="45"/>
      <c r="O77" s="45"/>
      <c r="P77" s="45"/>
      <c r="Q77" s="45"/>
      <c r="R77" s="45"/>
      <c r="S77" s="45"/>
      <c r="T77" s="45"/>
      <c r="U77" s="677"/>
      <c r="V77" s="678"/>
      <c r="W77" s="677"/>
      <c r="X77" s="678"/>
      <c r="Y77" s="44"/>
      <c r="Z77" s="45"/>
      <c r="AA77" s="45"/>
      <c r="AB77" s="45"/>
      <c r="AC77" s="46"/>
      <c r="AD77" s="679"/>
      <c r="AE77" s="680"/>
      <c r="AF77" s="679"/>
      <c r="AG77" s="680"/>
      <c r="AH77" s="44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6"/>
      <c r="BK77" s="51"/>
      <c r="BL77" s="51"/>
    </row>
    <row r="78" spans="1:65">
      <c r="BK78" s="51"/>
      <c r="BL78" s="51"/>
    </row>
    <row r="79" spans="1:65">
      <c r="BK79" s="51"/>
      <c r="BL79" s="51"/>
    </row>
    <row r="80" spans="1:65">
      <c r="BK80" s="51"/>
      <c r="BL80" s="51"/>
    </row>
    <row r="81" spans="63:64">
      <c r="BK81" s="51"/>
      <c r="BL81" s="51"/>
    </row>
    <row r="82" spans="63:64">
      <c r="BK82" s="51"/>
      <c r="BL82" s="51"/>
    </row>
    <row r="83" spans="63:64">
      <c r="BK83" s="51"/>
      <c r="BL83" s="51"/>
    </row>
    <row r="84" spans="63:64">
      <c r="BK84" s="51"/>
      <c r="BL84" s="51"/>
    </row>
    <row r="85" spans="63:64">
      <c r="BK85" s="51"/>
      <c r="BL85" s="51"/>
    </row>
    <row r="86" spans="63:64">
      <c r="BK86" s="51"/>
      <c r="BL86" s="51"/>
    </row>
    <row r="87" spans="63:64">
      <c r="BK87" s="51"/>
      <c r="BL87" s="51"/>
    </row>
    <row r="88" spans="63:64">
      <c r="BK88" s="51"/>
      <c r="BL88" s="51"/>
    </row>
    <row r="89" spans="63:64">
      <c r="BK89" s="51"/>
      <c r="BL89" s="51"/>
    </row>
  </sheetData>
  <mergeCells count="256">
    <mergeCell ref="A72:B72"/>
    <mergeCell ref="U72:V72"/>
    <mergeCell ref="W72:X72"/>
    <mergeCell ref="A73:B73"/>
    <mergeCell ref="U73:V73"/>
    <mergeCell ref="W73:X73"/>
    <mergeCell ref="A69:B69"/>
    <mergeCell ref="U69:V69"/>
    <mergeCell ref="W69:X69"/>
    <mergeCell ref="A70:B70"/>
    <mergeCell ref="U70:V70"/>
    <mergeCell ref="W70:X70"/>
    <mergeCell ref="A71:B71"/>
    <mergeCell ref="U71:V71"/>
    <mergeCell ref="W71:X71"/>
    <mergeCell ref="A66:B66"/>
    <mergeCell ref="U66:V66"/>
    <mergeCell ref="W66:X66"/>
    <mergeCell ref="A67:B67"/>
    <mergeCell ref="U67:V67"/>
    <mergeCell ref="W67:X67"/>
    <mergeCell ref="A68:B68"/>
    <mergeCell ref="U68:V68"/>
    <mergeCell ref="W68:X68"/>
    <mergeCell ref="A63:B63"/>
    <mergeCell ref="U63:V63"/>
    <mergeCell ref="W63:X63"/>
    <mergeCell ref="A64:B64"/>
    <mergeCell ref="U64:V64"/>
    <mergeCell ref="W64:X64"/>
    <mergeCell ref="A65:B65"/>
    <mergeCell ref="U65:V65"/>
    <mergeCell ref="W65:X65"/>
    <mergeCell ref="A60:B60"/>
    <mergeCell ref="U60:V60"/>
    <mergeCell ref="W60:X60"/>
    <mergeCell ref="A61:B61"/>
    <mergeCell ref="U61:V61"/>
    <mergeCell ref="W61:X61"/>
    <mergeCell ref="A62:B62"/>
    <mergeCell ref="U62:V62"/>
    <mergeCell ref="W62:X62"/>
    <mergeCell ref="A57:B57"/>
    <mergeCell ref="U57:V57"/>
    <mergeCell ref="W57:X57"/>
    <mergeCell ref="A58:B58"/>
    <mergeCell ref="U58:V58"/>
    <mergeCell ref="W58:X58"/>
    <mergeCell ref="A59:B59"/>
    <mergeCell ref="U59:V59"/>
    <mergeCell ref="W59:X59"/>
    <mergeCell ref="AF77:AG77"/>
    <mergeCell ref="A76:B76"/>
    <mergeCell ref="U76:V76"/>
    <mergeCell ref="W76:X76"/>
    <mergeCell ref="A75:B75"/>
    <mergeCell ref="U75:V75"/>
    <mergeCell ref="W75:X75"/>
    <mergeCell ref="A74:B74"/>
    <mergeCell ref="U74:V74"/>
    <mergeCell ref="W74:X74"/>
    <mergeCell ref="U77:V77"/>
    <mergeCell ref="W77:X77"/>
    <mergeCell ref="AD77:AE77"/>
    <mergeCell ref="A54:B54"/>
    <mergeCell ref="U54:V54"/>
    <mergeCell ref="W54:X54"/>
    <mergeCell ref="A53:B53"/>
    <mergeCell ref="U53:V53"/>
    <mergeCell ref="W53:X53"/>
    <mergeCell ref="A56:B56"/>
    <mergeCell ref="U56:V56"/>
    <mergeCell ref="W56:X56"/>
    <mergeCell ref="A55:B55"/>
    <mergeCell ref="U55:V55"/>
    <mergeCell ref="W55:X55"/>
    <mergeCell ref="A50:B50"/>
    <mergeCell ref="U50:V50"/>
    <mergeCell ref="W50:X50"/>
    <mergeCell ref="A49:B49"/>
    <mergeCell ref="U49:V49"/>
    <mergeCell ref="W49:X49"/>
    <mergeCell ref="A52:B52"/>
    <mergeCell ref="U52:V52"/>
    <mergeCell ref="W52:X52"/>
    <mergeCell ref="A51:B51"/>
    <mergeCell ref="U51:V51"/>
    <mergeCell ref="W51:X51"/>
    <mergeCell ref="A46:B46"/>
    <mergeCell ref="U46:V46"/>
    <mergeCell ref="W46:X46"/>
    <mergeCell ref="A45:B45"/>
    <mergeCell ref="U45:V45"/>
    <mergeCell ref="W45:X45"/>
    <mergeCell ref="A48:B48"/>
    <mergeCell ref="U48:V48"/>
    <mergeCell ref="W48:X48"/>
    <mergeCell ref="A47:B47"/>
    <mergeCell ref="U47:V47"/>
    <mergeCell ref="W47:X47"/>
    <mergeCell ref="A42:B42"/>
    <mergeCell ref="U42:V42"/>
    <mergeCell ref="W42:X42"/>
    <mergeCell ref="A41:B41"/>
    <mergeCell ref="U41:V41"/>
    <mergeCell ref="W41:X41"/>
    <mergeCell ref="A44:B44"/>
    <mergeCell ref="U44:V44"/>
    <mergeCell ref="W44:X44"/>
    <mergeCell ref="A43:B43"/>
    <mergeCell ref="U43:V43"/>
    <mergeCell ref="W43:X43"/>
    <mergeCell ref="A38:B38"/>
    <mergeCell ref="U38:V38"/>
    <mergeCell ref="W38:X38"/>
    <mergeCell ref="A37:B37"/>
    <mergeCell ref="U37:V37"/>
    <mergeCell ref="W37:X37"/>
    <mergeCell ref="A40:B40"/>
    <mergeCell ref="U40:V40"/>
    <mergeCell ref="W40:X40"/>
    <mergeCell ref="A39:B39"/>
    <mergeCell ref="U39:V39"/>
    <mergeCell ref="W39:X39"/>
    <mergeCell ref="A34:B34"/>
    <mergeCell ref="U34:V34"/>
    <mergeCell ref="W34:X34"/>
    <mergeCell ref="A33:B33"/>
    <mergeCell ref="U33:V33"/>
    <mergeCell ref="W33:X33"/>
    <mergeCell ref="A36:B36"/>
    <mergeCell ref="U36:V36"/>
    <mergeCell ref="W36:X36"/>
    <mergeCell ref="A35:B35"/>
    <mergeCell ref="U35:V35"/>
    <mergeCell ref="W35:X35"/>
    <mergeCell ref="A30:B30"/>
    <mergeCell ref="U30:V30"/>
    <mergeCell ref="W30:X30"/>
    <mergeCell ref="A29:B29"/>
    <mergeCell ref="U29:V29"/>
    <mergeCell ref="W29:X29"/>
    <mergeCell ref="A32:B32"/>
    <mergeCell ref="U32:V32"/>
    <mergeCell ref="W32:X32"/>
    <mergeCell ref="A31:B31"/>
    <mergeCell ref="U31:V31"/>
    <mergeCell ref="W31:X31"/>
    <mergeCell ref="A26:B26"/>
    <mergeCell ref="U26:V26"/>
    <mergeCell ref="W26:X26"/>
    <mergeCell ref="A25:B25"/>
    <mergeCell ref="U25:V25"/>
    <mergeCell ref="W25:X25"/>
    <mergeCell ref="A28:B28"/>
    <mergeCell ref="U28:V28"/>
    <mergeCell ref="W28:X28"/>
    <mergeCell ref="A27:B27"/>
    <mergeCell ref="U27:V27"/>
    <mergeCell ref="W27:X27"/>
    <mergeCell ref="A22:B22"/>
    <mergeCell ref="U22:V22"/>
    <mergeCell ref="W22:X22"/>
    <mergeCell ref="A21:B21"/>
    <mergeCell ref="U21:V21"/>
    <mergeCell ref="W21:X21"/>
    <mergeCell ref="A24:B24"/>
    <mergeCell ref="U24:V24"/>
    <mergeCell ref="W24:X24"/>
    <mergeCell ref="A23:B23"/>
    <mergeCell ref="U23:V23"/>
    <mergeCell ref="W23:X23"/>
    <mergeCell ref="A18:B18"/>
    <mergeCell ref="U18:V18"/>
    <mergeCell ref="W18:X18"/>
    <mergeCell ref="A17:B17"/>
    <mergeCell ref="U17:V17"/>
    <mergeCell ref="W17:X17"/>
    <mergeCell ref="A20:B20"/>
    <mergeCell ref="U20:V20"/>
    <mergeCell ref="W20:X20"/>
    <mergeCell ref="A19:B19"/>
    <mergeCell ref="U19:V19"/>
    <mergeCell ref="W19:X19"/>
    <mergeCell ref="A14:B14"/>
    <mergeCell ref="U14:V14"/>
    <mergeCell ref="W14:X14"/>
    <mergeCell ref="A13:B13"/>
    <mergeCell ref="U13:V13"/>
    <mergeCell ref="W13:X13"/>
    <mergeCell ref="A16:B16"/>
    <mergeCell ref="U16:V16"/>
    <mergeCell ref="W16:X16"/>
    <mergeCell ref="A15:B15"/>
    <mergeCell ref="U15:V15"/>
    <mergeCell ref="W15:X15"/>
    <mergeCell ref="A10:B10"/>
    <mergeCell ref="U10:V10"/>
    <mergeCell ref="W10:X10"/>
    <mergeCell ref="A9:B9"/>
    <mergeCell ref="U9:V9"/>
    <mergeCell ref="W9:X9"/>
    <mergeCell ref="A12:B12"/>
    <mergeCell ref="U12:V12"/>
    <mergeCell ref="W12:X12"/>
    <mergeCell ref="A11:B11"/>
    <mergeCell ref="U11:V11"/>
    <mergeCell ref="W11:X11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D6:AE7"/>
    <mergeCell ref="AF6:AG7"/>
    <mergeCell ref="AH6:BA7"/>
    <mergeCell ref="BB6:BG7"/>
    <mergeCell ref="AD57:AE57"/>
    <mergeCell ref="AF57:AG57"/>
    <mergeCell ref="AD58:AE58"/>
    <mergeCell ref="AF58:AG58"/>
    <mergeCell ref="AD59:AE59"/>
    <mergeCell ref="AF59:AG59"/>
    <mergeCell ref="AD60:AE60"/>
    <mergeCell ref="AF60:AG60"/>
    <mergeCell ref="AD61:AE61"/>
    <mergeCell ref="AF61:AG61"/>
    <mergeCell ref="AD67:AE67"/>
    <mergeCell ref="AF67:AG67"/>
    <mergeCell ref="AD68:AE68"/>
    <mergeCell ref="AF68:AG68"/>
    <mergeCell ref="AD69:AE69"/>
    <mergeCell ref="AF69:AG69"/>
    <mergeCell ref="AD70:AE70"/>
    <mergeCell ref="AF70:AG70"/>
    <mergeCell ref="AD62:AE62"/>
    <mergeCell ref="AF62:AG62"/>
    <mergeCell ref="AD63:AE63"/>
    <mergeCell ref="AF63:AG63"/>
    <mergeCell ref="AD64:AE64"/>
    <mergeCell ref="AF64:AG64"/>
    <mergeCell ref="AD65:AE65"/>
    <mergeCell ref="AF65:AG65"/>
    <mergeCell ref="AD66:AE66"/>
    <mergeCell ref="AF66:AG6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L138"/>
  <sheetViews>
    <sheetView topLeftCell="A4" zoomScale="85" zoomScaleNormal="85" workbookViewId="0">
      <selection activeCell="L51" sqref="L51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5546875" style="160" customWidth="1"/>
    <col min="31" max="33" width="2.6640625" style="160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68"/>
      <c r="B3" s="168"/>
      <c r="C3" s="55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53"/>
      <c r="AE3" s="153"/>
      <c r="AF3" s="153"/>
      <c r="AG3" s="153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1652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1379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5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" t="s">
        <v>1304</v>
      </c>
      <c r="BL5" s="3" t="s">
        <v>703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1516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286" t="s">
        <v>16</v>
      </c>
      <c r="Z8" s="158"/>
      <c r="AA8" s="158"/>
      <c r="AB8" s="158"/>
      <c r="AC8" s="159"/>
      <c r="AD8" s="289">
        <v>100</v>
      </c>
      <c r="AE8" s="157"/>
      <c r="AF8" s="289">
        <v>0</v>
      </c>
      <c r="AG8" s="157"/>
      <c r="AH8" s="7" t="s">
        <v>1365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271" t="s">
        <v>68</v>
      </c>
      <c r="BL8" s="51" t="s">
        <v>630</v>
      </c>
    </row>
    <row r="9" spans="1:64">
      <c r="A9" s="681">
        <v>2</v>
      </c>
      <c r="B9" s="682"/>
      <c r="C9" s="386" t="s">
        <v>1518</v>
      </c>
      <c r="D9" s="387"/>
      <c r="E9" s="387"/>
      <c r="F9" s="387"/>
      <c r="G9" s="387"/>
      <c r="H9" s="387"/>
      <c r="I9" s="387"/>
      <c r="J9" s="387"/>
      <c r="K9" s="388"/>
      <c r="L9" s="299" t="s">
        <v>1367</v>
      </c>
      <c r="M9" s="168"/>
      <c r="N9" s="168"/>
      <c r="O9" s="168"/>
      <c r="P9" s="331"/>
      <c r="Q9" s="168"/>
      <c r="R9" s="168"/>
      <c r="S9" s="168"/>
      <c r="T9" s="168"/>
      <c r="U9" s="683"/>
      <c r="V9" s="682"/>
      <c r="W9" s="684"/>
      <c r="X9" s="685"/>
      <c r="Y9" s="285" t="s">
        <v>16</v>
      </c>
      <c r="Z9" s="155"/>
      <c r="AA9" s="155"/>
      <c r="AB9" s="155"/>
      <c r="AC9" s="156"/>
      <c r="AD9" s="282">
        <v>100</v>
      </c>
      <c r="AE9" s="149"/>
      <c r="AF9" s="282">
        <v>0</v>
      </c>
      <c r="AG9" s="149"/>
      <c r="AH9" s="164" t="s">
        <v>1517</v>
      </c>
      <c r="AI9" s="165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68"/>
      <c r="AY9" s="168"/>
      <c r="AZ9" s="168"/>
      <c r="BA9" s="169"/>
      <c r="BB9" s="168"/>
      <c r="BC9" s="168"/>
      <c r="BD9" s="168"/>
      <c r="BE9" s="168"/>
      <c r="BF9" s="168"/>
      <c r="BG9" s="43"/>
      <c r="BH9" s="36"/>
      <c r="BK9" s="272" t="s">
        <v>587</v>
      </c>
      <c r="BL9" s="52" t="s">
        <v>622</v>
      </c>
    </row>
    <row r="10" spans="1:64">
      <c r="A10" s="681">
        <v>3</v>
      </c>
      <c r="B10" s="682"/>
      <c r="C10" s="59" t="str">
        <f t="shared" ref="C10:C32" si="0">VLOOKUP(L10,$BK$7:$BL$110,2,FALSE)</f>
        <v>变更等级</v>
      </c>
      <c r="D10" s="165"/>
      <c r="E10" s="165"/>
      <c r="F10" s="165"/>
      <c r="G10" s="165"/>
      <c r="H10" s="165"/>
      <c r="I10" s="165"/>
      <c r="J10" s="165"/>
      <c r="K10" s="166"/>
      <c r="L10" s="1" t="s">
        <v>565</v>
      </c>
      <c r="M10" s="165"/>
      <c r="N10" s="165"/>
      <c r="O10" s="165"/>
      <c r="P10" s="165"/>
      <c r="Q10" s="165"/>
      <c r="R10" s="165"/>
      <c r="S10" s="165"/>
      <c r="T10" s="165"/>
      <c r="U10" s="692"/>
      <c r="V10" s="693"/>
      <c r="W10" s="694"/>
      <c r="X10" s="695"/>
      <c r="Y10" s="285" t="s">
        <v>16</v>
      </c>
      <c r="Z10" s="155"/>
      <c r="AA10" s="155"/>
      <c r="AB10" s="155"/>
      <c r="AC10" s="156"/>
      <c r="AD10" s="282">
        <v>100</v>
      </c>
      <c r="AE10" s="149"/>
      <c r="AF10" s="282">
        <v>0</v>
      </c>
      <c r="AG10" s="149"/>
      <c r="AH10" s="164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6"/>
      <c r="BB10" s="168"/>
      <c r="BC10" s="168"/>
      <c r="BD10" s="168"/>
      <c r="BE10" s="168"/>
      <c r="BF10" s="168"/>
      <c r="BG10" s="43"/>
      <c r="BH10" s="36"/>
      <c r="BK10" s="271" t="s">
        <v>588</v>
      </c>
      <c r="BL10" s="51" t="s">
        <v>623</v>
      </c>
    </row>
    <row r="11" spans="1:64">
      <c r="A11" s="681">
        <v>4</v>
      </c>
      <c r="B11" s="682"/>
      <c r="C11" s="59" t="str">
        <f t="shared" si="0"/>
        <v>补充协议名称</v>
      </c>
      <c r="D11" s="165"/>
      <c r="E11" s="165"/>
      <c r="F11" s="165"/>
      <c r="G11" s="165"/>
      <c r="H11" s="165"/>
      <c r="I11" s="165"/>
      <c r="J11" s="165"/>
      <c r="K11" s="166"/>
      <c r="L11" s="475" t="s">
        <v>566</v>
      </c>
      <c r="M11" s="473"/>
      <c r="N11" s="473"/>
      <c r="O11" s="473"/>
      <c r="P11" s="473"/>
      <c r="Q11" s="473"/>
      <c r="R11" s="473"/>
      <c r="S11" s="473"/>
      <c r="T11" s="473"/>
      <c r="U11" s="692"/>
      <c r="V11" s="693"/>
      <c r="W11" s="694"/>
      <c r="X11" s="695"/>
      <c r="Y11" s="285" t="s">
        <v>16</v>
      </c>
      <c r="Z11" s="155"/>
      <c r="AA11" s="155"/>
      <c r="AB11" s="155"/>
      <c r="AC11" s="156"/>
      <c r="AD11" s="282">
        <v>128</v>
      </c>
      <c r="AE11" s="149"/>
      <c r="AF11" s="282">
        <v>0</v>
      </c>
      <c r="AG11" s="149"/>
      <c r="AH11" s="164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9"/>
      <c r="BB11" s="48"/>
      <c r="BC11" s="48"/>
      <c r="BD11" s="48"/>
      <c r="BE11" s="48"/>
      <c r="BF11" s="48"/>
      <c r="BG11" s="49"/>
      <c r="BK11" s="272" t="s">
        <v>583</v>
      </c>
      <c r="BL11" s="51" t="s">
        <v>631</v>
      </c>
    </row>
    <row r="12" spans="1:64">
      <c r="A12" s="681">
        <v>5</v>
      </c>
      <c r="B12" s="682"/>
      <c r="C12" s="59" t="str">
        <f t="shared" si="0"/>
        <v>变更内容</v>
      </c>
      <c r="D12" s="165"/>
      <c r="E12" s="165"/>
      <c r="F12" s="165"/>
      <c r="G12" s="165"/>
      <c r="H12" s="165"/>
      <c r="I12" s="165"/>
      <c r="J12" s="165"/>
      <c r="K12" s="166"/>
      <c r="L12" s="1" t="s">
        <v>567</v>
      </c>
      <c r="M12" s="165"/>
      <c r="N12" s="165"/>
      <c r="O12" s="165"/>
      <c r="P12" s="165"/>
      <c r="Q12" s="165"/>
      <c r="R12" s="165"/>
      <c r="S12" s="165"/>
      <c r="T12" s="165"/>
      <c r="U12" s="692"/>
      <c r="V12" s="693"/>
      <c r="W12" s="694"/>
      <c r="X12" s="695"/>
      <c r="Y12" s="285" t="s">
        <v>16</v>
      </c>
      <c r="Z12" s="155"/>
      <c r="AA12" s="155"/>
      <c r="AB12" s="155"/>
      <c r="AC12" s="156"/>
      <c r="AD12" s="282">
        <v>1024</v>
      </c>
      <c r="AE12" s="149"/>
      <c r="AF12" s="282">
        <v>0</v>
      </c>
      <c r="AG12" s="149"/>
      <c r="AH12" s="164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9"/>
      <c r="BB12" s="168"/>
      <c r="BC12" s="168"/>
      <c r="BD12" s="168"/>
      <c r="BE12" s="168"/>
      <c r="BF12" s="168"/>
      <c r="BG12" s="43"/>
      <c r="BK12" s="272" t="s">
        <v>584</v>
      </c>
      <c r="BL12" s="51" t="s">
        <v>632</v>
      </c>
    </row>
    <row r="13" spans="1:64">
      <c r="A13" s="681">
        <v>6</v>
      </c>
      <c r="B13" s="682"/>
      <c r="C13" s="59" t="str">
        <f t="shared" si="0"/>
        <v>变更原因</v>
      </c>
      <c r="D13" s="165"/>
      <c r="E13" s="165"/>
      <c r="F13" s="165"/>
      <c r="G13" s="165"/>
      <c r="H13" s="165"/>
      <c r="I13" s="165"/>
      <c r="J13" s="165"/>
      <c r="K13" s="166"/>
      <c r="L13" s="1" t="s">
        <v>568</v>
      </c>
      <c r="M13" s="165"/>
      <c r="N13" s="165"/>
      <c r="O13" s="165"/>
      <c r="P13" s="165"/>
      <c r="Q13" s="165"/>
      <c r="R13" s="165"/>
      <c r="S13" s="165"/>
      <c r="T13" s="165"/>
      <c r="U13" s="692"/>
      <c r="V13" s="693"/>
      <c r="W13" s="694"/>
      <c r="X13" s="695"/>
      <c r="Y13" s="285" t="s">
        <v>16</v>
      </c>
      <c r="Z13" s="155"/>
      <c r="AA13" s="155"/>
      <c r="AB13" s="155"/>
      <c r="AC13" s="156"/>
      <c r="AD13" s="282">
        <v>1024</v>
      </c>
      <c r="AE13" s="149"/>
      <c r="AF13" s="282">
        <v>0</v>
      </c>
      <c r="AG13" s="149"/>
      <c r="AH13" s="164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9"/>
      <c r="BB13" s="168"/>
      <c r="BC13" s="168"/>
      <c r="BD13" s="168"/>
      <c r="BE13" s="168"/>
      <c r="BF13" s="168"/>
      <c r="BG13" s="43"/>
      <c r="BK13" s="272" t="s">
        <v>585</v>
      </c>
      <c r="BL13" s="51" t="s">
        <v>517</v>
      </c>
    </row>
    <row r="14" spans="1:64">
      <c r="A14" s="681">
        <v>7</v>
      </c>
      <c r="B14" s="682"/>
      <c r="C14" s="59" t="str">
        <f t="shared" si="0"/>
        <v>发生时间</v>
      </c>
      <c r="D14" s="165"/>
      <c r="E14" s="165"/>
      <c r="F14" s="165"/>
      <c r="G14" s="165"/>
      <c r="H14" s="165"/>
      <c r="I14" s="165"/>
      <c r="J14" s="165"/>
      <c r="K14" s="166"/>
      <c r="L14" s="1" t="s">
        <v>569</v>
      </c>
      <c r="M14" s="165"/>
      <c r="N14" s="165"/>
      <c r="O14" s="165"/>
      <c r="P14" s="165"/>
      <c r="Q14" s="165"/>
      <c r="R14" s="165"/>
      <c r="S14" s="165"/>
      <c r="T14" s="165"/>
      <c r="U14" s="692"/>
      <c r="V14" s="693"/>
      <c r="W14" s="694"/>
      <c r="X14" s="695"/>
      <c r="Y14" s="285" t="s">
        <v>17</v>
      </c>
      <c r="Z14" s="155"/>
      <c r="AA14" s="155"/>
      <c r="AB14" s="155"/>
      <c r="AC14" s="156"/>
      <c r="AD14" s="282"/>
      <c r="AE14" s="149"/>
      <c r="AF14" s="282"/>
      <c r="AG14" s="149"/>
      <c r="AH14" s="164" t="s">
        <v>1299</v>
      </c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9"/>
      <c r="BB14" s="168"/>
      <c r="BC14" s="168"/>
      <c r="BD14" s="168"/>
      <c r="BE14" s="168"/>
      <c r="BF14" s="168"/>
      <c r="BG14" s="43"/>
      <c r="BK14" s="272" t="s">
        <v>586</v>
      </c>
      <c r="BL14" s="51" t="s">
        <v>518</v>
      </c>
    </row>
    <row r="15" spans="1:64">
      <c r="A15" s="681">
        <v>8</v>
      </c>
      <c r="B15" s="682"/>
      <c r="C15" s="59" t="str">
        <f t="shared" si="0"/>
        <v>本期含税变更增减金额(万元)</v>
      </c>
      <c r="D15" s="165"/>
      <c r="E15" s="165"/>
      <c r="F15" s="165"/>
      <c r="G15" s="165"/>
      <c r="H15" s="165"/>
      <c r="I15" s="165"/>
      <c r="J15" s="165"/>
      <c r="K15" s="166"/>
      <c r="L15" s="475" t="s">
        <v>1735</v>
      </c>
      <c r="M15" s="473"/>
      <c r="N15" s="473"/>
      <c r="O15" s="473"/>
      <c r="P15" s="473"/>
      <c r="Q15" s="473"/>
      <c r="R15" s="473"/>
      <c r="S15" s="473"/>
      <c r="T15" s="473"/>
      <c r="U15" s="692"/>
      <c r="V15" s="693"/>
      <c r="W15" s="694"/>
      <c r="X15" s="695"/>
      <c r="Y15" s="285" t="s">
        <v>1303</v>
      </c>
      <c r="Z15" s="155"/>
      <c r="AA15" s="155"/>
      <c r="AB15" s="155"/>
      <c r="AC15" s="156"/>
      <c r="AD15" s="282">
        <v>19</v>
      </c>
      <c r="AE15" s="149"/>
      <c r="AF15" s="282">
        <v>6</v>
      </c>
      <c r="AG15" s="149"/>
      <c r="AH15" s="164" t="s">
        <v>1292</v>
      </c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  <c r="AV15" s="168"/>
      <c r="AW15" s="168"/>
      <c r="AX15" s="168"/>
      <c r="AY15" s="168"/>
      <c r="AZ15" s="168"/>
      <c r="BA15" s="169"/>
      <c r="BB15" s="168"/>
      <c r="BC15" s="168"/>
      <c r="BD15" s="168"/>
      <c r="BE15" s="168"/>
      <c r="BF15" s="168"/>
      <c r="BG15" s="43"/>
      <c r="BK15" s="272" t="s">
        <v>31</v>
      </c>
      <c r="BL15" s="51" t="s">
        <v>31</v>
      </c>
    </row>
    <row r="16" spans="1:64">
      <c r="A16" s="681">
        <v>9</v>
      </c>
      <c r="B16" s="682"/>
      <c r="C16" s="59" t="str">
        <f t="shared" si="0"/>
        <v>申报日期</v>
      </c>
      <c r="D16" s="165"/>
      <c r="E16" s="165"/>
      <c r="F16" s="165"/>
      <c r="G16" s="165"/>
      <c r="H16" s="165"/>
      <c r="I16" s="165"/>
      <c r="J16" s="165"/>
      <c r="K16" s="166"/>
      <c r="L16" s="1" t="s">
        <v>571</v>
      </c>
      <c r="M16" s="165"/>
      <c r="N16" s="165"/>
      <c r="O16" s="165"/>
      <c r="P16" s="165"/>
      <c r="Q16" s="165"/>
      <c r="R16" s="165"/>
      <c r="S16" s="165"/>
      <c r="T16" s="165"/>
      <c r="U16" s="692"/>
      <c r="V16" s="693"/>
      <c r="W16" s="694"/>
      <c r="X16" s="695"/>
      <c r="Y16" s="285" t="s">
        <v>17</v>
      </c>
      <c r="Z16" s="155"/>
      <c r="AA16" s="155"/>
      <c r="AB16" s="155"/>
      <c r="AC16" s="156"/>
      <c r="AD16" s="282"/>
      <c r="AE16" s="149"/>
      <c r="AF16" s="282"/>
      <c r="AG16" s="149"/>
      <c r="AH16" s="164" t="s">
        <v>1300</v>
      </c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9"/>
      <c r="BB16" s="168"/>
      <c r="BC16" s="168"/>
      <c r="BD16" s="168"/>
      <c r="BE16" s="168"/>
      <c r="BF16" s="168"/>
      <c r="BG16" s="43"/>
      <c r="BK16" s="272" t="s">
        <v>590</v>
      </c>
      <c r="BL16" s="51" t="s">
        <v>54</v>
      </c>
    </row>
    <row r="17" spans="1:64">
      <c r="A17" s="681">
        <v>10</v>
      </c>
      <c r="B17" s="682"/>
      <c r="C17" s="59" t="str">
        <f t="shared" si="0"/>
        <v>申报文号</v>
      </c>
      <c r="D17" s="168"/>
      <c r="E17" s="168"/>
      <c r="F17" s="168"/>
      <c r="G17" s="168"/>
      <c r="H17" s="168"/>
      <c r="I17" s="168"/>
      <c r="J17" s="168"/>
      <c r="K17" s="169"/>
      <c r="L17" s="36" t="s">
        <v>572</v>
      </c>
      <c r="M17" s="168"/>
      <c r="N17" s="168"/>
      <c r="O17" s="168"/>
      <c r="P17" s="168"/>
      <c r="Q17" s="168"/>
      <c r="R17" s="168"/>
      <c r="S17" s="168"/>
      <c r="T17" s="168"/>
      <c r="U17" s="683"/>
      <c r="V17" s="682"/>
      <c r="W17" s="684"/>
      <c r="X17" s="685"/>
      <c r="Y17" s="279" t="s">
        <v>16</v>
      </c>
      <c r="Z17" s="151"/>
      <c r="AA17" s="151"/>
      <c r="AB17" s="151"/>
      <c r="AC17" s="152"/>
      <c r="AD17" s="282">
        <v>64</v>
      </c>
      <c r="AE17" s="149"/>
      <c r="AF17" s="282">
        <v>0</v>
      </c>
      <c r="AG17" s="149"/>
      <c r="AH17" s="167"/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8"/>
      <c r="AY17" s="168"/>
      <c r="AZ17" s="168"/>
      <c r="BA17" s="169"/>
      <c r="BB17" s="168"/>
      <c r="BC17" s="168"/>
      <c r="BD17" s="168"/>
      <c r="BE17" s="168"/>
      <c r="BF17" s="168"/>
      <c r="BG17" s="43"/>
      <c r="BK17" s="272" t="s">
        <v>572</v>
      </c>
      <c r="BL17" s="51" t="s">
        <v>598</v>
      </c>
    </row>
    <row r="18" spans="1:64">
      <c r="A18" s="681">
        <v>11</v>
      </c>
      <c r="B18" s="682"/>
      <c r="C18" s="59" t="str">
        <f t="shared" si="0"/>
        <v>申报延期天数</v>
      </c>
      <c r="D18" s="168"/>
      <c r="E18" s="168"/>
      <c r="F18" s="168"/>
      <c r="G18" s="168"/>
      <c r="H18" s="168"/>
      <c r="I18" s="168"/>
      <c r="J18" s="168"/>
      <c r="K18" s="169"/>
      <c r="L18" s="36" t="s">
        <v>573</v>
      </c>
      <c r="M18" s="168"/>
      <c r="N18" s="168"/>
      <c r="O18" s="168"/>
      <c r="P18" s="168"/>
      <c r="Q18" s="168"/>
      <c r="R18" s="168"/>
      <c r="S18" s="168"/>
      <c r="T18" s="168"/>
      <c r="U18" s="683"/>
      <c r="V18" s="682"/>
      <c r="W18" s="684"/>
      <c r="X18" s="685"/>
      <c r="Y18" s="279" t="s">
        <v>16</v>
      </c>
      <c r="Z18" s="151"/>
      <c r="AA18" s="151"/>
      <c r="AB18" s="151"/>
      <c r="AC18" s="152"/>
      <c r="AD18" s="282">
        <v>64</v>
      </c>
      <c r="AE18" s="149"/>
      <c r="AF18" s="282">
        <v>0</v>
      </c>
      <c r="AG18" s="149"/>
      <c r="AH18" s="167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68"/>
      <c r="BA18" s="169"/>
      <c r="BB18" s="168"/>
      <c r="BC18" s="168"/>
      <c r="BD18" s="168"/>
      <c r="BE18" s="168"/>
      <c r="BF18" s="168"/>
      <c r="BG18" s="43"/>
      <c r="BK18" s="272" t="s">
        <v>566</v>
      </c>
      <c r="BL18" s="51" t="s">
        <v>557</v>
      </c>
    </row>
    <row r="19" spans="1:64">
      <c r="A19" s="681">
        <v>12</v>
      </c>
      <c r="B19" s="682"/>
      <c r="C19" s="59" t="str">
        <f t="shared" si="0"/>
        <v>变更后含税合同金额(万元)</v>
      </c>
      <c r="D19" s="168"/>
      <c r="E19" s="168"/>
      <c r="F19" s="168"/>
      <c r="G19" s="168"/>
      <c r="H19" s="168"/>
      <c r="I19" s="168"/>
      <c r="J19" s="168"/>
      <c r="K19" s="169"/>
      <c r="L19" s="475" t="s">
        <v>1736</v>
      </c>
      <c r="M19" s="474"/>
      <c r="N19" s="474"/>
      <c r="O19" s="474"/>
      <c r="P19" s="474"/>
      <c r="Q19" s="474"/>
      <c r="R19" s="474"/>
      <c r="S19" s="474"/>
      <c r="T19" s="474"/>
      <c r="U19" s="683"/>
      <c r="V19" s="682"/>
      <c r="W19" s="684"/>
      <c r="X19" s="685"/>
      <c r="Y19" s="352" t="s">
        <v>1307</v>
      </c>
      <c r="Z19" s="151"/>
      <c r="AA19" s="151"/>
      <c r="AB19" s="151"/>
      <c r="AC19" s="152"/>
      <c r="AD19" s="282">
        <v>19</v>
      </c>
      <c r="AE19" s="149"/>
      <c r="AF19" s="282">
        <v>6</v>
      </c>
      <c r="AG19" s="149"/>
      <c r="AH19" s="330" t="s">
        <v>1293</v>
      </c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9"/>
      <c r="BB19" s="168"/>
      <c r="BC19" s="168"/>
      <c r="BD19" s="168"/>
      <c r="BE19" s="168"/>
      <c r="BF19" s="168"/>
      <c r="BG19" s="43"/>
      <c r="BK19" s="272" t="s">
        <v>570</v>
      </c>
      <c r="BL19" s="52" t="s">
        <v>1645</v>
      </c>
    </row>
    <row r="20" spans="1:64">
      <c r="A20" s="681">
        <v>13</v>
      </c>
      <c r="B20" s="682"/>
      <c r="C20" s="59" t="str">
        <f t="shared" si="0"/>
        <v>日期</v>
      </c>
      <c r="D20" s="168"/>
      <c r="E20" s="168"/>
      <c r="F20" s="168"/>
      <c r="G20" s="168"/>
      <c r="H20" s="168"/>
      <c r="I20" s="168"/>
      <c r="J20" s="168"/>
      <c r="K20" s="169"/>
      <c r="L20" s="476" t="s">
        <v>575</v>
      </c>
      <c r="M20" s="474"/>
      <c r="N20" s="474"/>
      <c r="O20" s="474"/>
      <c r="P20" s="474"/>
      <c r="Q20" s="474"/>
      <c r="R20" s="474"/>
      <c r="S20" s="474"/>
      <c r="T20" s="474"/>
      <c r="U20" s="683"/>
      <c r="V20" s="682"/>
      <c r="W20" s="684"/>
      <c r="X20" s="685"/>
      <c r="Y20" s="279" t="s">
        <v>17</v>
      </c>
      <c r="Z20" s="151"/>
      <c r="AA20" s="151"/>
      <c r="AB20" s="151"/>
      <c r="AC20" s="152"/>
      <c r="AD20" s="282"/>
      <c r="AE20" s="149"/>
      <c r="AF20" s="282"/>
      <c r="AG20" s="149"/>
      <c r="AH20" s="330" t="s">
        <v>1301</v>
      </c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9"/>
      <c r="BB20" s="168"/>
      <c r="BC20" s="168"/>
      <c r="BD20" s="168"/>
      <c r="BE20" s="168"/>
      <c r="BF20" s="168"/>
      <c r="BG20" s="43"/>
      <c r="BK20" s="272" t="s">
        <v>574</v>
      </c>
      <c r="BL20" s="51" t="s">
        <v>526</v>
      </c>
    </row>
    <row r="21" spans="1:64">
      <c r="A21" s="681">
        <v>14</v>
      </c>
      <c r="B21" s="682"/>
      <c r="C21" s="59" t="str">
        <f t="shared" si="0"/>
        <v>补充协议书编号</v>
      </c>
      <c r="D21" s="168"/>
      <c r="E21" s="168"/>
      <c r="F21" s="168"/>
      <c r="G21" s="168"/>
      <c r="H21" s="168"/>
      <c r="I21" s="168"/>
      <c r="J21" s="168"/>
      <c r="K21" s="169"/>
      <c r="L21" s="476" t="s">
        <v>576</v>
      </c>
      <c r="M21" s="474"/>
      <c r="N21" s="474"/>
      <c r="O21" s="474"/>
      <c r="P21" s="474"/>
      <c r="Q21" s="474"/>
      <c r="R21" s="474"/>
      <c r="S21" s="474"/>
      <c r="T21" s="474"/>
      <c r="U21" s="683"/>
      <c r="V21" s="682"/>
      <c r="W21" s="684"/>
      <c r="X21" s="685"/>
      <c r="Y21" s="279" t="s">
        <v>16</v>
      </c>
      <c r="Z21" s="151"/>
      <c r="AA21" s="151"/>
      <c r="AB21" s="151"/>
      <c r="AC21" s="152"/>
      <c r="AD21" s="282">
        <v>64</v>
      </c>
      <c r="AE21" s="149"/>
      <c r="AF21" s="282">
        <v>0</v>
      </c>
      <c r="AG21" s="149"/>
      <c r="AH21" s="167"/>
      <c r="AI21" s="168"/>
      <c r="AJ21" s="168"/>
      <c r="AK21" s="168"/>
      <c r="AL21" s="168"/>
      <c r="AM21" s="168"/>
      <c r="AN21" s="168"/>
      <c r="AO21" s="168"/>
      <c r="AP21" s="168"/>
      <c r="AQ21" s="168"/>
      <c r="AR21" s="168"/>
      <c r="AS21" s="168"/>
      <c r="AT21" s="168"/>
      <c r="AU21" s="168"/>
      <c r="AV21" s="168"/>
      <c r="AW21" s="168"/>
      <c r="AX21" s="168"/>
      <c r="AY21" s="168"/>
      <c r="AZ21" s="168"/>
      <c r="BA21" s="169"/>
      <c r="BB21" s="168"/>
      <c r="BC21" s="168"/>
      <c r="BD21" s="168"/>
      <c r="BE21" s="168"/>
      <c r="BF21" s="168"/>
      <c r="BG21" s="43"/>
      <c r="BK21" s="272" t="s">
        <v>564</v>
      </c>
      <c r="BL21" s="51" t="s">
        <v>599</v>
      </c>
    </row>
    <row r="22" spans="1:64">
      <c r="A22" s="681">
        <v>15</v>
      </c>
      <c r="B22" s="682"/>
      <c r="C22" s="59" t="str">
        <f t="shared" si="0"/>
        <v>批复延期天数</v>
      </c>
      <c r="D22" s="168"/>
      <c r="E22" s="168"/>
      <c r="F22" s="168"/>
      <c r="G22" s="168"/>
      <c r="H22" s="168"/>
      <c r="I22" s="168"/>
      <c r="J22" s="168"/>
      <c r="K22" s="169"/>
      <c r="L22" s="36" t="s">
        <v>577</v>
      </c>
      <c r="M22" s="168"/>
      <c r="N22" s="168"/>
      <c r="O22" s="168"/>
      <c r="P22" s="168"/>
      <c r="Q22" s="168"/>
      <c r="R22" s="168"/>
      <c r="S22" s="168"/>
      <c r="T22" s="168"/>
      <c r="U22" s="683"/>
      <c r="V22" s="682"/>
      <c r="W22" s="684"/>
      <c r="X22" s="685"/>
      <c r="Y22" s="279" t="s">
        <v>16</v>
      </c>
      <c r="Z22" s="151"/>
      <c r="AA22" s="151"/>
      <c r="AB22" s="151"/>
      <c r="AC22" s="152"/>
      <c r="AD22" s="282">
        <v>64</v>
      </c>
      <c r="AE22" s="149"/>
      <c r="AF22" s="282">
        <v>0</v>
      </c>
      <c r="AG22" s="149"/>
      <c r="AH22" s="167"/>
      <c r="AI22" s="168"/>
      <c r="AJ22" s="168"/>
      <c r="AK22" s="168"/>
      <c r="AL22" s="168"/>
      <c r="AM22" s="168"/>
      <c r="AN22" s="168"/>
      <c r="AO22" s="168"/>
      <c r="AP22" s="168"/>
      <c r="AQ22" s="168"/>
      <c r="AR22" s="168"/>
      <c r="AS22" s="168"/>
      <c r="AT22" s="168"/>
      <c r="AU22" s="168"/>
      <c r="AV22" s="168"/>
      <c r="AW22" s="168"/>
      <c r="AX22" s="168"/>
      <c r="AY22" s="168"/>
      <c r="AZ22" s="168"/>
      <c r="BA22" s="169"/>
      <c r="BB22" s="168"/>
      <c r="BC22" s="168"/>
      <c r="BD22" s="168"/>
      <c r="BE22" s="168"/>
      <c r="BF22" s="168"/>
      <c r="BG22" s="43"/>
      <c r="BK22" s="271" t="s">
        <v>567</v>
      </c>
      <c r="BL22" s="52" t="s">
        <v>604</v>
      </c>
    </row>
    <row r="23" spans="1:64">
      <c r="A23" s="681">
        <v>16</v>
      </c>
      <c r="B23" s="682"/>
      <c r="C23" s="59" t="str">
        <f t="shared" si="0"/>
        <v>批复状态</v>
      </c>
      <c r="D23" s="168"/>
      <c r="E23" s="168"/>
      <c r="F23" s="168"/>
      <c r="G23" s="168"/>
      <c r="H23" s="168"/>
      <c r="I23" s="168"/>
      <c r="J23" s="168"/>
      <c r="K23" s="169"/>
      <c r="L23" s="36" t="s">
        <v>578</v>
      </c>
      <c r="M23" s="168"/>
      <c r="N23" s="168"/>
      <c r="O23" s="168"/>
      <c r="P23" s="168"/>
      <c r="Q23" s="168"/>
      <c r="R23" s="168"/>
      <c r="S23" s="168"/>
      <c r="T23" s="168"/>
      <c r="U23" s="683"/>
      <c r="V23" s="682"/>
      <c r="W23" s="684"/>
      <c r="X23" s="685"/>
      <c r="Y23" s="279" t="s">
        <v>16</v>
      </c>
      <c r="Z23" s="151"/>
      <c r="AA23" s="151"/>
      <c r="AB23" s="151"/>
      <c r="AC23" s="152"/>
      <c r="AD23" s="282">
        <v>16</v>
      </c>
      <c r="AE23" s="149"/>
      <c r="AF23" s="282">
        <v>0</v>
      </c>
      <c r="AG23" s="149"/>
      <c r="AH23" s="167"/>
      <c r="AI23" s="168"/>
      <c r="AJ23" s="168"/>
      <c r="AK23" s="168"/>
      <c r="AL23" s="168"/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8"/>
      <c r="AY23" s="168"/>
      <c r="AZ23" s="168"/>
      <c r="BA23" s="169"/>
      <c r="BB23" s="168"/>
      <c r="BC23" s="168"/>
      <c r="BD23" s="168"/>
      <c r="BE23" s="168"/>
      <c r="BF23" s="168"/>
      <c r="BG23" s="43"/>
      <c r="BK23" s="272" t="s">
        <v>591</v>
      </c>
      <c r="BL23" s="52" t="s">
        <v>602</v>
      </c>
    </row>
    <row r="24" spans="1:64">
      <c r="A24" s="681">
        <v>17</v>
      </c>
      <c r="B24" s="682"/>
      <c r="C24" s="59" t="str">
        <f t="shared" si="0"/>
        <v>记录人</v>
      </c>
      <c r="D24" s="168"/>
      <c r="E24" s="168"/>
      <c r="F24" s="168"/>
      <c r="G24" s="168"/>
      <c r="H24" s="168"/>
      <c r="I24" s="168"/>
      <c r="J24" s="168"/>
      <c r="K24" s="169"/>
      <c r="L24" s="36" t="s">
        <v>579</v>
      </c>
      <c r="M24" s="168"/>
      <c r="N24" s="168"/>
      <c r="O24" s="168"/>
      <c r="P24" s="168"/>
      <c r="Q24" s="168"/>
      <c r="R24" s="168"/>
      <c r="S24" s="168"/>
      <c r="T24" s="168"/>
      <c r="U24" s="683"/>
      <c r="V24" s="682"/>
      <c r="W24" s="684"/>
      <c r="X24" s="685"/>
      <c r="Y24" s="279" t="s">
        <v>16</v>
      </c>
      <c r="Z24" s="151"/>
      <c r="AA24" s="151"/>
      <c r="AB24" s="151"/>
      <c r="AC24" s="152"/>
      <c r="AD24" s="282">
        <v>64</v>
      </c>
      <c r="AE24" s="149"/>
      <c r="AF24" s="282">
        <v>0</v>
      </c>
      <c r="AG24" s="149"/>
      <c r="AH24" s="167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9"/>
      <c r="BB24" s="168"/>
      <c r="BC24" s="168"/>
      <c r="BD24" s="168"/>
      <c r="BE24" s="168"/>
      <c r="BF24" s="168"/>
      <c r="BG24" s="43"/>
      <c r="BK24" s="272" t="s">
        <v>36</v>
      </c>
      <c r="BL24" s="101" t="s">
        <v>627</v>
      </c>
    </row>
    <row r="25" spans="1:64">
      <c r="A25" s="681">
        <v>18</v>
      </c>
      <c r="B25" s="682"/>
      <c r="C25" s="59" t="str">
        <f t="shared" si="0"/>
        <v>记录日期</v>
      </c>
      <c r="D25" s="168"/>
      <c r="E25" s="168"/>
      <c r="F25" s="168"/>
      <c r="G25" s="168"/>
      <c r="H25" s="168"/>
      <c r="I25" s="168"/>
      <c r="J25" s="168"/>
      <c r="K25" s="169"/>
      <c r="L25" s="299" t="s">
        <v>580</v>
      </c>
      <c r="M25" s="168"/>
      <c r="N25" s="168"/>
      <c r="O25" s="168"/>
      <c r="P25" s="168"/>
      <c r="Q25" s="168"/>
      <c r="R25" s="168"/>
      <c r="S25" s="168"/>
      <c r="T25" s="168"/>
      <c r="U25" s="683"/>
      <c r="V25" s="682"/>
      <c r="W25" s="684"/>
      <c r="X25" s="685"/>
      <c r="Y25" s="285" t="s">
        <v>17</v>
      </c>
      <c r="Z25" s="155"/>
      <c r="AA25" s="155"/>
      <c r="AB25" s="155"/>
      <c r="AC25" s="156"/>
      <c r="AD25" s="282"/>
      <c r="AE25" s="149"/>
      <c r="AF25" s="282"/>
      <c r="AG25" s="149"/>
      <c r="AH25" s="164" t="s">
        <v>1299</v>
      </c>
      <c r="AI25" s="165"/>
      <c r="AJ25" s="168"/>
      <c r="AK25" s="168"/>
      <c r="AL25" s="168"/>
      <c r="AM25" s="168"/>
      <c r="AN25" s="168"/>
      <c r="AO25" s="168"/>
      <c r="AP25" s="168"/>
      <c r="AQ25" s="168"/>
      <c r="AR25" s="168"/>
      <c r="AS25" s="168"/>
      <c r="AT25" s="168"/>
      <c r="AU25" s="168"/>
      <c r="AV25" s="168"/>
      <c r="AW25" s="168"/>
      <c r="AX25" s="168"/>
      <c r="AY25" s="168"/>
      <c r="AZ25" s="168"/>
      <c r="BA25" s="169"/>
      <c r="BB25" s="168"/>
      <c r="BC25" s="168"/>
      <c r="BD25" s="168"/>
      <c r="BE25" s="168"/>
      <c r="BF25" s="168"/>
      <c r="BG25" s="43"/>
      <c r="BH25" s="36"/>
      <c r="BK25" s="272" t="s">
        <v>581</v>
      </c>
      <c r="BL25" s="52" t="s">
        <v>616</v>
      </c>
    </row>
    <row r="26" spans="1:64">
      <c r="A26" s="681">
        <v>19</v>
      </c>
      <c r="B26" s="682"/>
      <c r="C26" s="59" t="str">
        <f t="shared" si="0"/>
        <v>生效操作日期</v>
      </c>
      <c r="D26" s="165"/>
      <c r="E26" s="165"/>
      <c r="F26" s="165"/>
      <c r="G26" s="165"/>
      <c r="H26" s="165"/>
      <c r="I26" s="165"/>
      <c r="J26" s="165"/>
      <c r="K26" s="166"/>
      <c r="L26" s="1" t="s">
        <v>581</v>
      </c>
      <c r="M26" s="165"/>
      <c r="N26" s="165"/>
      <c r="O26" s="165"/>
      <c r="P26" s="165"/>
      <c r="Q26" s="165"/>
      <c r="R26" s="165"/>
      <c r="S26" s="165"/>
      <c r="T26" s="165"/>
      <c r="U26" s="692"/>
      <c r="V26" s="693"/>
      <c r="W26" s="694"/>
      <c r="X26" s="695"/>
      <c r="Y26" s="285" t="s">
        <v>17</v>
      </c>
      <c r="Z26" s="155"/>
      <c r="AA26" s="155"/>
      <c r="AB26" s="155"/>
      <c r="AC26" s="156"/>
      <c r="AD26" s="282"/>
      <c r="AE26" s="149"/>
      <c r="AF26" s="282"/>
      <c r="AG26" s="149"/>
      <c r="AH26" s="164" t="s">
        <v>1300</v>
      </c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6"/>
      <c r="BB26" s="168"/>
      <c r="BC26" s="168"/>
      <c r="BD26" s="168"/>
      <c r="BE26" s="168"/>
      <c r="BF26" s="168"/>
      <c r="BG26" s="43"/>
      <c r="BH26" s="36"/>
      <c r="BK26" s="271" t="s">
        <v>28</v>
      </c>
      <c r="BL26" s="51" t="s">
        <v>554</v>
      </c>
    </row>
    <row r="27" spans="1:64">
      <c r="A27" s="681">
        <v>20</v>
      </c>
      <c r="B27" s="682"/>
      <c r="C27" s="59" t="str">
        <f t="shared" si="0"/>
        <v>生效操作人</v>
      </c>
      <c r="D27" s="165"/>
      <c r="E27" s="165"/>
      <c r="F27" s="165"/>
      <c r="G27" s="165"/>
      <c r="H27" s="165"/>
      <c r="I27" s="165"/>
      <c r="J27" s="165"/>
      <c r="K27" s="166"/>
      <c r="L27" s="1" t="s">
        <v>582</v>
      </c>
      <c r="M27" s="165"/>
      <c r="N27" s="165"/>
      <c r="O27" s="165"/>
      <c r="P27" s="165"/>
      <c r="Q27" s="165"/>
      <c r="R27" s="165"/>
      <c r="S27" s="165"/>
      <c r="T27" s="165"/>
      <c r="U27" s="692"/>
      <c r="V27" s="693"/>
      <c r="W27" s="694"/>
      <c r="X27" s="695"/>
      <c r="Y27" s="285" t="s">
        <v>16</v>
      </c>
      <c r="Z27" s="155"/>
      <c r="AA27" s="155"/>
      <c r="AB27" s="155"/>
      <c r="AC27" s="156"/>
      <c r="AD27" s="282">
        <v>64</v>
      </c>
      <c r="AE27" s="149"/>
      <c r="AF27" s="282">
        <v>0</v>
      </c>
      <c r="AG27" s="149"/>
      <c r="AH27" s="164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9"/>
      <c r="BB27" s="48"/>
      <c r="BC27" s="48"/>
      <c r="BD27" s="48"/>
      <c r="BE27" s="48"/>
      <c r="BF27" s="48"/>
      <c r="BG27" s="49"/>
      <c r="BK27" s="272" t="s">
        <v>314</v>
      </c>
      <c r="BL27" s="51" t="s">
        <v>600</v>
      </c>
    </row>
    <row r="28" spans="1:64">
      <c r="A28" s="681">
        <v>21</v>
      </c>
      <c r="B28" s="682"/>
      <c r="C28" s="59" t="str">
        <f t="shared" si="0"/>
        <v>审核状态</v>
      </c>
      <c r="D28" s="165"/>
      <c r="E28" s="165"/>
      <c r="F28" s="165"/>
      <c r="G28" s="165"/>
      <c r="H28" s="165"/>
      <c r="I28" s="165"/>
      <c r="J28" s="165"/>
      <c r="K28" s="166"/>
      <c r="L28" s="1" t="s">
        <v>1228</v>
      </c>
      <c r="M28" s="165"/>
      <c r="N28" s="165"/>
      <c r="O28" s="165"/>
      <c r="P28" s="165"/>
      <c r="Q28" s="165"/>
      <c r="R28" s="165"/>
      <c r="S28" s="165"/>
      <c r="T28" s="165"/>
      <c r="U28" s="692"/>
      <c r="V28" s="693"/>
      <c r="W28" s="694"/>
      <c r="X28" s="695"/>
      <c r="Y28" s="285" t="s">
        <v>16</v>
      </c>
      <c r="Z28" s="155"/>
      <c r="AA28" s="155"/>
      <c r="AB28" s="155"/>
      <c r="AC28" s="156"/>
      <c r="AD28" s="282">
        <v>16</v>
      </c>
      <c r="AE28" s="149"/>
      <c r="AF28" s="282">
        <v>0</v>
      </c>
      <c r="AG28" s="149"/>
      <c r="AH28" s="164"/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68"/>
      <c r="AX28" s="168"/>
      <c r="AY28" s="168"/>
      <c r="AZ28" s="168"/>
      <c r="BA28" s="169"/>
      <c r="BB28" s="168"/>
      <c r="BC28" s="168"/>
      <c r="BD28" s="168"/>
      <c r="BE28" s="168"/>
      <c r="BF28" s="168"/>
      <c r="BG28" s="43"/>
      <c r="BK28" s="272" t="s">
        <v>576</v>
      </c>
      <c r="BL28" s="51" t="s">
        <v>612</v>
      </c>
    </row>
    <row r="29" spans="1:64">
      <c r="A29" s="681">
        <v>22</v>
      </c>
      <c r="B29" s="682"/>
      <c r="C29" s="414" t="str">
        <f t="shared" si="0"/>
        <v>备注</v>
      </c>
      <c r="D29" s="417"/>
      <c r="E29" s="417"/>
      <c r="F29" s="417"/>
      <c r="G29" s="417"/>
      <c r="H29" s="417"/>
      <c r="I29" s="417"/>
      <c r="J29" s="417"/>
      <c r="K29" s="418"/>
      <c r="L29" s="1" t="s">
        <v>29</v>
      </c>
      <c r="M29" s="165"/>
      <c r="N29" s="165"/>
      <c r="O29" s="165"/>
      <c r="P29" s="165"/>
      <c r="Q29" s="165"/>
      <c r="R29" s="165"/>
      <c r="S29" s="165"/>
      <c r="T29" s="165"/>
      <c r="U29" s="692"/>
      <c r="V29" s="693"/>
      <c r="W29" s="694"/>
      <c r="X29" s="695"/>
      <c r="Y29" s="285" t="s">
        <v>16</v>
      </c>
      <c r="Z29" s="155"/>
      <c r="AA29" s="155"/>
      <c r="AB29" s="155"/>
      <c r="AC29" s="156"/>
      <c r="AD29" s="282">
        <v>1024</v>
      </c>
      <c r="AE29" s="149"/>
      <c r="AF29" s="282">
        <v>0</v>
      </c>
      <c r="AG29" s="149"/>
      <c r="AH29" s="164"/>
      <c r="AQ29" s="168"/>
      <c r="AR29" s="168"/>
      <c r="AS29" s="168"/>
      <c r="AT29" s="168"/>
      <c r="AU29" s="168"/>
      <c r="AV29" s="168"/>
      <c r="AW29" s="168"/>
      <c r="AX29" s="168"/>
      <c r="AY29" s="168"/>
      <c r="AZ29" s="168"/>
      <c r="BA29" s="169"/>
      <c r="BB29" s="168"/>
      <c r="BC29" s="168"/>
      <c r="BD29" s="168"/>
      <c r="BE29" s="168"/>
      <c r="BF29" s="168"/>
      <c r="BG29" s="43"/>
      <c r="BK29" s="272" t="s">
        <v>594</v>
      </c>
      <c r="BL29" s="51" t="s">
        <v>625</v>
      </c>
    </row>
    <row r="30" spans="1:64">
      <c r="A30" s="681">
        <v>23</v>
      </c>
      <c r="B30" s="682"/>
      <c r="C30" s="59" t="str">
        <f t="shared" si="0"/>
        <v>废弃字段不要了</v>
      </c>
      <c r="D30" s="165"/>
      <c r="E30" s="165"/>
      <c r="F30" s="165"/>
      <c r="G30" s="165"/>
      <c r="H30" s="165"/>
      <c r="I30" s="165"/>
      <c r="J30" s="165"/>
      <c r="K30" s="166"/>
      <c r="L30" s="1" t="s">
        <v>1229</v>
      </c>
      <c r="M30" s="165"/>
      <c r="N30" s="165"/>
      <c r="O30" s="165"/>
      <c r="P30" s="165"/>
      <c r="Q30" s="165"/>
      <c r="R30" s="165"/>
      <c r="S30" s="165"/>
      <c r="T30" s="165"/>
      <c r="U30" s="692"/>
      <c r="V30" s="693"/>
      <c r="W30" s="694"/>
      <c r="X30" s="695"/>
      <c r="Y30" s="285" t="s">
        <v>16</v>
      </c>
      <c r="Z30" s="155"/>
      <c r="AA30" s="155"/>
      <c r="AB30" s="155"/>
      <c r="AC30" s="156"/>
      <c r="AD30" s="282">
        <v>1024</v>
      </c>
      <c r="AE30" s="149"/>
      <c r="AF30" s="282">
        <v>0</v>
      </c>
      <c r="AG30" s="149"/>
      <c r="AH30" s="164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9"/>
      <c r="BB30" s="168"/>
      <c r="BC30" s="168"/>
      <c r="BD30" s="168"/>
      <c r="BE30" s="168"/>
      <c r="BF30" s="168"/>
      <c r="BG30" s="43"/>
      <c r="BK30" s="272" t="s">
        <v>67</v>
      </c>
      <c r="BL30" s="51" t="s">
        <v>626</v>
      </c>
    </row>
    <row r="31" spans="1:64">
      <c r="A31" s="681">
        <v>24</v>
      </c>
      <c r="B31" s="682"/>
      <c r="C31" s="59" t="str">
        <f t="shared" si="0"/>
        <v>批复单位</v>
      </c>
      <c r="D31" s="165"/>
      <c r="E31" s="165"/>
      <c r="F31" s="165"/>
      <c r="G31" s="165"/>
      <c r="H31" s="165"/>
      <c r="I31" s="165"/>
      <c r="J31" s="165"/>
      <c r="K31" s="166"/>
      <c r="L31" s="1" t="s">
        <v>1481</v>
      </c>
      <c r="M31" s="165"/>
      <c r="N31" s="165"/>
      <c r="O31" s="165"/>
      <c r="P31" s="165"/>
      <c r="Q31" s="165"/>
      <c r="R31" s="165"/>
      <c r="S31" s="165"/>
      <c r="T31" s="165"/>
      <c r="U31" s="692"/>
      <c r="V31" s="693"/>
      <c r="W31" s="694"/>
      <c r="X31" s="695"/>
      <c r="Y31" s="285" t="s">
        <v>16</v>
      </c>
      <c r="Z31" s="155"/>
      <c r="AA31" s="155"/>
      <c r="AB31" s="155"/>
      <c r="AC31" s="156"/>
      <c r="AD31" s="282">
        <v>64</v>
      </c>
      <c r="AE31" s="149"/>
      <c r="AF31" s="282">
        <v>0</v>
      </c>
      <c r="AG31" s="149"/>
      <c r="AH31" s="164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9"/>
      <c r="BB31" s="168"/>
      <c r="BC31" s="168"/>
      <c r="BD31" s="168"/>
      <c r="BE31" s="168"/>
      <c r="BF31" s="168"/>
      <c r="BG31" s="43"/>
      <c r="BK31" s="272" t="s">
        <v>568</v>
      </c>
      <c r="BL31" s="51" t="s">
        <v>605</v>
      </c>
    </row>
    <row r="32" spans="1:64">
      <c r="A32" s="681">
        <v>25</v>
      </c>
      <c r="B32" s="682"/>
      <c r="C32" s="59" t="str">
        <f t="shared" si="0"/>
        <v>原含税合同金额(万元)</v>
      </c>
      <c r="D32" s="165"/>
      <c r="E32" s="165"/>
      <c r="F32" s="165"/>
      <c r="G32" s="165"/>
      <c r="H32" s="165"/>
      <c r="I32" s="165"/>
      <c r="J32" s="165"/>
      <c r="K32" s="166"/>
      <c r="L32" s="1" t="s">
        <v>67</v>
      </c>
      <c r="M32" s="165"/>
      <c r="N32" s="165"/>
      <c r="O32" s="165"/>
      <c r="P32" s="165"/>
      <c r="Q32" s="165"/>
      <c r="R32" s="165"/>
      <c r="S32" s="165"/>
      <c r="T32" s="165"/>
      <c r="U32" s="692"/>
      <c r="V32" s="693"/>
      <c r="W32" s="694"/>
      <c r="X32" s="695"/>
      <c r="Y32" s="285" t="s">
        <v>16</v>
      </c>
      <c r="Z32" s="155"/>
      <c r="AA32" s="155"/>
      <c r="AB32" s="155"/>
      <c r="AC32" s="156"/>
      <c r="AD32" s="282">
        <v>64</v>
      </c>
      <c r="AE32" s="149"/>
      <c r="AF32" s="282">
        <v>0</v>
      </c>
      <c r="AG32" s="149"/>
      <c r="AH32" s="164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9"/>
      <c r="BB32" s="168"/>
      <c r="BC32" s="168"/>
      <c r="BD32" s="168"/>
      <c r="BE32" s="168"/>
      <c r="BF32" s="168"/>
      <c r="BG32" s="43"/>
      <c r="BK32" s="272" t="s">
        <v>539</v>
      </c>
      <c r="BL32" s="51" t="s">
        <v>601</v>
      </c>
    </row>
    <row r="33" spans="1:64">
      <c r="A33" s="681">
        <v>26</v>
      </c>
      <c r="B33" s="682"/>
      <c r="C33" s="59" t="s">
        <v>1407</v>
      </c>
      <c r="D33" s="334"/>
      <c r="E33" s="334"/>
      <c r="F33" s="334"/>
      <c r="G33" s="334"/>
      <c r="H33" s="334"/>
      <c r="I33" s="334"/>
      <c r="J33" s="334"/>
      <c r="K33" s="335"/>
      <c r="L33" s="36" t="s">
        <v>68</v>
      </c>
      <c r="M33" s="168"/>
      <c r="N33" s="168"/>
      <c r="O33" s="168"/>
      <c r="P33" s="168"/>
      <c r="Q33" s="168"/>
      <c r="R33" s="168"/>
      <c r="S33" s="168"/>
      <c r="T33" s="168"/>
      <c r="U33" s="683"/>
      <c r="V33" s="682"/>
      <c r="W33" s="684"/>
      <c r="X33" s="685"/>
      <c r="Y33" s="279" t="s">
        <v>16</v>
      </c>
      <c r="Z33" s="151"/>
      <c r="AA33" s="151"/>
      <c r="AB33" s="151"/>
      <c r="AC33" s="152"/>
      <c r="AD33" s="282">
        <v>64</v>
      </c>
      <c r="AE33" s="149"/>
      <c r="AF33" s="282">
        <v>0</v>
      </c>
      <c r="AG33" s="149"/>
      <c r="AH33" s="167"/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9"/>
      <c r="BB33" s="168"/>
      <c r="BC33" s="168"/>
      <c r="BD33" s="168"/>
      <c r="BE33" s="168"/>
      <c r="BF33" s="168"/>
      <c r="BG33" s="43"/>
      <c r="BK33" s="272" t="s">
        <v>565</v>
      </c>
      <c r="BL33" s="51" t="s">
        <v>603</v>
      </c>
    </row>
    <row r="34" spans="1:64">
      <c r="A34" s="681">
        <v>27</v>
      </c>
      <c r="B34" s="682"/>
      <c r="C34" s="59" t="str">
        <f t="shared" ref="C34:C40" si="1">VLOOKUP(L34,$BK$7:$BL$110,2,FALSE)</f>
        <v>pp4</v>
      </c>
      <c r="D34" s="168"/>
      <c r="E34" s="168"/>
      <c r="F34" s="168"/>
      <c r="G34" s="168"/>
      <c r="H34" s="168"/>
      <c r="I34" s="168"/>
      <c r="J34" s="168"/>
      <c r="K34" s="169"/>
      <c r="L34" s="36" t="s">
        <v>44</v>
      </c>
      <c r="M34" s="168"/>
      <c r="N34" s="168"/>
      <c r="O34" s="168"/>
      <c r="P34" s="168"/>
      <c r="Q34" s="168"/>
      <c r="R34" s="168"/>
      <c r="S34" s="168"/>
      <c r="T34" s="168"/>
      <c r="U34" s="683"/>
      <c r="V34" s="682"/>
      <c r="W34" s="684"/>
      <c r="X34" s="685"/>
      <c r="Y34" s="279" t="s">
        <v>16</v>
      </c>
      <c r="Z34" s="151"/>
      <c r="AA34" s="151"/>
      <c r="AB34" s="151"/>
      <c r="AC34" s="152"/>
      <c r="AD34" s="282">
        <v>64</v>
      </c>
      <c r="AE34" s="149"/>
      <c r="AF34" s="282">
        <v>0</v>
      </c>
      <c r="AG34" s="149"/>
      <c r="AH34" s="167"/>
      <c r="AI34" s="168"/>
      <c r="AJ34" s="168"/>
      <c r="AK34" s="168"/>
      <c r="AL34" s="168"/>
      <c r="AM34" s="168"/>
      <c r="AN34" s="168"/>
      <c r="AO34" s="168"/>
      <c r="AP34" s="168"/>
      <c r="AQ34" s="168"/>
      <c r="AR34" s="168"/>
      <c r="AS34" s="168"/>
      <c r="AT34" s="168"/>
      <c r="AU34" s="168"/>
      <c r="AV34" s="168"/>
      <c r="AW34" s="168"/>
      <c r="AX34" s="168"/>
      <c r="AY34" s="168"/>
      <c r="AZ34" s="168"/>
      <c r="BA34" s="169"/>
      <c r="BB34" s="168"/>
      <c r="BC34" s="168"/>
      <c r="BD34" s="168"/>
      <c r="BE34" s="168"/>
      <c r="BF34" s="168"/>
      <c r="BG34" s="43"/>
      <c r="BK34" s="272" t="s">
        <v>569</v>
      </c>
      <c r="BL34" s="51" t="s">
        <v>606</v>
      </c>
    </row>
    <row r="35" spans="1:64">
      <c r="A35" s="681">
        <v>28</v>
      </c>
      <c r="B35" s="682"/>
      <c r="C35" s="59" t="str">
        <f t="shared" si="1"/>
        <v>pp5</v>
      </c>
      <c r="D35" s="168"/>
      <c r="E35" s="168"/>
      <c r="F35" s="168"/>
      <c r="G35" s="168"/>
      <c r="H35" s="168"/>
      <c r="I35" s="168"/>
      <c r="J35" s="168"/>
      <c r="K35" s="169"/>
      <c r="L35" s="36" t="s">
        <v>45</v>
      </c>
      <c r="M35" s="168"/>
      <c r="N35" s="168"/>
      <c r="O35" s="168"/>
      <c r="P35" s="168"/>
      <c r="Q35" s="168"/>
      <c r="R35" s="168"/>
      <c r="S35" s="168"/>
      <c r="T35" s="168"/>
      <c r="U35" s="683"/>
      <c r="V35" s="682"/>
      <c r="W35" s="684"/>
      <c r="X35" s="685"/>
      <c r="Y35" s="279" t="s">
        <v>16</v>
      </c>
      <c r="Z35" s="151"/>
      <c r="AA35" s="151"/>
      <c r="AB35" s="151"/>
      <c r="AC35" s="152"/>
      <c r="AD35" s="282">
        <v>64</v>
      </c>
      <c r="AE35" s="149"/>
      <c r="AF35" s="282">
        <v>0</v>
      </c>
      <c r="AG35" s="149"/>
      <c r="AH35" s="167"/>
      <c r="AI35" s="168"/>
      <c r="AJ35" s="168"/>
      <c r="AK35" s="168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8"/>
      <c r="AY35" s="168"/>
      <c r="AZ35" s="168"/>
      <c r="BA35" s="169"/>
      <c r="BB35" s="168"/>
      <c r="BC35" s="168"/>
      <c r="BD35" s="168"/>
      <c r="BE35" s="168"/>
      <c r="BF35" s="168"/>
      <c r="BG35" s="43"/>
      <c r="BK35" s="272" t="s">
        <v>571</v>
      </c>
      <c r="BL35" s="51" t="s">
        <v>608</v>
      </c>
    </row>
    <row r="36" spans="1:64">
      <c r="A36" s="681">
        <v>29</v>
      </c>
      <c r="B36" s="682"/>
      <c r="C36" s="59" t="str">
        <f t="shared" si="1"/>
        <v>(IP的合同ID)</v>
      </c>
      <c r="D36" s="168"/>
      <c r="E36" s="168"/>
      <c r="F36" s="168"/>
      <c r="G36" s="168"/>
      <c r="H36" s="168"/>
      <c r="I36" s="168"/>
      <c r="J36" s="168"/>
      <c r="K36" s="169"/>
      <c r="L36" s="1" t="s">
        <v>1482</v>
      </c>
      <c r="M36" s="168"/>
      <c r="N36" s="168"/>
      <c r="O36" s="168"/>
      <c r="P36" s="168"/>
      <c r="Q36" s="168"/>
      <c r="R36" s="168"/>
      <c r="S36" s="168"/>
      <c r="T36" s="168"/>
      <c r="U36" s="683"/>
      <c r="V36" s="682"/>
      <c r="W36" s="684"/>
      <c r="X36" s="685"/>
      <c r="Y36" s="279" t="s">
        <v>16</v>
      </c>
      <c r="Z36" s="151"/>
      <c r="AA36" s="151"/>
      <c r="AB36" s="151"/>
      <c r="AC36" s="152"/>
      <c r="AD36" s="282">
        <v>256</v>
      </c>
      <c r="AE36" s="149"/>
      <c r="AF36" s="282">
        <v>0</v>
      </c>
      <c r="AG36" s="149"/>
      <c r="AH36" s="167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9"/>
      <c r="BB36" s="168"/>
      <c r="BC36" s="168"/>
      <c r="BD36" s="168"/>
      <c r="BE36" s="168"/>
      <c r="BF36" s="168"/>
      <c r="BG36" s="43"/>
      <c r="BK36" s="272" t="s">
        <v>573</v>
      </c>
      <c r="BL36" s="51" t="s">
        <v>609</v>
      </c>
    </row>
    <row r="37" spans="1:64">
      <c r="A37" s="681">
        <v>30</v>
      </c>
      <c r="B37" s="682"/>
      <c r="C37" s="59" t="str">
        <f t="shared" si="1"/>
        <v>pp7</v>
      </c>
      <c r="D37" s="168"/>
      <c r="E37" s="168"/>
      <c r="F37" s="168"/>
      <c r="G37" s="168"/>
      <c r="H37" s="168"/>
      <c r="I37" s="168"/>
      <c r="J37" s="168"/>
      <c r="K37" s="169"/>
      <c r="L37" s="1" t="s">
        <v>1483</v>
      </c>
      <c r="M37" s="168"/>
      <c r="N37" s="168"/>
      <c r="O37" s="168"/>
      <c r="P37" s="168"/>
      <c r="Q37" s="168"/>
      <c r="R37" s="168"/>
      <c r="S37" s="168"/>
      <c r="T37" s="168"/>
      <c r="U37" s="683"/>
      <c r="V37" s="682"/>
      <c r="W37" s="684"/>
      <c r="X37" s="685"/>
      <c r="Y37" s="279" t="s">
        <v>16</v>
      </c>
      <c r="Z37" s="151"/>
      <c r="AA37" s="151"/>
      <c r="AB37" s="151"/>
      <c r="AC37" s="152"/>
      <c r="AD37" s="282">
        <v>256</v>
      </c>
      <c r="AE37" s="149"/>
      <c r="AF37" s="282">
        <v>0</v>
      </c>
      <c r="AG37" s="149"/>
      <c r="AH37" s="167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9"/>
      <c r="BB37" s="168"/>
      <c r="BC37" s="168"/>
      <c r="BD37" s="168"/>
      <c r="BE37" s="168"/>
      <c r="BF37" s="168"/>
      <c r="BG37" s="43"/>
      <c r="BK37" s="272" t="s">
        <v>575</v>
      </c>
      <c r="BL37" s="51" t="s">
        <v>611</v>
      </c>
    </row>
    <row r="38" spans="1:64">
      <c r="A38" s="681">
        <v>31</v>
      </c>
      <c r="B38" s="682"/>
      <c r="C38" s="59" t="str">
        <f t="shared" si="1"/>
        <v>pp8</v>
      </c>
      <c r="D38" s="168"/>
      <c r="E38" s="168"/>
      <c r="F38" s="168"/>
      <c r="G38" s="168"/>
      <c r="H38" s="168"/>
      <c r="I38" s="168"/>
      <c r="J38" s="168"/>
      <c r="K38" s="169"/>
      <c r="L38" s="36" t="s">
        <v>37</v>
      </c>
      <c r="M38" s="168"/>
      <c r="N38" s="168"/>
      <c r="O38" s="168"/>
      <c r="P38" s="168"/>
      <c r="Q38" s="168"/>
      <c r="R38" s="168"/>
      <c r="S38" s="168"/>
      <c r="T38" s="168"/>
      <c r="U38" s="683"/>
      <c r="V38" s="682"/>
      <c r="W38" s="684"/>
      <c r="X38" s="685"/>
      <c r="Y38" s="279" t="s">
        <v>16</v>
      </c>
      <c r="Z38" s="151"/>
      <c r="AA38" s="151"/>
      <c r="AB38" s="151"/>
      <c r="AC38" s="152"/>
      <c r="AD38" s="282">
        <v>256</v>
      </c>
      <c r="AE38" s="149"/>
      <c r="AF38" s="282">
        <v>0</v>
      </c>
      <c r="AG38" s="149"/>
      <c r="AH38" s="167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9"/>
      <c r="BB38" s="168"/>
      <c r="BC38" s="168"/>
      <c r="BD38" s="168"/>
      <c r="BE38" s="168"/>
      <c r="BF38" s="168"/>
      <c r="BG38" s="43"/>
      <c r="BK38" s="271" t="s">
        <v>577</v>
      </c>
      <c r="BL38" s="52" t="s">
        <v>613</v>
      </c>
    </row>
    <row r="39" spans="1:64">
      <c r="A39" s="681">
        <v>32</v>
      </c>
      <c r="B39" s="682"/>
      <c r="C39" s="59" t="str">
        <f t="shared" si="1"/>
        <v>pp9</v>
      </c>
      <c r="D39" s="168"/>
      <c r="E39" s="168"/>
      <c r="F39" s="168"/>
      <c r="G39" s="168"/>
      <c r="H39" s="168"/>
      <c r="I39" s="168"/>
      <c r="J39" s="168"/>
      <c r="K39" s="169"/>
      <c r="L39" s="36" t="s">
        <v>69</v>
      </c>
      <c r="M39" s="168"/>
      <c r="N39" s="168"/>
      <c r="O39" s="168"/>
      <c r="P39" s="168"/>
      <c r="Q39" s="168"/>
      <c r="R39" s="168"/>
      <c r="S39" s="168"/>
      <c r="T39" s="168"/>
      <c r="U39" s="683"/>
      <c r="V39" s="682"/>
      <c r="W39" s="684"/>
      <c r="X39" s="685"/>
      <c r="Y39" s="279" t="s">
        <v>16</v>
      </c>
      <c r="Z39" s="151"/>
      <c r="AA39" s="151"/>
      <c r="AB39" s="151"/>
      <c r="AC39" s="152"/>
      <c r="AD39" s="282">
        <v>256</v>
      </c>
      <c r="AE39" s="149"/>
      <c r="AF39" s="282">
        <v>0</v>
      </c>
      <c r="AG39" s="149"/>
      <c r="AH39" s="167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9"/>
      <c r="BB39" s="168"/>
      <c r="BC39" s="168"/>
      <c r="BD39" s="168"/>
      <c r="BE39" s="168"/>
      <c r="BF39" s="168"/>
      <c r="BG39" s="43"/>
      <c r="BK39" s="272" t="s">
        <v>578</v>
      </c>
      <c r="BL39" s="52" t="s">
        <v>614</v>
      </c>
    </row>
    <row r="40" spans="1:64">
      <c r="A40" s="681">
        <v>33</v>
      </c>
      <c r="B40" s="682"/>
      <c r="C40" s="59" t="str">
        <f t="shared" si="1"/>
        <v>pp10</v>
      </c>
      <c r="D40" s="168"/>
      <c r="E40" s="168"/>
      <c r="F40" s="168"/>
      <c r="G40" s="168"/>
      <c r="H40" s="168"/>
      <c r="I40" s="168"/>
      <c r="J40" s="168"/>
      <c r="K40" s="169"/>
      <c r="L40" s="36" t="s">
        <v>70</v>
      </c>
      <c r="M40" s="168"/>
      <c r="N40" s="168"/>
      <c r="O40" s="168"/>
      <c r="P40" s="168"/>
      <c r="Q40" s="168"/>
      <c r="R40" s="168"/>
      <c r="S40" s="168"/>
      <c r="T40" s="168"/>
      <c r="U40" s="683"/>
      <c r="V40" s="682"/>
      <c r="W40" s="684"/>
      <c r="X40" s="685"/>
      <c r="Y40" s="279" t="s">
        <v>16</v>
      </c>
      <c r="Z40" s="151"/>
      <c r="AA40" s="151"/>
      <c r="AB40" s="151"/>
      <c r="AC40" s="152"/>
      <c r="AD40" s="282">
        <v>256</v>
      </c>
      <c r="AE40" s="149"/>
      <c r="AF40" s="282">
        <v>0</v>
      </c>
      <c r="AG40" s="149"/>
      <c r="AH40" s="167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9"/>
      <c r="BB40" s="168"/>
      <c r="BC40" s="168"/>
      <c r="BD40" s="168"/>
      <c r="BE40" s="168"/>
      <c r="BF40" s="168"/>
      <c r="BG40" s="43"/>
      <c r="BK40" s="272" t="s">
        <v>592</v>
      </c>
      <c r="BL40" s="101" t="s">
        <v>615</v>
      </c>
    </row>
    <row r="41" spans="1:64">
      <c r="A41" s="681">
        <v>34</v>
      </c>
      <c r="B41" s="682"/>
      <c r="C41" s="397" t="s">
        <v>1486</v>
      </c>
      <c r="D41" s="398"/>
      <c r="E41" s="398"/>
      <c r="F41" s="398"/>
      <c r="G41" s="398"/>
      <c r="H41" s="398"/>
      <c r="I41" s="398"/>
      <c r="J41" s="398"/>
      <c r="K41" s="399"/>
      <c r="L41" s="1" t="s">
        <v>1487</v>
      </c>
      <c r="M41" s="331"/>
      <c r="N41" s="331"/>
      <c r="O41" s="331"/>
      <c r="P41" s="331"/>
      <c r="Q41" s="331"/>
      <c r="R41" s="331"/>
      <c r="S41" s="331"/>
      <c r="T41" s="331"/>
      <c r="U41" s="692"/>
      <c r="V41" s="693"/>
      <c r="W41" s="694"/>
      <c r="X41" s="695"/>
      <c r="Y41" s="406" t="s">
        <v>16</v>
      </c>
      <c r="Z41" s="407"/>
      <c r="AA41" s="407"/>
      <c r="AB41" s="407"/>
      <c r="AC41" s="408"/>
      <c r="AD41" s="404">
        <v>64</v>
      </c>
      <c r="AE41" s="405"/>
      <c r="AF41" s="404">
        <v>0</v>
      </c>
      <c r="AG41" s="405"/>
      <c r="AH41" s="330"/>
      <c r="AI41" s="334"/>
      <c r="AJ41" s="334"/>
      <c r="AK41" s="334"/>
      <c r="AL41" s="334"/>
      <c r="AM41" s="334"/>
      <c r="AN41" s="334"/>
      <c r="AO41" s="334"/>
      <c r="AP41" s="334"/>
      <c r="AQ41" s="334"/>
      <c r="AR41" s="334"/>
      <c r="AS41" s="334"/>
      <c r="AT41" s="334"/>
      <c r="AU41" s="334"/>
      <c r="AV41" s="334"/>
      <c r="AW41" s="334"/>
      <c r="AX41" s="334"/>
      <c r="AY41" s="334"/>
      <c r="AZ41" s="334"/>
      <c r="BA41" s="335"/>
      <c r="BB41" s="334"/>
      <c r="BC41" s="334"/>
      <c r="BD41" s="334"/>
      <c r="BE41" s="334"/>
      <c r="BF41" s="334"/>
      <c r="BG41" s="43"/>
      <c r="BK41" s="272" t="s">
        <v>582</v>
      </c>
      <c r="BL41" s="52" t="s">
        <v>617</v>
      </c>
    </row>
    <row r="42" spans="1:64">
      <c r="A42" s="681">
        <v>35</v>
      </c>
      <c r="B42" s="682"/>
      <c r="C42" s="397" t="s">
        <v>1600</v>
      </c>
      <c r="D42" s="398"/>
      <c r="E42" s="398"/>
      <c r="F42" s="398"/>
      <c r="G42" s="398"/>
      <c r="H42" s="398"/>
      <c r="I42" s="398"/>
      <c r="J42" s="398"/>
      <c r="K42" s="399"/>
      <c r="L42" s="475" t="s">
        <v>1687</v>
      </c>
      <c r="M42" s="473"/>
      <c r="N42" s="473"/>
      <c r="O42" s="473"/>
      <c r="P42" s="473"/>
      <c r="Q42" s="473"/>
      <c r="R42" s="473"/>
      <c r="S42" s="473"/>
      <c r="T42" s="473"/>
      <c r="U42" s="692"/>
      <c r="V42" s="693"/>
      <c r="W42" s="694"/>
      <c r="X42" s="695"/>
      <c r="Y42" s="481" t="s">
        <v>1281</v>
      </c>
      <c r="Z42" s="477"/>
      <c r="AA42" s="477"/>
      <c r="AB42" s="477"/>
      <c r="AC42" s="478"/>
      <c r="AD42" s="479">
        <v>19</v>
      </c>
      <c r="AE42" s="480"/>
      <c r="AF42" s="479">
        <v>6</v>
      </c>
      <c r="AG42" s="480"/>
      <c r="AH42" s="330" t="s">
        <v>1601</v>
      </c>
      <c r="AI42" s="334"/>
      <c r="AJ42" s="334"/>
      <c r="AK42" s="334"/>
      <c r="AL42" s="334"/>
      <c r="AM42" s="334"/>
      <c r="AN42" s="334"/>
      <c r="AO42" s="334"/>
      <c r="AP42" s="334"/>
      <c r="AQ42" s="334"/>
      <c r="AR42" s="334"/>
      <c r="AS42" s="334"/>
      <c r="AT42" s="334"/>
      <c r="AU42" s="334"/>
      <c r="AV42" s="334"/>
      <c r="AW42" s="334"/>
      <c r="AX42" s="334"/>
      <c r="AY42" s="334"/>
      <c r="AZ42" s="334"/>
      <c r="BA42" s="335"/>
      <c r="BB42" s="334"/>
      <c r="BC42" s="334"/>
      <c r="BD42" s="334"/>
      <c r="BE42" s="334"/>
      <c r="BF42" s="334"/>
      <c r="BG42" s="43"/>
      <c r="BK42" s="271" t="s">
        <v>460</v>
      </c>
      <c r="BL42" s="51" t="s">
        <v>618</v>
      </c>
    </row>
    <row r="43" spans="1:64">
      <c r="A43" s="681">
        <v>36</v>
      </c>
      <c r="B43" s="682"/>
      <c r="C43" s="397" t="s">
        <v>1484</v>
      </c>
      <c r="D43" s="230"/>
      <c r="E43" s="230"/>
      <c r="F43" s="230"/>
      <c r="G43" s="230"/>
      <c r="H43" s="230"/>
      <c r="I43" s="230"/>
      <c r="J43" s="230"/>
      <c r="K43" s="238"/>
      <c r="L43" s="475" t="s">
        <v>1488</v>
      </c>
      <c r="M43" s="474"/>
      <c r="N43" s="474"/>
      <c r="O43" s="474"/>
      <c r="P43" s="474"/>
      <c r="Q43" s="474"/>
      <c r="R43" s="474"/>
      <c r="S43" s="474"/>
      <c r="T43" s="474"/>
      <c r="U43" s="683"/>
      <c r="V43" s="682"/>
      <c r="W43" s="684"/>
      <c r="X43" s="685"/>
      <c r="Y43" s="401" t="s">
        <v>16</v>
      </c>
      <c r="Z43" s="402"/>
      <c r="AA43" s="402"/>
      <c r="AB43" s="402"/>
      <c r="AC43" s="403"/>
      <c r="AD43" s="404">
        <v>100</v>
      </c>
      <c r="AE43" s="405"/>
      <c r="AF43" s="404">
        <v>0</v>
      </c>
      <c r="AG43" s="405"/>
      <c r="AH43" s="333"/>
      <c r="AI43" s="334"/>
      <c r="AJ43" s="334"/>
      <c r="AK43" s="334"/>
      <c r="AL43" s="334"/>
      <c r="AM43" s="334"/>
      <c r="AN43" s="334"/>
      <c r="AO43" s="334"/>
      <c r="AP43" s="334"/>
      <c r="AQ43" s="334"/>
      <c r="AR43" s="334"/>
      <c r="AS43" s="334"/>
      <c r="AT43" s="334"/>
      <c r="AU43" s="334"/>
      <c r="AV43" s="334"/>
      <c r="AW43" s="334"/>
      <c r="AX43" s="334"/>
      <c r="AY43" s="334"/>
      <c r="AZ43" s="334"/>
      <c r="BA43" s="335"/>
      <c r="BB43" s="334"/>
      <c r="BC43" s="334"/>
      <c r="BD43" s="334"/>
      <c r="BE43" s="334"/>
      <c r="BF43" s="334"/>
      <c r="BG43" s="43"/>
      <c r="BK43" s="272" t="s">
        <v>29</v>
      </c>
      <c r="BL43" s="51" t="s">
        <v>49</v>
      </c>
    </row>
    <row r="44" spans="1:64">
      <c r="A44" s="681">
        <v>37</v>
      </c>
      <c r="B44" s="682"/>
      <c r="C44" s="397" t="s">
        <v>1485</v>
      </c>
      <c r="D44" s="230"/>
      <c r="E44" s="230"/>
      <c r="F44" s="230"/>
      <c r="G44" s="230"/>
      <c r="H44" s="230"/>
      <c r="I44" s="230"/>
      <c r="J44" s="230"/>
      <c r="K44" s="238"/>
      <c r="L44" s="1" t="s">
        <v>1489</v>
      </c>
      <c r="M44" s="334"/>
      <c r="N44" s="334"/>
      <c r="O44" s="334"/>
      <c r="P44" s="334"/>
      <c r="Q44" s="334"/>
      <c r="R44" s="334"/>
      <c r="S44" s="334"/>
      <c r="T44" s="334"/>
      <c r="U44" s="683"/>
      <c r="V44" s="682"/>
      <c r="W44" s="684"/>
      <c r="X44" s="685"/>
      <c r="Y44" s="401" t="s">
        <v>16</v>
      </c>
      <c r="Z44" s="402"/>
      <c r="AA44" s="402"/>
      <c r="AB44" s="402"/>
      <c r="AC44" s="403"/>
      <c r="AD44" s="404">
        <v>256</v>
      </c>
      <c r="AE44" s="405"/>
      <c r="AF44" s="404">
        <v>0</v>
      </c>
      <c r="AG44" s="405"/>
      <c r="AH44" s="333"/>
      <c r="AI44" s="334"/>
      <c r="AJ44" s="334"/>
      <c r="AK44" s="334"/>
      <c r="AL44" s="334"/>
      <c r="AM44" s="334"/>
      <c r="AN44" s="334"/>
      <c r="AO44" s="334"/>
      <c r="AP44" s="334"/>
      <c r="AQ44" s="334"/>
      <c r="AR44" s="334"/>
      <c r="AS44" s="334"/>
      <c r="AT44" s="334"/>
      <c r="AU44" s="334"/>
      <c r="AV44" s="334"/>
      <c r="AW44" s="334"/>
      <c r="AX44" s="334"/>
      <c r="AY44" s="334"/>
      <c r="AZ44" s="334"/>
      <c r="BA44" s="335"/>
      <c r="BB44" s="334"/>
      <c r="BC44" s="334"/>
      <c r="BD44" s="334"/>
      <c r="BE44" s="334"/>
      <c r="BF44" s="334"/>
      <c r="BG44" s="43"/>
      <c r="BK44" s="272" t="s">
        <v>593</v>
      </c>
      <c r="BL44" s="51" t="s">
        <v>619</v>
      </c>
    </row>
    <row r="45" spans="1:64">
      <c r="A45" s="681">
        <v>38</v>
      </c>
      <c r="B45" s="682"/>
      <c r="C45" s="386" t="s">
        <v>1519</v>
      </c>
      <c r="D45" s="387"/>
      <c r="E45" s="387"/>
      <c r="F45" s="387"/>
      <c r="G45" s="387"/>
      <c r="H45" s="387"/>
      <c r="I45" s="387"/>
      <c r="J45" s="387"/>
      <c r="K45" s="388"/>
      <c r="L45" s="473" t="s">
        <v>1383</v>
      </c>
      <c r="M45" s="474"/>
      <c r="N45" s="474"/>
      <c r="O45" s="474"/>
      <c r="P45" s="474"/>
      <c r="Q45" s="474"/>
      <c r="R45" s="474"/>
      <c r="S45" s="474"/>
      <c r="T45" s="474"/>
      <c r="U45" s="683"/>
      <c r="V45" s="682"/>
      <c r="W45" s="684"/>
      <c r="X45" s="685"/>
      <c r="Y45" s="285" t="s">
        <v>16</v>
      </c>
      <c r="Z45" s="155"/>
      <c r="AA45" s="155"/>
      <c r="AB45" s="155"/>
      <c r="AC45" s="156"/>
      <c r="AD45" s="282">
        <v>100</v>
      </c>
      <c r="AE45" s="149"/>
      <c r="AF45" s="282">
        <v>0</v>
      </c>
      <c r="AG45" s="149"/>
      <c r="AH45" s="164" t="s">
        <v>913</v>
      </c>
      <c r="AI45" s="165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9"/>
      <c r="BB45" s="168"/>
      <c r="BC45" s="168"/>
      <c r="BD45" s="168"/>
      <c r="BE45" s="168"/>
      <c r="BF45" s="168"/>
      <c r="BG45" s="43"/>
      <c r="BH45" s="36"/>
      <c r="BK45" s="272" t="s">
        <v>579</v>
      </c>
      <c r="BL45" s="51" t="s">
        <v>620</v>
      </c>
    </row>
    <row r="46" spans="1:64">
      <c r="A46" s="681">
        <v>39</v>
      </c>
      <c r="B46" s="682"/>
      <c r="C46" s="59" t="str">
        <f t="shared" ref="C46:C53" si="2">VLOOKUP(L46,$BK$7:$BL$110,2,FALSE)</f>
        <v>机构ID</v>
      </c>
      <c r="D46" s="165"/>
      <c r="E46" s="165"/>
      <c r="F46" s="165"/>
      <c r="G46" s="165"/>
      <c r="H46" s="165"/>
      <c r="I46" s="165"/>
      <c r="J46" s="165"/>
      <c r="K46" s="166"/>
      <c r="L46" s="1" t="s">
        <v>28</v>
      </c>
      <c r="M46" s="165"/>
      <c r="N46" s="165"/>
      <c r="O46" s="165"/>
      <c r="P46" s="165"/>
      <c r="Q46" s="165"/>
      <c r="R46" s="165"/>
      <c r="S46" s="165"/>
      <c r="T46" s="165"/>
      <c r="U46" s="692"/>
      <c r="V46" s="693"/>
      <c r="W46" s="694"/>
      <c r="X46" s="695"/>
      <c r="Y46" s="285" t="s">
        <v>16</v>
      </c>
      <c r="Z46" s="155"/>
      <c r="AA46" s="155"/>
      <c r="AB46" s="155"/>
      <c r="AC46" s="156"/>
      <c r="AD46" s="282">
        <v>100</v>
      </c>
      <c r="AE46" s="149"/>
      <c r="AF46" s="282">
        <v>0</v>
      </c>
      <c r="AG46" s="149"/>
      <c r="AH46" s="164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6"/>
      <c r="BB46" s="168"/>
      <c r="BC46" s="168"/>
      <c r="BD46" s="168"/>
      <c r="BE46" s="168"/>
      <c r="BF46" s="168"/>
      <c r="BG46" s="43"/>
      <c r="BH46" s="36"/>
      <c r="BK46" s="272" t="s">
        <v>580</v>
      </c>
      <c r="BL46" s="51" t="s">
        <v>621</v>
      </c>
    </row>
    <row r="47" spans="1:64">
      <c r="A47" s="681">
        <v>40</v>
      </c>
      <c r="B47" s="682"/>
      <c r="C47" s="59" t="str">
        <f t="shared" si="2"/>
        <v>最后编辑时间</v>
      </c>
      <c r="D47" s="165"/>
      <c r="E47" s="165"/>
      <c r="F47" s="165"/>
      <c r="G47" s="165"/>
      <c r="H47" s="165"/>
      <c r="I47" s="165"/>
      <c r="J47" s="165"/>
      <c r="K47" s="166"/>
      <c r="L47" s="1" t="s">
        <v>1227</v>
      </c>
      <c r="M47" s="165"/>
      <c r="N47" s="165"/>
      <c r="O47" s="165"/>
      <c r="P47" s="165"/>
      <c r="Q47" s="165"/>
      <c r="R47" s="165"/>
      <c r="S47" s="165"/>
      <c r="T47" s="165"/>
      <c r="U47" s="692"/>
      <c r="V47" s="693"/>
      <c r="W47" s="694"/>
      <c r="X47" s="695"/>
      <c r="Y47" s="285" t="s">
        <v>17</v>
      </c>
      <c r="Z47" s="155"/>
      <c r="AA47" s="155"/>
      <c r="AB47" s="155"/>
      <c r="AC47" s="156"/>
      <c r="AD47" s="282"/>
      <c r="AE47" s="149"/>
      <c r="AF47" s="282"/>
      <c r="AG47" s="149"/>
      <c r="AH47" s="164" t="s">
        <v>1305</v>
      </c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9"/>
      <c r="BB47" s="48"/>
      <c r="BC47" s="48"/>
      <c r="BD47" s="48"/>
      <c r="BE47" s="48"/>
      <c r="BF47" s="48"/>
      <c r="BG47" s="49"/>
      <c r="BK47" s="272" t="s">
        <v>327</v>
      </c>
      <c r="BL47" s="51" t="s">
        <v>543</v>
      </c>
    </row>
    <row r="48" spans="1:64">
      <c r="A48" s="681">
        <v>41</v>
      </c>
      <c r="B48" s="682"/>
      <c r="C48" s="59" t="str">
        <f t="shared" si="2"/>
        <v>本期不含税变更增减金额(万元)</v>
      </c>
      <c r="D48" s="165"/>
      <c r="E48" s="165"/>
      <c r="F48" s="165"/>
      <c r="G48" s="165"/>
      <c r="H48" s="165"/>
      <c r="I48" s="165"/>
      <c r="J48" s="165"/>
      <c r="K48" s="166"/>
      <c r="L48" s="475" t="s">
        <v>1738</v>
      </c>
      <c r="M48" s="473"/>
      <c r="N48" s="473"/>
      <c r="O48" s="473"/>
      <c r="P48" s="473"/>
      <c r="Q48" s="473"/>
      <c r="R48" s="473"/>
      <c r="S48" s="473"/>
      <c r="T48" s="473"/>
      <c r="U48" s="692"/>
      <c r="V48" s="693"/>
      <c r="W48" s="694"/>
      <c r="X48" s="695"/>
      <c r="Y48" s="285" t="s">
        <v>1302</v>
      </c>
      <c r="Z48" s="155"/>
      <c r="AA48" s="155"/>
      <c r="AB48" s="155"/>
      <c r="AC48" s="156"/>
      <c r="AD48" s="282">
        <v>19</v>
      </c>
      <c r="AE48" s="149"/>
      <c r="AF48" s="282">
        <v>6</v>
      </c>
      <c r="AG48" s="149"/>
      <c r="AH48" s="352" t="s">
        <v>198</v>
      </c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9"/>
      <c r="BB48" s="168"/>
      <c r="BC48" s="168"/>
      <c r="BD48" s="168"/>
      <c r="BE48" s="168"/>
      <c r="BF48" s="168"/>
      <c r="BG48" s="43"/>
      <c r="BK48" s="272" t="s">
        <v>38</v>
      </c>
      <c r="BL48" s="51" t="s">
        <v>624</v>
      </c>
    </row>
    <row r="49" spans="1:64">
      <c r="A49" s="681">
        <v>42</v>
      </c>
      <c r="B49" s="682"/>
      <c r="C49" s="59" t="str">
        <f t="shared" si="2"/>
        <v>本期变更增减税额(万元)</v>
      </c>
      <c r="D49" s="165"/>
      <c r="E49" s="165"/>
      <c r="F49" s="165"/>
      <c r="G49" s="165"/>
      <c r="H49" s="165"/>
      <c r="I49" s="165"/>
      <c r="J49" s="165"/>
      <c r="K49" s="166"/>
      <c r="L49" s="475" t="s">
        <v>1739</v>
      </c>
      <c r="M49" s="473"/>
      <c r="N49" s="473"/>
      <c r="O49" s="473"/>
      <c r="P49" s="473"/>
      <c r="Q49" s="473"/>
      <c r="R49" s="473"/>
      <c r="S49" s="473"/>
      <c r="T49" s="473"/>
      <c r="U49" s="692"/>
      <c r="V49" s="693"/>
      <c r="W49" s="694"/>
      <c r="X49" s="695"/>
      <c r="Y49" s="285" t="s">
        <v>1296</v>
      </c>
      <c r="Z49" s="155"/>
      <c r="AA49" s="155"/>
      <c r="AB49" s="155"/>
      <c r="AC49" s="156"/>
      <c r="AD49" s="282">
        <v>19</v>
      </c>
      <c r="AE49" s="149"/>
      <c r="AF49" s="282">
        <v>6</v>
      </c>
      <c r="AG49" s="149"/>
      <c r="AH49" s="352" t="s">
        <v>198</v>
      </c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9"/>
      <c r="BB49" s="168"/>
      <c r="BC49" s="168"/>
      <c r="BD49" s="168"/>
      <c r="BE49" s="168"/>
      <c r="BF49" s="168"/>
      <c r="BG49" s="43"/>
      <c r="BK49" s="272" t="s">
        <v>595</v>
      </c>
      <c r="BL49" s="51" t="s">
        <v>597</v>
      </c>
    </row>
    <row r="50" spans="1:64">
      <c r="A50" s="681">
        <v>43</v>
      </c>
      <c r="B50" s="682"/>
      <c r="C50" s="59" t="str">
        <f t="shared" si="2"/>
        <v>变更后不含税合同金额(万元)</v>
      </c>
      <c r="D50" s="165"/>
      <c r="E50" s="165"/>
      <c r="F50" s="165"/>
      <c r="G50" s="165"/>
      <c r="H50" s="165"/>
      <c r="I50" s="165"/>
      <c r="J50" s="165"/>
      <c r="K50" s="166"/>
      <c r="L50" s="475" t="s">
        <v>1689</v>
      </c>
      <c r="M50" s="473"/>
      <c r="N50" s="473"/>
      <c r="O50" s="473"/>
      <c r="P50" s="473"/>
      <c r="Q50" s="473"/>
      <c r="R50" s="473"/>
      <c r="S50" s="473"/>
      <c r="T50" s="473"/>
      <c r="U50" s="692"/>
      <c r="V50" s="693"/>
      <c r="W50" s="694"/>
      <c r="X50" s="695"/>
      <c r="Y50" s="285" t="s">
        <v>1297</v>
      </c>
      <c r="Z50" s="155"/>
      <c r="AA50" s="155"/>
      <c r="AB50" s="155"/>
      <c r="AC50" s="156"/>
      <c r="AD50" s="282">
        <v>19</v>
      </c>
      <c r="AE50" s="149"/>
      <c r="AF50" s="282">
        <v>6</v>
      </c>
      <c r="AG50" s="149"/>
      <c r="AH50" s="352" t="s">
        <v>198</v>
      </c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9"/>
      <c r="BB50" s="168"/>
      <c r="BC50" s="168"/>
      <c r="BD50" s="168"/>
      <c r="BE50" s="168"/>
      <c r="BF50" s="168"/>
      <c r="BG50" s="43"/>
      <c r="BK50" s="272" t="s">
        <v>596</v>
      </c>
      <c r="BL50" s="51" t="s">
        <v>633</v>
      </c>
    </row>
    <row r="51" spans="1:64">
      <c r="A51" s="681">
        <v>44</v>
      </c>
      <c r="B51" s="682"/>
      <c r="C51" s="59" t="str">
        <f t="shared" si="2"/>
        <v>变更后合同税额(万元)</v>
      </c>
      <c r="D51" s="165"/>
      <c r="E51" s="165"/>
      <c r="F51" s="165"/>
      <c r="G51" s="165"/>
      <c r="H51" s="165"/>
      <c r="I51" s="165"/>
      <c r="J51" s="165"/>
      <c r="K51" s="166"/>
      <c r="L51" s="475" t="s">
        <v>1690</v>
      </c>
      <c r="M51" s="473"/>
      <c r="N51" s="473"/>
      <c r="O51" s="473"/>
      <c r="P51" s="473"/>
      <c r="Q51" s="473"/>
      <c r="R51" s="473"/>
      <c r="S51" s="473"/>
      <c r="T51" s="473"/>
      <c r="U51" s="692"/>
      <c r="V51" s="693"/>
      <c r="W51" s="694"/>
      <c r="X51" s="695"/>
      <c r="Y51" s="285" t="s">
        <v>1296</v>
      </c>
      <c r="Z51" s="155"/>
      <c r="AA51" s="155"/>
      <c r="AB51" s="155"/>
      <c r="AC51" s="156"/>
      <c r="AD51" s="282">
        <v>19</v>
      </c>
      <c r="AE51" s="149"/>
      <c r="AF51" s="282">
        <v>6</v>
      </c>
      <c r="AG51" s="149"/>
      <c r="AH51" s="352" t="s">
        <v>198</v>
      </c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9"/>
      <c r="BB51" s="168"/>
      <c r="BC51" s="168"/>
      <c r="BD51" s="168"/>
      <c r="BE51" s="168"/>
      <c r="BF51" s="168"/>
      <c r="BG51" s="43"/>
      <c r="BK51" s="272" t="s">
        <v>589</v>
      </c>
      <c r="BL51" s="101" t="s">
        <v>597</v>
      </c>
    </row>
    <row r="52" spans="1:64">
      <c r="A52" s="681">
        <v>45</v>
      </c>
      <c r="B52" s="682"/>
      <c r="C52" s="59" t="str">
        <f t="shared" si="2"/>
        <v>原不含税合同金额(万元)</v>
      </c>
      <c r="D52" s="165"/>
      <c r="E52" s="165"/>
      <c r="F52" s="165"/>
      <c r="G52" s="165"/>
      <c r="H52" s="165"/>
      <c r="I52" s="165"/>
      <c r="J52" s="165"/>
      <c r="K52" s="166"/>
      <c r="L52" s="475" t="s">
        <v>1691</v>
      </c>
      <c r="M52" s="473"/>
      <c r="N52" s="473"/>
      <c r="O52" s="473"/>
      <c r="P52" s="473"/>
      <c r="Q52" s="473"/>
      <c r="R52" s="473"/>
      <c r="S52" s="473"/>
      <c r="T52" s="473"/>
      <c r="U52" s="692"/>
      <c r="V52" s="693"/>
      <c r="W52" s="694"/>
      <c r="X52" s="695"/>
      <c r="Y52" s="285" t="s">
        <v>1295</v>
      </c>
      <c r="Z52" s="155"/>
      <c r="AA52" s="155"/>
      <c r="AB52" s="155"/>
      <c r="AC52" s="156"/>
      <c r="AD52" s="282">
        <v>19</v>
      </c>
      <c r="AE52" s="149"/>
      <c r="AF52" s="282">
        <v>6</v>
      </c>
      <c r="AG52" s="149"/>
      <c r="AH52" s="352" t="s">
        <v>198</v>
      </c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8"/>
      <c r="AY52" s="168"/>
      <c r="AZ52" s="168"/>
      <c r="BA52" s="169"/>
      <c r="BB52" s="168"/>
      <c r="BC52" s="168"/>
      <c r="BD52" s="168"/>
      <c r="BE52" s="168"/>
      <c r="BF52" s="168"/>
      <c r="BG52" s="43"/>
      <c r="BK52" s="120"/>
      <c r="BL52" s="101"/>
    </row>
    <row r="53" spans="1:64">
      <c r="A53" s="681">
        <v>46</v>
      </c>
      <c r="B53" s="682"/>
      <c r="C53" s="59" t="str">
        <f t="shared" si="2"/>
        <v>原合同税额(万元)</v>
      </c>
      <c r="D53" s="168"/>
      <c r="E53" s="168"/>
      <c r="F53" s="168"/>
      <c r="G53" s="168"/>
      <c r="H53" s="168"/>
      <c r="I53" s="168"/>
      <c r="J53" s="168"/>
      <c r="K53" s="169"/>
      <c r="L53" s="475" t="s">
        <v>1693</v>
      </c>
      <c r="M53" s="474"/>
      <c r="N53" s="474"/>
      <c r="O53" s="474"/>
      <c r="P53" s="474"/>
      <c r="Q53" s="474"/>
      <c r="R53" s="474"/>
      <c r="S53" s="474"/>
      <c r="T53" s="474"/>
      <c r="U53" s="683"/>
      <c r="V53" s="682"/>
      <c r="W53" s="684"/>
      <c r="X53" s="685"/>
      <c r="Y53" s="352" t="s">
        <v>1297</v>
      </c>
      <c r="Z53" s="151"/>
      <c r="AA53" s="151"/>
      <c r="AB53" s="151"/>
      <c r="AC53" s="152"/>
      <c r="AD53" s="282">
        <v>19</v>
      </c>
      <c r="AE53" s="149"/>
      <c r="AF53" s="282">
        <v>6</v>
      </c>
      <c r="AG53" s="149"/>
      <c r="AH53" s="351" t="s">
        <v>198</v>
      </c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9"/>
      <c r="BB53" s="168"/>
      <c r="BC53" s="168"/>
      <c r="BD53" s="168"/>
      <c r="BE53" s="168"/>
      <c r="BF53" s="168"/>
      <c r="BG53" s="43"/>
      <c r="BK53" s="147" t="s">
        <v>589</v>
      </c>
      <c r="BL53" s="101" t="s">
        <v>597</v>
      </c>
    </row>
    <row r="54" spans="1:64">
      <c r="A54" s="681">
        <v>47</v>
      </c>
      <c r="B54" s="682"/>
      <c r="C54" s="496" t="s">
        <v>1622</v>
      </c>
      <c r="D54" s="230"/>
      <c r="E54" s="230"/>
      <c r="F54" s="230"/>
      <c r="G54" s="230"/>
      <c r="H54" s="230"/>
      <c r="I54" s="230"/>
      <c r="J54" s="230"/>
      <c r="K54" s="238"/>
      <c r="L54" s="475" t="s">
        <v>1624</v>
      </c>
      <c r="M54" s="474"/>
      <c r="N54" s="474"/>
      <c r="O54" s="474"/>
      <c r="P54" s="474"/>
      <c r="Q54" s="474"/>
      <c r="R54" s="474"/>
      <c r="S54" s="474"/>
      <c r="T54" s="474"/>
      <c r="U54" s="683"/>
      <c r="V54" s="682"/>
      <c r="W54" s="684"/>
      <c r="X54" s="685"/>
      <c r="Y54" s="503" t="s">
        <v>16</v>
      </c>
      <c r="Z54" s="504"/>
      <c r="AA54" s="504"/>
      <c r="AB54" s="504"/>
      <c r="AC54" s="505"/>
      <c r="AD54" s="501">
        <v>200</v>
      </c>
      <c r="AE54" s="502"/>
      <c r="AF54" s="501"/>
      <c r="AG54" s="502"/>
      <c r="AH54" s="508" t="s">
        <v>1625</v>
      </c>
      <c r="AI54" s="230"/>
      <c r="AJ54" s="230"/>
      <c r="AK54" s="230"/>
      <c r="AL54" s="230"/>
      <c r="AM54" s="334"/>
      <c r="AN54" s="334"/>
      <c r="AO54" s="334"/>
      <c r="AP54" s="334"/>
      <c r="AQ54" s="334"/>
      <c r="AR54" s="334"/>
      <c r="AS54" s="334"/>
      <c r="AT54" s="334"/>
      <c r="AU54" s="334"/>
      <c r="AV54" s="334"/>
      <c r="AW54" s="334"/>
      <c r="AX54" s="334"/>
      <c r="AY54" s="334"/>
      <c r="AZ54" s="334"/>
      <c r="BA54" s="335"/>
      <c r="BB54" s="334"/>
      <c r="BC54" s="334"/>
      <c r="BD54" s="334"/>
      <c r="BE54" s="334"/>
      <c r="BF54" s="334"/>
      <c r="BG54" s="43"/>
      <c r="BK54" s="64" t="s">
        <v>572</v>
      </c>
      <c r="BL54" s="101" t="s">
        <v>598</v>
      </c>
    </row>
    <row r="55" spans="1:64">
      <c r="A55" s="681">
        <v>48</v>
      </c>
      <c r="B55" s="682"/>
      <c r="C55" s="376" t="s">
        <v>49</v>
      </c>
      <c r="D55" s="377"/>
      <c r="E55" s="377"/>
      <c r="F55" s="377"/>
      <c r="G55" s="377"/>
      <c r="H55" s="377"/>
      <c r="I55" s="377"/>
      <c r="J55" s="377"/>
      <c r="K55" s="378"/>
      <c r="L55" s="379" t="s">
        <v>1332</v>
      </c>
      <c r="M55" s="379"/>
      <c r="N55" s="379"/>
      <c r="O55" s="379"/>
      <c r="P55" s="379"/>
      <c r="Q55" s="379"/>
      <c r="R55" s="379"/>
      <c r="S55" s="379"/>
      <c r="T55" s="379"/>
      <c r="U55" s="760"/>
      <c r="V55" s="761"/>
      <c r="W55" s="756"/>
      <c r="X55" s="757"/>
      <c r="Y55" s="380" t="s">
        <v>1333</v>
      </c>
      <c r="Z55" s="379"/>
      <c r="AA55" s="379"/>
      <c r="AB55" s="379"/>
      <c r="AC55" s="379"/>
      <c r="AD55" s="758">
        <v>0</v>
      </c>
      <c r="AE55" s="759"/>
      <c r="AF55" s="754"/>
      <c r="AG55" s="755"/>
      <c r="AH55" s="381"/>
      <c r="AI55" s="379"/>
      <c r="AJ55" s="379"/>
      <c r="AK55" s="334"/>
      <c r="AL55" s="334"/>
      <c r="AM55" s="334"/>
      <c r="AN55" s="334"/>
      <c r="AO55" s="334"/>
      <c r="AP55" s="334"/>
      <c r="AQ55" s="334"/>
      <c r="AR55" s="334"/>
      <c r="AS55" s="334"/>
      <c r="AT55" s="334"/>
      <c r="AU55" s="334"/>
      <c r="AV55" s="334"/>
      <c r="AW55" s="334"/>
      <c r="AX55" s="334"/>
      <c r="AY55" s="334"/>
      <c r="AZ55" s="334"/>
      <c r="BA55" s="335"/>
      <c r="BB55" s="334"/>
      <c r="BC55" s="334"/>
      <c r="BD55" s="334"/>
      <c r="BE55" s="334"/>
      <c r="BF55" s="334"/>
      <c r="BG55" s="43"/>
      <c r="BK55" s="64" t="s">
        <v>590</v>
      </c>
      <c r="BL55" s="120" t="s">
        <v>54</v>
      </c>
    </row>
    <row r="56" spans="1:64">
      <c r="A56" s="681">
        <v>49</v>
      </c>
      <c r="B56" s="682"/>
      <c r="C56" s="376" t="s">
        <v>49</v>
      </c>
      <c r="D56" s="377"/>
      <c r="E56" s="377"/>
      <c r="F56" s="377"/>
      <c r="G56" s="377"/>
      <c r="H56" s="377"/>
      <c r="I56" s="377"/>
      <c r="J56" s="377"/>
      <c r="K56" s="378"/>
      <c r="L56" s="379" t="s">
        <v>1334</v>
      </c>
      <c r="M56" s="379"/>
      <c r="N56" s="379"/>
      <c r="O56" s="379"/>
      <c r="P56" s="379"/>
      <c r="Q56" s="379"/>
      <c r="R56" s="379"/>
      <c r="S56" s="379"/>
      <c r="T56" s="379"/>
      <c r="U56" s="760"/>
      <c r="V56" s="761"/>
      <c r="W56" s="756"/>
      <c r="X56" s="757"/>
      <c r="Y56" s="380" t="s">
        <v>1333</v>
      </c>
      <c r="Z56" s="379"/>
      <c r="AA56" s="379"/>
      <c r="AB56" s="379"/>
      <c r="AC56" s="379"/>
      <c r="AD56" s="758">
        <v>0</v>
      </c>
      <c r="AE56" s="759"/>
      <c r="AF56" s="754"/>
      <c r="AG56" s="755"/>
      <c r="AH56" s="381"/>
      <c r="AI56" s="379"/>
      <c r="AJ56" s="379"/>
      <c r="AK56" s="334"/>
      <c r="AL56" s="334"/>
      <c r="AM56" s="334"/>
      <c r="AN56" s="334"/>
      <c r="AO56" s="334"/>
      <c r="AP56" s="334"/>
      <c r="AQ56" s="334"/>
      <c r="AR56" s="334"/>
      <c r="AS56" s="334"/>
      <c r="AT56" s="334"/>
      <c r="AU56" s="334"/>
      <c r="AV56" s="334"/>
      <c r="AW56" s="334"/>
      <c r="AX56" s="334"/>
      <c r="AY56" s="334"/>
      <c r="AZ56" s="334"/>
      <c r="BA56" s="335"/>
      <c r="BB56" s="334"/>
      <c r="BC56" s="334"/>
      <c r="BD56" s="334"/>
      <c r="BE56" s="334"/>
      <c r="BF56" s="334"/>
      <c r="BG56" s="43"/>
      <c r="BK56" s="147" t="s">
        <v>31</v>
      </c>
      <c r="BL56" s="101" t="s">
        <v>31</v>
      </c>
    </row>
    <row r="57" spans="1:64">
      <c r="A57" s="681">
        <v>50</v>
      </c>
      <c r="B57" s="682"/>
      <c r="C57" s="376" t="s">
        <v>49</v>
      </c>
      <c r="D57" s="377"/>
      <c r="E57" s="377"/>
      <c r="F57" s="377"/>
      <c r="G57" s="377"/>
      <c r="H57" s="377"/>
      <c r="I57" s="377"/>
      <c r="J57" s="377"/>
      <c r="K57" s="378"/>
      <c r="L57" s="379" t="s">
        <v>1335</v>
      </c>
      <c r="M57" s="379"/>
      <c r="N57" s="379"/>
      <c r="O57" s="379"/>
      <c r="P57" s="379"/>
      <c r="Q57" s="379"/>
      <c r="R57" s="379"/>
      <c r="S57" s="379"/>
      <c r="T57" s="379"/>
      <c r="U57" s="760"/>
      <c r="V57" s="761"/>
      <c r="W57" s="756"/>
      <c r="X57" s="757"/>
      <c r="Y57" s="380" t="s">
        <v>1333</v>
      </c>
      <c r="Z57" s="379"/>
      <c r="AA57" s="379"/>
      <c r="AB57" s="379"/>
      <c r="AC57" s="379"/>
      <c r="AD57" s="758">
        <v>0</v>
      </c>
      <c r="AE57" s="759"/>
      <c r="AF57" s="754"/>
      <c r="AG57" s="755"/>
      <c r="AH57" s="381"/>
      <c r="AI57" s="379"/>
      <c r="AJ57" s="379"/>
      <c r="AK57" s="334"/>
      <c r="AL57" s="334"/>
      <c r="AM57" s="334"/>
      <c r="AN57" s="334"/>
      <c r="AO57" s="334"/>
      <c r="AP57" s="334"/>
      <c r="AQ57" s="334"/>
      <c r="AR57" s="334"/>
      <c r="AS57" s="334"/>
      <c r="AT57" s="334"/>
      <c r="AU57" s="334"/>
      <c r="AV57" s="334"/>
      <c r="AW57" s="334"/>
      <c r="AX57" s="334"/>
      <c r="AY57" s="334"/>
      <c r="AZ57" s="334"/>
      <c r="BA57" s="335"/>
      <c r="BB57" s="334"/>
      <c r="BC57" s="334"/>
      <c r="BD57" s="334"/>
      <c r="BE57" s="334"/>
      <c r="BF57" s="334"/>
      <c r="BG57" s="43"/>
      <c r="BK57" s="147" t="s">
        <v>564</v>
      </c>
      <c r="BL57" s="51" t="s">
        <v>599</v>
      </c>
    </row>
    <row r="58" spans="1:64">
      <c r="A58" s="681">
        <v>51</v>
      </c>
      <c r="B58" s="682"/>
      <c r="C58" s="376" t="s">
        <v>49</v>
      </c>
      <c r="D58" s="377"/>
      <c r="E58" s="377"/>
      <c r="F58" s="377"/>
      <c r="G58" s="377"/>
      <c r="H58" s="377"/>
      <c r="I58" s="377"/>
      <c r="J58" s="377"/>
      <c r="K58" s="378"/>
      <c r="L58" s="379" t="s">
        <v>1336</v>
      </c>
      <c r="M58" s="379"/>
      <c r="N58" s="379"/>
      <c r="O58" s="379"/>
      <c r="P58" s="379"/>
      <c r="Q58" s="379"/>
      <c r="R58" s="379"/>
      <c r="S58" s="379"/>
      <c r="T58" s="379"/>
      <c r="U58" s="760"/>
      <c r="V58" s="761"/>
      <c r="W58" s="756"/>
      <c r="X58" s="757"/>
      <c r="Y58" s="380" t="s">
        <v>1333</v>
      </c>
      <c r="Z58" s="379"/>
      <c r="AA58" s="379"/>
      <c r="AB58" s="379"/>
      <c r="AC58" s="379"/>
      <c r="AD58" s="758">
        <v>0</v>
      </c>
      <c r="AE58" s="759"/>
      <c r="AF58" s="754"/>
      <c r="AG58" s="755"/>
      <c r="AH58" s="381"/>
      <c r="AI58" s="379"/>
      <c r="AJ58" s="379"/>
      <c r="AK58" s="334"/>
      <c r="AL58" s="334"/>
      <c r="AM58" s="334"/>
      <c r="AN58" s="334"/>
      <c r="AO58" s="334"/>
      <c r="AP58" s="334"/>
      <c r="AQ58" s="334"/>
      <c r="AR58" s="334"/>
      <c r="AS58" s="334"/>
      <c r="AT58" s="334"/>
      <c r="AU58" s="334"/>
      <c r="AV58" s="334"/>
      <c r="AW58" s="334"/>
      <c r="AX58" s="334"/>
      <c r="AY58" s="334"/>
      <c r="AZ58" s="334"/>
      <c r="BA58" s="335"/>
      <c r="BB58" s="334"/>
      <c r="BC58" s="334"/>
      <c r="BD58" s="334"/>
      <c r="BE58" s="334"/>
      <c r="BF58" s="334"/>
      <c r="BG58" s="43"/>
      <c r="BK58" s="64" t="s">
        <v>566</v>
      </c>
      <c r="BL58" s="51" t="s">
        <v>557</v>
      </c>
    </row>
    <row r="59" spans="1:64">
      <c r="A59" s="681">
        <v>52</v>
      </c>
      <c r="B59" s="682"/>
      <c r="C59" s="376" t="s">
        <v>49</v>
      </c>
      <c r="D59" s="377"/>
      <c r="E59" s="377"/>
      <c r="F59" s="377"/>
      <c r="G59" s="377"/>
      <c r="H59" s="377"/>
      <c r="I59" s="377"/>
      <c r="J59" s="377"/>
      <c r="K59" s="378"/>
      <c r="L59" s="379" t="s">
        <v>1348</v>
      </c>
      <c r="M59" s="379"/>
      <c r="N59" s="379"/>
      <c r="O59" s="379"/>
      <c r="P59" s="379"/>
      <c r="Q59" s="379"/>
      <c r="R59" s="379"/>
      <c r="S59" s="379"/>
      <c r="T59" s="379"/>
      <c r="U59" s="760"/>
      <c r="V59" s="761"/>
      <c r="W59" s="756"/>
      <c r="X59" s="757"/>
      <c r="Y59" s="380" t="s">
        <v>1333</v>
      </c>
      <c r="Z59" s="379"/>
      <c r="AA59" s="379"/>
      <c r="AB59" s="379"/>
      <c r="AC59" s="379"/>
      <c r="AD59" s="758">
        <v>0</v>
      </c>
      <c r="AE59" s="759"/>
      <c r="AF59" s="754"/>
      <c r="AG59" s="755"/>
      <c r="AH59" s="381"/>
      <c r="AI59" s="379"/>
      <c r="AJ59" s="379"/>
      <c r="AK59" s="334"/>
      <c r="AL59" s="334"/>
      <c r="AM59" s="334"/>
      <c r="AN59" s="334"/>
      <c r="AO59" s="334"/>
      <c r="AP59" s="334"/>
      <c r="AQ59" s="334"/>
      <c r="AR59" s="334"/>
      <c r="AS59" s="334"/>
      <c r="AT59" s="334"/>
      <c r="AU59" s="334"/>
      <c r="AV59" s="334"/>
      <c r="AW59" s="334"/>
      <c r="AX59" s="334"/>
      <c r="AY59" s="334"/>
      <c r="AZ59" s="334"/>
      <c r="BA59" s="335"/>
      <c r="BB59" s="334"/>
      <c r="BC59" s="334"/>
      <c r="BD59" s="334"/>
      <c r="BE59" s="334"/>
      <c r="BF59" s="334"/>
      <c r="BG59" s="43"/>
      <c r="BK59" s="147" t="s">
        <v>314</v>
      </c>
      <c r="BL59" s="51" t="s">
        <v>600</v>
      </c>
    </row>
    <row r="60" spans="1:64">
      <c r="A60" s="681">
        <v>53</v>
      </c>
      <c r="B60" s="682"/>
      <c r="C60" s="376" t="s">
        <v>49</v>
      </c>
      <c r="D60" s="377"/>
      <c r="E60" s="377"/>
      <c r="F60" s="377"/>
      <c r="G60" s="377"/>
      <c r="H60" s="377"/>
      <c r="I60" s="377"/>
      <c r="J60" s="377"/>
      <c r="K60" s="378"/>
      <c r="L60" s="379" t="s">
        <v>1349</v>
      </c>
      <c r="M60" s="379"/>
      <c r="N60" s="379"/>
      <c r="O60" s="379"/>
      <c r="P60" s="379"/>
      <c r="Q60" s="379"/>
      <c r="R60" s="379"/>
      <c r="S60" s="379"/>
      <c r="T60" s="379"/>
      <c r="U60" s="760"/>
      <c r="V60" s="761"/>
      <c r="W60" s="756"/>
      <c r="X60" s="757"/>
      <c r="Y60" s="380" t="s">
        <v>1333</v>
      </c>
      <c r="Z60" s="379"/>
      <c r="AA60" s="379"/>
      <c r="AB60" s="379"/>
      <c r="AC60" s="379"/>
      <c r="AD60" s="758">
        <v>0</v>
      </c>
      <c r="AE60" s="759"/>
      <c r="AF60" s="754"/>
      <c r="AG60" s="755"/>
      <c r="AH60" s="382"/>
      <c r="AI60" s="383"/>
      <c r="AJ60" s="383"/>
      <c r="AK60" s="334"/>
      <c r="AL60" s="334"/>
      <c r="AM60" s="334"/>
      <c r="AN60" s="334"/>
      <c r="AO60" s="334"/>
      <c r="AP60" s="334"/>
      <c r="AQ60" s="334"/>
      <c r="AR60" s="334"/>
      <c r="AS60" s="334"/>
      <c r="AT60" s="334"/>
      <c r="AU60" s="334"/>
      <c r="AV60" s="334"/>
      <c r="AW60" s="334"/>
      <c r="AX60" s="334"/>
      <c r="AY60" s="334"/>
      <c r="AZ60" s="334"/>
      <c r="BA60" s="335"/>
      <c r="BB60" s="334"/>
      <c r="BC60" s="334"/>
      <c r="BD60" s="334"/>
      <c r="BE60" s="334"/>
      <c r="BF60" s="334"/>
      <c r="BG60" s="43"/>
      <c r="BK60" s="147" t="s">
        <v>327</v>
      </c>
      <c r="BL60" s="51" t="s">
        <v>543</v>
      </c>
    </row>
    <row r="61" spans="1:64">
      <c r="A61" s="681">
        <v>54</v>
      </c>
      <c r="B61" s="682"/>
      <c r="C61" s="376" t="s">
        <v>49</v>
      </c>
      <c r="D61" s="377"/>
      <c r="E61" s="377"/>
      <c r="F61" s="377"/>
      <c r="G61" s="377"/>
      <c r="H61" s="377"/>
      <c r="I61" s="377"/>
      <c r="J61" s="377"/>
      <c r="K61" s="378"/>
      <c r="L61" s="379" t="s">
        <v>1350</v>
      </c>
      <c r="M61" s="379"/>
      <c r="N61" s="379"/>
      <c r="O61" s="379"/>
      <c r="P61" s="379"/>
      <c r="Q61" s="379"/>
      <c r="R61" s="379"/>
      <c r="S61" s="379"/>
      <c r="T61" s="379"/>
      <c r="U61" s="760"/>
      <c r="V61" s="761"/>
      <c r="W61" s="756"/>
      <c r="X61" s="757"/>
      <c r="Y61" s="380" t="s">
        <v>1333</v>
      </c>
      <c r="Z61" s="379"/>
      <c r="AA61" s="379"/>
      <c r="AB61" s="379"/>
      <c r="AC61" s="379"/>
      <c r="AD61" s="758">
        <v>0</v>
      </c>
      <c r="AE61" s="759"/>
      <c r="AF61" s="754"/>
      <c r="AG61" s="755"/>
      <c r="AH61" s="382"/>
      <c r="AI61" s="383"/>
      <c r="AJ61" s="383"/>
      <c r="AK61" s="334"/>
      <c r="AL61" s="334"/>
      <c r="AM61" s="334"/>
      <c r="AN61" s="334"/>
      <c r="AO61" s="334"/>
      <c r="AP61" s="334"/>
      <c r="AQ61" s="334"/>
      <c r="AR61" s="334"/>
      <c r="AS61" s="334"/>
      <c r="AT61" s="334"/>
      <c r="AU61" s="334"/>
      <c r="AV61" s="334"/>
      <c r="AW61" s="334"/>
      <c r="AX61" s="334"/>
      <c r="AY61" s="334"/>
      <c r="AZ61" s="334"/>
      <c r="BA61" s="335"/>
      <c r="BB61" s="334"/>
      <c r="BC61" s="334"/>
      <c r="BD61" s="334"/>
      <c r="BE61" s="334"/>
      <c r="BF61" s="334"/>
      <c r="BG61" s="43"/>
      <c r="BK61" s="147" t="s">
        <v>539</v>
      </c>
      <c r="BL61" s="51" t="s">
        <v>601</v>
      </c>
    </row>
    <row r="62" spans="1:64">
      <c r="A62" s="681">
        <v>55</v>
      </c>
      <c r="B62" s="682"/>
      <c r="C62" s="376" t="s">
        <v>49</v>
      </c>
      <c r="D62" s="377"/>
      <c r="E62" s="377"/>
      <c r="F62" s="377"/>
      <c r="G62" s="377"/>
      <c r="H62" s="377"/>
      <c r="I62" s="377"/>
      <c r="J62" s="377"/>
      <c r="K62" s="378"/>
      <c r="L62" s="379" t="s">
        <v>1351</v>
      </c>
      <c r="M62" s="379"/>
      <c r="N62" s="379"/>
      <c r="O62" s="379"/>
      <c r="P62" s="379"/>
      <c r="Q62" s="379"/>
      <c r="R62" s="379"/>
      <c r="S62" s="379"/>
      <c r="T62" s="379"/>
      <c r="U62" s="760"/>
      <c r="V62" s="761"/>
      <c r="W62" s="756"/>
      <c r="X62" s="757"/>
      <c r="Y62" s="380" t="s">
        <v>1333</v>
      </c>
      <c r="Z62" s="379"/>
      <c r="AA62" s="379"/>
      <c r="AB62" s="379"/>
      <c r="AC62" s="379"/>
      <c r="AD62" s="758">
        <v>0</v>
      </c>
      <c r="AE62" s="759"/>
      <c r="AF62" s="754"/>
      <c r="AG62" s="755"/>
      <c r="AH62" s="382"/>
      <c r="AI62" s="383"/>
      <c r="AJ62" s="383"/>
      <c r="AK62" s="334"/>
      <c r="AL62" s="334"/>
      <c r="AM62" s="334"/>
      <c r="AN62" s="334"/>
      <c r="AO62" s="334"/>
      <c r="AP62" s="334"/>
      <c r="AQ62" s="334"/>
      <c r="AR62" s="334"/>
      <c r="AS62" s="334"/>
      <c r="AT62" s="334"/>
      <c r="AU62" s="334"/>
      <c r="AV62" s="334"/>
      <c r="AW62" s="334"/>
      <c r="AX62" s="334"/>
      <c r="AY62" s="334"/>
      <c r="AZ62" s="334"/>
      <c r="BA62" s="335"/>
      <c r="BB62" s="334"/>
      <c r="BC62" s="334"/>
      <c r="BD62" s="334"/>
      <c r="BE62" s="334"/>
      <c r="BF62" s="334"/>
      <c r="BG62" s="43"/>
      <c r="BK62" s="147" t="s">
        <v>591</v>
      </c>
      <c r="BL62" s="51" t="s">
        <v>602</v>
      </c>
    </row>
    <row r="63" spans="1:64">
      <c r="A63" s="681">
        <v>56</v>
      </c>
      <c r="B63" s="682"/>
      <c r="C63" s="376" t="s">
        <v>49</v>
      </c>
      <c r="D63" s="377"/>
      <c r="E63" s="377"/>
      <c r="F63" s="377"/>
      <c r="G63" s="377"/>
      <c r="H63" s="377"/>
      <c r="I63" s="377"/>
      <c r="J63" s="377"/>
      <c r="K63" s="378"/>
      <c r="L63" s="379" t="s">
        <v>1352</v>
      </c>
      <c r="M63" s="379"/>
      <c r="N63" s="379"/>
      <c r="O63" s="379"/>
      <c r="P63" s="379"/>
      <c r="Q63" s="379"/>
      <c r="R63" s="379"/>
      <c r="S63" s="379"/>
      <c r="T63" s="379"/>
      <c r="U63" s="760"/>
      <c r="V63" s="761"/>
      <c r="W63" s="756"/>
      <c r="X63" s="757"/>
      <c r="Y63" s="380" t="s">
        <v>1333</v>
      </c>
      <c r="Z63" s="379"/>
      <c r="AA63" s="379"/>
      <c r="AB63" s="379"/>
      <c r="AC63" s="379"/>
      <c r="AD63" s="758">
        <v>0</v>
      </c>
      <c r="AE63" s="759"/>
      <c r="AF63" s="754"/>
      <c r="AG63" s="755"/>
      <c r="AH63" s="382"/>
      <c r="AI63" s="383"/>
      <c r="AJ63" s="383"/>
      <c r="AK63" s="334"/>
      <c r="AL63" s="334"/>
      <c r="AM63" s="334"/>
      <c r="AN63" s="334"/>
      <c r="AO63" s="334"/>
      <c r="AP63" s="334"/>
      <c r="AQ63" s="334"/>
      <c r="AR63" s="334"/>
      <c r="AS63" s="334"/>
      <c r="AT63" s="334"/>
      <c r="AU63" s="334"/>
      <c r="AV63" s="334"/>
      <c r="AW63" s="334"/>
      <c r="AX63" s="334"/>
      <c r="AY63" s="334"/>
      <c r="AZ63" s="334"/>
      <c r="BA63" s="335"/>
      <c r="BB63" s="334"/>
      <c r="BC63" s="334"/>
      <c r="BD63" s="334"/>
      <c r="BE63" s="334"/>
      <c r="BF63" s="334"/>
      <c r="BG63" s="43"/>
      <c r="BK63" s="147" t="s">
        <v>565</v>
      </c>
      <c r="BL63" s="51" t="s">
        <v>603</v>
      </c>
    </row>
    <row r="64" spans="1:64">
      <c r="A64" s="681">
        <v>57</v>
      </c>
      <c r="B64" s="682"/>
      <c r="C64" s="376" t="s">
        <v>49</v>
      </c>
      <c r="D64" s="377"/>
      <c r="E64" s="377"/>
      <c r="F64" s="377"/>
      <c r="G64" s="377"/>
      <c r="H64" s="377"/>
      <c r="I64" s="377"/>
      <c r="J64" s="377"/>
      <c r="K64" s="378"/>
      <c r="L64" s="379" t="s">
        <v>1353</v>
      </c>
      <c r="M64" s="379"/>
      <c r="N64" s="379"/>
      <c r="O64" s="379"/>
      <c r="P64" s="379"/>
      <c r="Q64" s="379"/>
      <c r="R64" s="379"/>
      <c r="S64" s="379"/>
      <c r="T64" s="379"/>
      <c r="U64" s="760"/>
      <c r="V64" s="761"/>
      <c r="W64" s="756"/>
      <c r="X64" s="757"/>
      <c r="Y64" s="380" t="s">
        <v>1333</v>
      </c>
      <c r="Z64" s="379"/>
      <c r="AA64" s="379"/>
      <c r="AB64" s="379"/>
      <c r="AC64" s="379"/>
      <c r="AD64" s="758">
        <v>0</v>
      </c>
      <c r="AE64" s="759"/>
      <c r="AF64" s="754"/>
      <c r="AG64" s="755"/>
      <c r="AH64" s="381"/>
      <c r="AI64" s="379"/>
      <c r="AJ64" s="379"/>
      <c r="AK64" s="334"/>
      <c r="AL64" s="334"/>
      <c r="AM64" s="334"/>
      <c r="AN64" s="334"/>
      <c r="AO64" s="334"/>
      <c r="AP64" s="334"/>
      <c r="AQ64" s="334"/>
      <c r="AR64" s="334"/>
      <c r="AS64" s="334"/>
      <c r="AT64" s="334"/>
      <c r="AU64" s="334"/>
      <c r="AV64" s="334"/>
      <c r="AW64" s="334"/>
      <c r="AX64" s="334"/>
      <c r="AY64" s="334"/>
      <c r="AZ64" s="334"/>
      <c r="BA64" s="335"/>
      <c r="BB64" s="334"/>
      <c r="BC64" s="334"/>
      <c r="BD64" s="334"/>
      <c r="BE64" s="334"/>
      <c r="BF64" s="334"/>
      <c r="BG64" s="43"/>
      <c r="BK64" s="147" t="s">
        <v>567</v>
      </c>
      <c r="BL64" s="51" t="s">
        <v>604</v>
      </c>
    </row>
    <row r="65" spans="1:64">
      <c r="A65" s="681">
        <v>58</v>
      </c>
      <c r="B65" s="682"/>
      <c r="C65" s="376" t="s">
        <v>1337</v>
      </c>
      <c r="D65" s="377"/>
      <c r="E65" s="377"/>
      <c r="F65" s="377"/>
      <c r="G65" s="377"/>
      <c r="H65" s="377"/>
      <c r="I65" s="377"/>
      <c r="J65" s="377"/>
      <c r="K65" s="378"/>
      <c r="L65" s="379" t="s">
        <v>1338</v>
      </c>
      <c r="M65" s="379"/>
      <c r="N65" s="379"/>
      <c r="O65" s="379"/>
      <c r="P65" s="379"/>
      <c r="Q65" s="379"/>
      <c r="R65" s="379"/>
      <c r="S65" s="379"/>
      <c r="T65" s="379"/>
      <c r="U65" s="760"/>
      <c r="V65" s="761"/>
      <c r="W65" s="756"/>
      <c r="X65" s="757"/>
      <c r="Y65" s="380" t="s">
        <v>199</v>
      </c>
      <c r="Z65" s="379"/>
      <c r="AA65" s="379"/>
      <c r="AB65" s="379"/>
      <c r="AC65" s="379"/>
      <c r="AD65" s="758">
        <v>32</v>
      </c>
      <c r="AE65" s="759"/>
      <c r="AF65" s="754"/>
      <c r="AG65" s="755"/>
      <c r="AH65" s="382" t="s">
        <v>1337</v>
      </c>
      <c r="AI65" s="383"/>
      <c r="AJ65" s="383"/>
      <c r="AK65" s="334"/>
      <c r="AL65" s="334"/>
      <c r="AM65" s="334"/>
      <c r="AN65" s="334"/>
      <c r="AO65" s="334"/>
      <c r="AP65" s="334"/>
      <c r="AQ65" s="334"/>
      <c r="AR65" s="334"/>
      <c r="AS65" s="334"/>
      <c r="AT65" s="334"/>
      <c r="AU65" s="334"/>
      <c r="AV65" s="334"/>
      <c r="AW65" s="334"/>
      <c r="AX65" s="334"/>
      <c r="AY65" s="334"/>
      <c r="AZ65" s="334"/>
      <c r="BA65" s="335"/>
      <c r="BB65" s="334"/>
      <c r="BC65" s="334"/>
      <c r="BD65" s="334"/>
      <c r="BE65" s="334"/>
      <c r="BF65" s="334"/>
      <c r="BG65" s="43"/>
      <c r="BH65" s="36"/>
      <c r="BK65" s="147" t="s">
        <v>568</v>
      </c>
      <c r="BL65" s="51" t="s">
        <v>605</v>
      </c>
    </row>
    <row r="66" spans="1:64">
      <c r="A66" s="681">
        <v>59</v>
      </c>
      <c r="B66" s="682"/>
      <c r="C66" s="376" t="s">
        <v>1339</v>
      </c>
      <c r="D66" s="377"/>
      <c r="E66" s="377"/>
      <c r="F66" s="377"/>
      <c r="G66" s="377"/>
      <c r="H66" s="377"/>
      <c r="I66" s="377"/>
      <c r="J66" s="377"/>
      <c r="K66" s="378"/>
      <c r="L66" s="379" t="s">
        <v>1340</v>
      </c>
      <c r="M66" s="379"/>
      <c r="N66" s="379"/>
      <c r="O66" s="379"/>
      <c r="P66" s="379"/>
      <c r="Q66" s="379"/>
      <c r="R66" s="379"/>
      <c r="S66" s="379"/>
      <c r="T66" s="379"/>
      <c r="U66" s="760"/>
      <c r="V66" s="761"/>
      <c r="W66" s="756"/>
      <c r="X66" s="757"/>
      <c r="Y66" s="380" t="s">
        <v>199</v>
      </c>
      <c r="Z66" s="379"/>
      <c r="AA66" s="379"/>
      <c r="AB66" s="379"/>
      <c r="AC66" s="379"/>
      <c r="AD66" s="758">
        <v>32</v>
      </c>
      <c r="AE66" s="759"/>
      <c r="AF66" s="754"/>
      <c r="AG66" s="755"/>
      <c r="AH66" s="382" t="s">
        <v>1341</v>
      </c>
      <c r="AI66" s="383"/>
      <c r="AJ66" s="383"/>
      <c r="AK66" s="334"/>
      <c r="AL66" s="334"/>
      <c r="AM66" s="334"/>
      <c r="AN66" s="334"/>
      <c r="AO66" s="334"/>
      <c r="AP66" s="331"/>
      <c r="AQ66" s="331"/>
      <c r="AR66" s="331"/>
      <c r="AS66" s="331"/>
      <c r="AT66" s="331"/>
      <c r="AU66" s="331"/>
      <c r="AV66" s="331"/>
      <c r="AW66" s="331"/>
      <c r="AX66" s="331"/>
      <c r="AY66" s="331"/>
      <c r="AZ66" s="331"/>
      <c r="BA66" s="332"/>
      <c r="BB66" s="334"/>
      <c r="BC66" s="334"/>
      <c r="BD66" s="334"/>
      <c r="BE66" s="334"/>
      <c r="BF66" s="334"/>
      <c r="BG66" s="43"/>
      <c r="BH66" s="36"/>
      <c r="BK66" s="147" t="s">
        <v>569</v>
      </c>
      <c r="BL66" s="51" t="s">
        <v>606</v>
      </c>
    </row>
    <row r="67" spans="1:64">
      <c r="A67" s="681">
        <v>60</v>
      </c>
      <c r="B67" s="682"/>
      <c r="C67" s="376" t="s">
        <v>1342</v>
      </c>
      <c r="D67" s="377"/>
      <c r="E67" s="377"/>
      <c r="F67" s="377"/>
      <c r="G67" s="377"/>
      <c r="H67" s="377"/>
      <c r="I67" s="377"/>
      <c r="J67" s="377"/>
      <c r="K67" s="378"/>
      <c r="L67" s="379" t="s">
        <v>1343</v>
      </c>
      <c r="M67" s="379"/>
      <c r="N67" s="379"/>
      <c r="O67" s="379"/>
      <c r="P67" s="379"/>
      <c r="Q67" s="379"/>
      <c r="R67" s="379"/>
      <c r="S67" s="379"/>
      <c r="T67" s="379"/>
      <c r="U67" s="760"/>
      <c r="V67" s="761"/>
      <c r="W67" s="756"/>
      <c r="X67" s="757"/>
      <c r="Y67" s="380" t="s">
        <v>199</v>
      </c>
      <c r="Z67" s="379"/>
      <c r="AA67" s="379"/>
      <c r="AB67" s="379"/>
      <c r="AC67" s="379"/>
      <c r="AD67" s="758">
        <v>2</v>
      </c>
      <c r="AE67" s="759"/>
      <c r="AF67" s="754"/>
      <c r="AG67" s="755"/>
      <c r="AH67" s="382" t="s">
        <v>1344</v>
      </c>
      <c r="AI67" s="383"/>
      <c r="AJ67" s="383"/>
      <c r="AK67" s="334"/>
      <c r="AP67" s="334"/>
      <c r="AQ67" s="334"/>
      <c r="AR67" s="334"/>
      <c r="AS67" s="334"/>
      <c r="AT67" s="334"/>
      <c r="AU67" s="334"/>
      <c r="AV67" s="334"/>
      <c r="AW67" s="334"/>
      <c r="AX67" s="334"/>
      <c r="AY67" s="334"/>
      <c r="AZ67" s="334"/>
      <c r="BA67" s="335"/>
      <c r="BB67" s="48"/>
      <c r="BC67" s="48"/>
      <c r="BD67" s="48"/>
      <c r="BE67" s="48"/>
      <c r="BF67" s="48"/>
      <c r="BG67" s="49"/>
      <c r="BK67" s="147" t="s">
        <v>570</v>
      </c>
      <c r="BL67" s="51" t="s">
        <v>607</v>
      </c>
    </row>
    <row r="68" spans="1:64">
      <c r="A68" s="681">
        <v>61</v>
      </c>
      <c r="B68" s="682"/>
      <c r="C68" s="376" t="s">
        <v>1345</v>
      </c>
      <c r="D68" s="377"/>
      <c r="E68" s="377"/>
      <c r="F68" s="377"/>
      <c r="G68" s="377"/>
      <c r="H68" s="377"/>
      <c r="I68" s="377"/>
      <c r="J68" s="377"/>
      <c r="K68" s="378"/>
      <c r="L68" s="379" t="s">
        <v>1346</v>
      </c>
      <c r="M68" s="379"/>
      <c r="N68" s="379"/>
      <c r="O68" s="379"/>
      <c r="P68" s="379"/>
      <c r="Q68" s="379"/>
      <c r="R68" s="379"/>
      <c r="S68" s="379"/>
      <c r="T68" s="379"/>
      <c r="U68" s="760"/>
      <c r="V68" s="761"/>
      <c r="W68" s="756"/>
      <c r="X68" s="757"/>
      <c r="Y68" s="380" t="s">
        <v>199</v>
      </c>
      <c r="Z68" s="379"/>
      <c r="AA68" s="379"/>
      <c r="AB68" s="379"/>
      <c r="AC68" s="379"/>
      <c r="AD68" s="758">
        <v>2</v>
      </c>
      <c r="AE68" s="759"/>
      <c r="AF68" s="754"/>
      <c r="AG68" s="755"/>
      <c r="AH68" s="382" t="s">
        <v>1347</v>
      </c>
      <c r="AI68" s="383"/>
      <c r="AJ68" s="383"/>
      <c r="AK68" s="334"/>
      <c r="AL68" s="334"/>
      <c r="AM68" s="334"/>
      <c r="AN68" s="334"/>
      <c r="AO68" s="334"/>
      <c r="AP68" s="334"/>
      <c r="AQ68" s="334"/>
      <c r="AR68" s="334"/>
      <c r="AS68" s="334"/>
      <c r="AT68" s="334"/>
      <c r="AU68" s="334"/>
      <c r="AV68" s="334"/>
      <c r="AW68" s="334"/>
      <c r="AX68" s="334"/>
      <c r="AY68" s="334"/>
      <c r="AZ68" s="334"/>
      <c r="BA68" s="335"/>
      <c r="BB68" s="334"/>
      <c r="BC68" s="334"/>
      <c r="BD68" s="334"/>
      <c r="BE68" s="334"/>
      <c r="BF68" s="334"/>
      <c r="BG68" s="43"/>
      <c r="BK68" s="147" t="s">
        <v>571</v>
      </c>
      <c r="BL68" s="51" t="s">
        <v>608</v>
      </c>
    </row>
    <row r="69" spans="1:64">
      <c r="A69" s="681"/>
      <c r="B69" s="682"/>
      <c r="C69" s="59"/>
      <c r="D69" s="331"/>
      <c r="E69" s="331"/>
      <c r="F69" s="331"/>
      <c r="G69" s="331"/>
      <c r="H69" s="331"/>
      <c r="I69" s="331"/>
      <c r="J69" s="331"/>
      <c r="K69" s="332"/>
      <c r="L69" s="1"/>
      <c r="M69" s="331"/>
      <c r="N69" s="331"/>
      <c r="O69" s="331"/>
      <c r="P69" s="331"/>
      <c r="Q69" s="331"/>
      <c r="R69" s="331"/>
      <c r="S69" s="331"/>
      <c r="T69" s="331"/>
      <c r="U69" s="692"/>
      <c r="V69" s="693"/>
      <c r="W69" s="694"/>
      <c r="X69" s="695"/>
      <c r="Y69" s="371"/>
      <c r="Z69" s="372"/>
      <c r="AA69" s="372"/>
      <c r="AB69" s="372"/>
      <c r="AC69" s="373"/>
      <c r="AD69" s="368"/>
      <c r="AE69" s="369"/>
      <c r="AF69" s="368"/>
      <c r="AG69" s="369"/>
      <c r="AH69" s="371"/>
      <c r="AQ69" s="334"/>
      <c r="AR69" s="334"/>
      <c r="AS69" s="334"/>
      <c r="AT69" s="334"/>
      <c r="AU69" s="334"/>
      <c r="AV69" s="334"/>
      <c r="AW69" s="334"/>
      <c r="AX69" s="334"/>
      <c r="AY69" s="334"/>
      <c r="AZ69" s="334"/>
      <c r="BA69" s="335"/>
      <c r="BB69" s="334"/>
      <c r="BC69" s="334"/>
      <c r="BD69" s="334"/>
      <c r="BE69" s="334"/>
      <c r="BF69" s="334"/>
      <c r="BG69" s="43"/>
      <c r="BK69" s="147" t="s">
        <v>573</v>
      </c>
      <c r="BL69" s="51" t="s">
        <v>609</v>
      </c>
    </row>
    <row r="70" spans="1:64">
      <c r="A70" s="681"/>
      <c r="B70" s="682"/>
      <c r="C70" s="59"/>
      <c r="D70" s="331"/>
      <c r="E70" s="331"/>
      <c r="F70" s="331"/>
      <c r="G70" s="331"/>
      <c r="H70" s="331"/>
      <c r="I70" s="331"/>
      <c r="J70" s="331"/>
      <c r="K70" s="332"/>
      <c r="L70" s="1"/>
      <c r="M70" s="331"/>
      <c r="N70" s="331"/>
      <c r="O70" s="331"/>
      <c r="P70" s="331"/>
      <c r="Q70" s="331"/>
      <c r="R70" s="331"/>
      <c r="S70" s="331"/>
      <c r="T70" s="331"/>
      <c r="U70" s="692"/>
      <c r="V70" s="693"/>
      <c r="W70" s="694"/>
      <c r="X70" s="695"/>
      <c r="Y70" s="371"/>
      <c r="Z70" s="372"/>
      <c r="AA70" s="372"/>
      <c r="AB70" s="372"/>
      <c r="AC70" s="373"/>
      <c r="AD70" s="368"/>
      <c r="AE70" s="369"/>
      <c r="AF70" s="368"/>
      <c r="AG70" s="369"/>
      <c r="AH70" s="371"/>
      <c r="AI70" s="334"/>
      <c r="AJ70" s="334"/>
      <c r="AK70" s="334"/>
      <c r="AL70" s="334"/>
      <c r="AM70" s="334"/>
      <c r="AN70" s="334"/>
      <c r="AO70" s="334"/>
      <c r="AP70" s="334"/>
      <c r="AQ70" s="334"/>
      <c r="AR70" s="334"/>
      <c r="AS70" s="334"/>
      <c r="AT70" s="334"/>
      <c r="AU70" s="334"/>
      <c r="AV70" s="334"/>
      <c r="AW70" s="334"/>
      <c r="AX70" s="334"/>
      <c r="AY70" s="334"/>
      <c r="AZ70" s="334"/>
      <c r="BA70" s="335"/>
      <c r="BB70" s="334"/>
      <c r="BC70" s="334"/>
      <c r="BD70" s="334"/>
      <c r="BE70" s="334"/>
      <c r="BF70" s="334"/>
      <c r="BG70" s="43"/>
      <c r="BK70" s="147" t="s">
        <v>574</v>
      </c>
      <c r="BL70" s="51" t="s">
        <v>610</v>
      </c>
    </row>
    <row r="71" spans="1:64">
      <c r="A71" s="681"/>
      <c r="B71" s="682"/>
      <c r="C71" s="59"/>
      <c r="D71" s="331"/>
      <c r="E71" s="331"/>
      <c r="F71" s="331"/>
      <c r="G71" s="331"/>
      <c r="H71" s="331"/>
      <c r="I71" s="331"/>
      <c r="J71" s="331"/>
      <c r="K71" s="332"/>
      <c r="L71" s="1"/>
      <c r="M71" s="331"/>
      <c r="N71" s="331"/>
      <c r="O71" s="331"/>
      <c r="P71" s="331"/>
      <c r="Q71" s="331"/>
      <c r="R71" s="331"/>
      <c r="S71" s="331"/>
      <c r="T71" s="331"/>
      <c r="U71" s="692"/>
      <c r="V71" s="693"/>
      <c r="W71" s="694"/>
      <c r="X71" s="695"/>
      <c r="Y71" s="371"/>
      <c r="Z71" s="372"/>
      <c r="AA71" s="372"/>
      <c r="AB71" s="372"/>
      <c r="AC71" s="373"/>
      <c r="AD71" s="368"/>
      <c r="AE71" s="369"/>
      <c r="AF71" s="368"/>
      <c r="AG71" s="369"/>
      <c r="AH71" s="371"/>
      <c r="AI71" s="334"/>
      <c r="AJ71" s="334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5"/>
      <c r="BB71" s="334"/>
      <c r="BC71" s="334"/>
      <c r="BD71" s="334"/>
      <c r="BE71" s="334"/>
      <c r="BF71" s="334"/>
      <c r="BG71" s="43"/>
      <c r="BK71" s="147" t="s">
        <v>575</v>
      </c>
      <c r="BL71" s="51" t="s">
        <v>611</v>
      </c>
    </row>
    <row r="72" spans="1:64">
      <c r="A72" s="681"/>
      <c r="B72" s="682"/>
      <c r="C72" s="59"/>
      <c r="D72" s="168"/>
      <c r="E72" s="168"/>
      <c r="F72" s="168"/>
      <c r="G72" s="168"/>
      <c r="H72" s="168"/>
      <c r="I72" s="168"/>
      <c r="J72" s="168"/>
      <c r="K72" s="169"/>
      <c r="L72" s="36"/>
      <c r="M72" s="168"/>
      <c r="N72" s="168"/>
      <c r="O72" s="168"/>
      <c r="P72" s="168"/>
      <c r="Q72" s="168"/>
      <c r="R72" s="168"/>
      <c r="S72" s="168"/>
      <c r="T72" s="168"/>
      <c r="U72" s="683"/>
      <c r="V72" s="682"/>
      <c r="W72" s="684"/>
      <c r="X72" s="685"/>
      <c r="Y72" s="150"/>
      <c r="Z72" s="151"/>
      <c r="AA72" s="151"/>
      <c r="AB72" s="151"/>
      <c r="AC72" s="152"/>
      <c r="AD72" s="148"/>
      <c r="AE72" s="149"/>
      <c r="AF72" s="148"/>
      <c r="AG72" s="149"/>
      <c r="AH72" s="167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8"/>
      <c r="AY72" s="168"/>
      <c r="AZ72" s="168"/>
      <c r="BA72" s="169"/>
      <c r="BB72" s="168"/>
      <c r="BC72" s="168"/>
      <c r="BD72" s="168"/>
      <c r="BE72" s="168"/>
      <c r="BF72" s="168"/>
      <c r="BG72" s="43"/>
      <c r="BK72" s="147" t="s">
        <v>576</v>
      </c>
      <c r="BL72" s="51" t="s">
        <v>612</v>
      </c>
    </row>
    <row r="73" spans="1:64">
      <c r="A73" s="681"/>
      <c r="B73" s="682"/>
      <c r="C73" s="59"/>
      <c r="D73" s="168"/>
      <c r="E73" s="168"/>
      <c r="F73" s="168"/>
      <c r="G73" s="168"/>
      <c r="H73" s="168"/>
      <c r="I73" s="168"/>
      <c r="J73" s="168"/>
      <c r="K73" s="169"/>
      <c r="L73" s="36"/>
      <c r="M73" s="168"/>
      <c r="N73" s="168"/>
      <c r="O73" s="168"/>
      <c r="P73" s="168"/>
      <c r="Q73" s="168"/>
      <c r="R73" s="168"/>
      <c r="S73" s="168"/>
      <c r="T73" s="168"/>
      <c r="U73" s="683"/>
      <c r="V73" s="682"/>
      <c r="W73" s="684"/>
      <c r="X73" s="685"/>
      <c r="Y73" s="150"/>
      <c r="Z73" s="151"/>
      <c r="AA73" s="151"/>
      <c r="AB73" s="151"/>
      <c r="AC73" s="152"/>
      <c r="AD73" s="148"/>
      <c r="AE73" s="149"/>
      <c r="AF73" s="148"/>
      <c r="AG73" s="149"/>
      <c r="AH73" s="167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8"/>
      <c r="AY73" s="168"/>
      <c r="AZ73" s="168"/>
      <c r="BA73" s="169"/>
      <c r="BB73" s="168"/>
      <c r="BC73" s="168"/>
      <c r="BD73" s="168"/>
      <c r="BE73" s="168"/>
      <c r="BF73" s="168"/>
      <c r="BG73" s="43"/>
      <c r="BK73" s="147" t="s">
        <v>577</v>
      </c>
      <c r="BL73" s="51" t="s">
        <v>613</v>
      </c>
    </row>
    <row r="74" spans="1:64">
      <c r="A74" s="681"/>
      <c r="B74" s="682"/>
      <c r="C74" s="59"/>
      <c r="D74" s="168"/>
      <c r="E74" s="168"/>
      <c r="F74" s="168"/>
      <c r="G74" s="168"/>
      <c r="H74" s="168"/>
      <c r="I74" s="168"/>
      <c r="J74" s="168"/>
      <c r="K74" s="169"/>
      <c r="L74" s="36"/>
      <c r="M74" s="168"/>
      <c r="N74" s="168"/>
      <c r="O74" s="168"/>
      <c r="P74" s="168"/>
      <c r="Q74" s="168"/>
      <c r="R74" s="168"/>
      <c r="S74" s="168"/>
      <c r="T74" s="168"/>
      <c r="U74" s="683"/>
      <c r="V74" s="682"/>
      <c r="W74" s="684"/>
      <c r="X74" s="685"/>
      <c r="Y74" s="150"/>
      <c r="Z74" s="151"/>
      <c r="AA74" s="151"/>
      <c r="AB74" s="151"/>
      <c r="AC74" s="152"/>
      <c r="AD74" s="148"/>
      <c r="AE74" s="149"/>
      <c r="AF74" s="148"/>
      <c r="AG74" s="149"/>
      <c r="AH74" s="167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8"/>
      <c r="AY74" s="168"/>
      <c r="AZ74" s="168"/>
      <c r="BA74" s="169"/>
      <c r="BB74" s="168"/>
      <c r="BC74" s="168"/>
      <c r="BD74" s="168"/>
      <c r="BE74" s="168"/>
      <c r="BF74" s="168"/>
      <c r="BG74" s="43"/>
      <c r="BK74" s="147" t="s">
        <v>578</v>
      </c>
      <c r="BL74" s="51" t="s">
        <v>614</v>
      </c>
    </row>
    <row r="75" spans="1:64">
      <c r="A75" s="681"/>
      <c r="B75" s="682"/>
      <c r="C75" s="59"/>
      <c r="D75" s="168"/>
      <c r="E75" s="168"/>
      <c r="F75" s="168"/>
      <c r="G75" s="168"/>
      <c r="H75" s="168"/>
      <c r="I75" s="168"/>
      <c r="J75" s="168"/>
      <c r="K75" s="169"/>
      <c r="L75" s="36"/>
      <c r="M75" s="168"/>
      <c r="N75" s="168"/>
      <c r="O75" s="168"/>
      <c r="P75" s="168"/>
      <c r="Q75" s="168"/>
      <c r="R75" s="168"/>
      <c r="S75" s="168"/>
      <c r="T75" s="168"/>
      <c r="U75" s="683"/>
      <c r="V75" s="682"/>
      <c r="W75" s="684"/>
      <c r="X75" s="685"/>
      <c r="Y75" s="150"/>
      <c r="Z75" s="151"/>
      <c r="AA75" s="151"/>
      <c r="AB75" s="151"/>
      <c r="AC75" s="152"/>
      <c r="AD75" s="148"/>
      <c r="AE75" s="149"/>
      <c r="AF75" s="148"/>
      <c r="AG75" s="149"/>
      <c r="AH75" s="167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S75" s="168"/>
      <c r="AT75" s="168"/>
      <c r="AU75" s="168"/>
      <c r="AV75" s="168"/>
      <c r="AW75" s="168"/>
      <c r="AX75" s="168"/>
      <c r="AY75" s="168"/>
      <c r="AZ75" s="168"/>
      <c r="BA75" s="169"/>
      <c r="BB75" s="168"/>
      <c r="BC75" s="168"/>
      <c r="BD75" s="168"/>
      <c r="BE75" s="168"/>
      <c r="BF75" s="168"/>
      <c r="BG75" s="43"/>
      <c r="BK75" s="147" t="s">
        <v>592</v>
      </c>
      <c r="BL75" s="51" t="s">
        <v>615</v>
      </c>
    </row>
    <row r="76" spans="1:64">
      <c r="A76" s="681"/>
      <c r="B76" s="682"/>
      <c r="C76" s="59"/>
      <c r="D76" s="168"/>
      <c r="E76" s="168"/>
      <c r="F76" s="168"/>
      <c r="G76" s="168"/>
      <c r="H76" s="168"/>
      <c r="I76" s="168"/>
      <c r="J76" s="168"/>
      <c r="K76" s="169"/>
      <c r="L76" s="36"/>
      <c r="M76" s="168"/>
      <c r="N76" s="168"/>
      <c r="O76" s="168"/>
      <c r="P76" s="168"/>
      <c r="Q76" s="168"/>
      <c r="R76" s="168"/>
      <c r="S76" s="168"/>
      <c r="T76" s="168"/>
      <c r="U76" s="683"/>
      <c r="V76" s="682"/>
      <c r="W76" s="684"/>
      <c r="X76" s="685"/>
      <c r="Y76" s="150"/>
      <c r="Z76" s="151"/>
      <c r="AA76" s="151"/>
      <c r="AB76" s="151"/>
      <c r="AC76" s="152"/>
      <c r="AD76" s="148"/>
      <c r="AE76" s="149"/>
      <c r="AF76" s="148"/>
      <c r="AG76" s="149"/>
      <c r="AH76" s="167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9"/>
      <c r="BB76" s="168"/>
      <c r="BC76" s="168"/>
      <c r="BD76" s="168"/>
      <c r="BE76" s="168"/>
      <c r="BF76" s="168"/>
      <c r="BG76" s="43"/>
      <c r="BK76" s="147" t="s">
        <v>581</v>
      </c>
      <c r="BL76" s="51" t="s">
        <v>616</v>
      </c>
    </row>
    <row r="77" spans="1:64">
      <c r="A77" s="681"/>
      <c r="B77" s="682"/>
      <c r="C77" s="59"/>
      <c r="D77" s="165"/>
      <c r="E77" s="165"/>
      <c r="F77" s="165"/>
      <c r="G77" s="165"/>
      <c r="H77" s="165"/>
      <c r="I77" s="165"/>
      <c r="J77" s="165"/>
      <c r="K77" s="166"/>
      <c r="L77" s="1"/>
      <c r="M77" s="165"/>
      <c r="N77" s="165"/>
      <c r="O77" s="165"/>
      <c r="P77" s="165"/>
      <c r="Q77" s="165"/>
      <c r="R77" s="165"/>
      <c r="S77" s="165"/>
      <c r="T77" s="165"/>
      <c r="U77" s="692"/>
      <c r="V77" s="693"/>
      <c r="W77" s="694"/>
      <c r="X77" s="695"/>
      <c r="Y77" s="154"/>
      <c r="Z77" s="155"/>
      <c r="AA77" s="155"/>
      <c r="AB77" s="155"/>
      <c r="AC77" s="156"/>
      <c r="AD77" s="148"/>
      <c r="AE77" s="149"/>
      <c r="AF77" s="148"/>
      <c r="AG77" s="149"/>
      <c r="AH77" s="164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168"/>
      <c r="AX77" s="168"/>
      <c r="AY77" s="168"/>
      <c r="AZ77" s="168"/>
      <c r="BA77" s="169"/>
      <c r="BB77" s="168"/>
      <c r="BC77" s="168"/>
      <c r="BD77" s="168"/>
      <c r="BE77" s="168"/>
      <c r="BF77" s="168"/>
      <c r="BG77" s="43"/>
      <c r="BK77" s="147" t="s">
        <v>582</v>
      </c>
      <c r="BL77" s="51" t="s">
        <v>617</v>
      </c>
    </row>
    <row r="78" spans="1:64" ht="16.2" thickBot="1">
      <c r="A78" s="162"/>
      <c r="B78" s="162"/>
      <c r="C78" s="161"/>
      <c r="D78" s="162"/>
      <c r="E78" s="162"/>
      <c r="F78" s="162"/>
      <c r="G78" s="162"/>
      <c r="H78" s="162"/>
      <c r="I78" s="162"/>
      <c r="J78" s="162"/>
      <c r="K78" s="163"/>
      <c r="L78" s="162"/>
      <c r="M78" s="162"/>
      <c r="N78" s="162"/>
      <c r="O78" s="162"/>
      <c r="P78" s="162"/>
      <c r="Q78" s="162"/>
      <c r="R78" s="162"/>
      <c r="S78" s="162"/>
      <c r="T78" s="162"/>
      <c r="U78" s="677"/>
      <c r="V78" s="678"/>
      <c r="W78" s="677"/>
      <c r="X78" s="678"/>
      <c r="Y78" s="161"/>
      <c r="Z78" s="162"/>
      <c r="AA78" s="162"/>
      <c r="AB78" s="162"/>
      <c r="AC78" s="163"/>
      <c r="AD78" s="679"/>
      <c r="AE78" s="680"/>
      <c r="AF78" s="679"/>
      <c r="AG78" s="680"/>
      <c r="AH78" s="161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3"/>
      <c r="BK78" s="147" t="s">
        <v>460</v>
      </c>
      <c r="BL78" s="51" t="s">
        <v>618</v>
      </c>
    </row>
    <row r="79" spans="1:64">
      <c r="BK79" s="147" t="s">
        <v>29</v>
      </c>
      <c r="BL79" s="51" t="s">
        <v>49</v>
      </c>
    </row>
    <row r="80" spans="1:64">
      <c r="BK80" s="147" t="s">
        <v>593</v>
      </c>
      <c r="BL80" s="51" t="s">
        <v>619</v>
      </c>
    </row>
    <row r="81" spans="30:64">
      <c r="BK81" s="147" t="s">
        <v>579</v>
      </c>
      <c r="BL81" s="51" t="s">
        <v>620</v>
      </c>
    </row>
    <row r="82" spans="30:64">
      <c r="BK82" s="147" t="s">
        <v>580</v>
      </c>
      <c r="BL82" s="51" t="s">
        <v>621</v>
      </c>
    </row>
    <row r="83" spans="30:64">
      <c r="AP83" s="307"/>
      <c r="AQ83" s="228"/>
      <c r="AR83" s="228"/>
      <c r="AS83" s="228"/>
      <c r="AT83" s="307"/>
      <c r="AU83" s="228"/>
      <c r="AV83" s="228"/>
      <c r="AW83" s="228"/>
      <c r="AX83" s="228"/>
      <c r="AY83" s="228"/>
      <c r="AZ83" s="228"/>
      <c r="BA83" s="228"/>
      <c r="BB83" s="228"/>
      <c r="BC83" s="228"/>
      <c r="BD83" s="228"/>
      <c r="BE83" s="228"/>
      <c r="BF83" s="228"/>
      <c r="BG83" s="228"/>
      <c r="BH83" s="228"/>
      <c r="BI83" s="228"/>
      <c r="BK83" s="147" t="s">
        <v>587</v>
      </c>
      <c r="BL83" s="51" t="s">
        <v>622</v>
      </c>
    </row>
    <row r="84" spans="30:64">
      <c r="BK84" s="147" t="s">
        <v>588</v>
      </c>
      <c r="BL84" s="51" t="s">
        <v>623</v>
      </c>
    </row>
    <row r="85" spans="30:64">
      <c r="BK85" s="147" t="s">
        <v>38</v>
      </c>
      <c r="BL85" s="51" t="s">
        <v>624</v>
      </c>
    </row>
    <row r="86" spans="30:64">
      <c r="AD86" s="295"/>
      <c r="AE86" s="295"/>
      <c r="AF86" s="295"/>
      <c r="AG86" s="295"/>
      <c r="BK86" s="147" t="s">
        <v>28</v>
      </c>
      <c r="BL86" s="51" t="s">
        <v>554</v>
      </c>
    </row>
    <row r="87" spans="30:64">
      <c r="AD87" s="295"/>
      <c r="AE87" s="295"/>
      <c r="AF87" s="295"/>
      <c r="AG87" s="295"/>
      <c r="BK87" s="64" t="s">
        <v>1626</v>
      </c>
      <c r="BL87" s="51" t="s">
        <v>625</v>
      </c>
    </row>
    <row r="88" spans="30:64">
      <c r="AD88" s="295"/>
      <c r="AE88" s="295"/>
      <c r="AF88" s="295"/>
      <c r="AG88" s="295"/>
      <c r="BK88" s="147" t="s">
        <v>67</v>
      </c>
      <c r="BL88" s="51" t="s">
        <v>626</v>
      </c>
    </row>
    <row r="89" spans="30:64">
      <c r="AD89" s="295"/>
      <c r="AE89" s="295"/>
      <c r="AF89" s="295"/>
      <c r="AG89" s="295"/>
      <c r="AP89" s="307"/>
      <c r="AQ89" s="228"/>
      <c r="AR89" s="228"/>
      <c r="AS89" s="228"/>
      <c r="AT89" s="307"/>
      <c r="AU89" s="228"/>
      <c r="AV89" s="228"/>
      <c r="AW89" s="228"/>
      <c r="AX89" s="228"/>
      <c r="AY89" s="228"/>
      <c r="AZ89" s="228"/>
      <c r="BA89" s="228"/>
      <c r="BB89" s="228"/>
      <c r="BC89" s="228"/>
      <c r="BD89" s="228"/>
      <c r="BE89" s="228"/>
      <c r="BF89" s="228"/>
      <c r="BG89" s="228"/>
      <c r="BH89" s="228"/>
      <c r="BI89" s="228"/>
      <c r="BK89" s="147" t="s">
        <v>36</v>
      </c>
      <c r="BL89" s="51" t="s">
        <v>627</v>
      </c>
    </row>
    <row r="90" spans="30:64">
      <c r="AD90" s="295"/>
      <c r="AE90" s="295"/>
      <c r="AF90" s="295"/>
      <c r="AG90" s="295"/>
      <c r="BK90" s="147" t="s">
        <v>595</v>
      </c>
      <c r="BL90" s="51" t="s">
        <v>628</v>
      </c>
    </row>
    <row r="91" spans="30:64">
      <c r="AD91" s="295"/>
      <c r="AE91" s="295"/>
      <c r="AF91" s="295"/>
      <c r="AG91" s="295"/>
      <c r="BK91" s="147" t="s">
        <v>596</v>
      </c>
      <c r="BL91" s="51" t="s">
        <v>629</v>
      </c>
    </row>
    <row r="92" spans="30:64">
      <c r="AD92" s="295"/>
      <c r="AE92" s="295"/>
      <c r="AF92" s="295"/>
      <c r="AG92" s="295"/>
      <c r="BK92" s="120"/>
      <c r="BL92" s="51"/>
    </row>
    <row r="93" spans="30:64">
      <c r="AD93" s="295"/>
      <c r="AE93" s="295"/>
      <c r="AF93" s="295"/>
      <c r="AG93" s="295"/>
      <c r="BK93" s="497" t="s">
        <v>758</v>
      </c>
      <c r="BL93" s="498"/>
    </row>
    <row r="94" spans="30:64">
      <c r="AD94" s="295"/>
      <c r="AE94" s="295"/>
      <c r="AF94" s="295"/>
      <c r="AG94" s="295"/>
      <c r="AP94" s="307"/>
      <c r="AQ94" s="228"/>
      <c r="AR94" s="228"/>
      <c r="AS94" s="228"/>
      <c r="AT94" s="307"/>
      <c r="AU94" s="228"/>
      <c r="AV94" s="228"/>
      <c r="AW94" s="228"/>
      <c r="AX94" s="228"/>
      <c r="AY94" s="228"/>
      <c r="AZ94" s="228"/>
      <c r="BA94" s="228"/>
      <c r="BB94" s="228"/>
      <c r="BC94" s="228"/>
      <c r="BD94" s="228"/>
      <c r="BE94" s="228"/>
      <c r="BF94" s="228"/>
      <c r="BG94" s="228"/>
      <c r="BH94" s="228"/>
      <c r="BI94" s="228"/>
      <c r="BK94" s="499" t="s">
        <v>759</v>
      </c>
      <c r="BL94" s="500"/>
    </row>
    <row r="95" spans="30:64">
      <c r="AD95" s="295"/>
      <c r="AE95" s="295"/>
      <c r="AF95" s="295"/>
      <c r="AG95" s="295"/>
      <c r="BK95" s="506" t="s">
        <v>1237</v>
      </c>
      <c r="BL95" s="507"/>
    </row>
    <row r="96" spans="30:64">
      <c r="AD96" s="295"/>
      <c r="AE96" s="295"/>
      <c r="AF96" s="295"/>
      <c r="AG96" s="295"/>
      <c r="BK96" s="50" t="s">
        <v>1193</v>
      </c>
      <c r="BL96" s="52" t="s">
        <v>1235</v>
      </c>
    </row>
    <row r="97" spans="10:64">
      <c r="AD97" s="295"/>
      <c r="AE97" s="295"/>
      <c r="AF97" s="295"/>
      <c r="AG97" s="295"/>
      <c r="BK97" s="50" t="s">
        <v>866</v>
      </c>
      <c r="BL97" s="52" t="s">
        <v>1236</v>
      </c>
    </row>
    <row r="98" spans="10:64">
      <c r="AD98" s="295"/>
      <c r="AE98" s="295"/>
      <c r="AF98" s="295"/>
      <c r="AG98" s="295"/>
      <c r="BK98" s="50" t="s">
        <v>870</v>
      </c>
      <c r="BL98" s="52" t="s">
        <v>870</v>
      </c>
    </row>
    <row r="99" spans="10:64">
      <c r="AD99" s="295"/>
      <c r="AE99" s="295"/>
      <c r="AF99" s="295"/>
      <c r="AG99" s="295"/>
      <c r="BK99" s="50" t="s">
        <v>1230</v>
      </c>
      <c r="BL99" s="52" t="s">
        <v>1230</v>
      </c>
    </row>
    <row r="100" spans="10:64">
      <c r="AD100" s="295"/>
      <c r="AE100" s="295"/>
      <c r="AF100" s="295"/>
      <c r="AG100" s="295"/>
      <c r="AP100" s="307"/>
      <c r="AQ100" s="228"/>
      <c r="AR100" s="228"/>
      <c r="AS100" s="228"/>
      <c r="AT100" s="307"/>
      <c r="AU100" s="228"/>
      <c r="AV100" s="228"/>
      <c r="AW100" s="228"/>
      <c r="AX100" s="228"/>
      <c r="AY100" s="228"/>
      <c r="AZ100" s="228"/>
      <c r="BA100" s="228"/>
      <c r="BB100" s="228"/>
      <c r="BC100" s="228"/>
      <c r="BD100" s="228"/>
      <c r="BE100" s="228"/>
      <c r="BF100" s="228"/>
      <c r="BG100" s="228"/>
      <c r="BH100" s="228"/>
      <c r="BI100" s="228"/>
      <c r="BK100" s="50" t="s">
        <v>1231</v>
      </c>
      <c r="BL100" s="52" t="s">
        <v>1231</v>
      </c>
    </row>
    <row r="101" spans="10:64">
      <c r="AD101" s="295"/>
      <c r="AE101" s="295"/>
      <c r="AF101" s="295"/>
      <c r="AG101" s="295"/>
      <c r="BK101" s="50" t="s">
        <v>1232</v>
      </c>
      <c r="BL101" s="52" t="s">
        <v>1232</v>
      </c>
    </row>
    <row r="102" spans="10:64">
      <c r="AD102" s="295"/>
      <c r="AE102" s="295"/>
      <c r="AF102" s="295"/>
      <c r="AG102" s="295"/>
      <c r="BK102" s="50" t="s">
        <v>1233</v>
      </c>
      <c r="BL102" s="52" t="s">
        <v>1233</v>
      </c>
    </row>
    <row r="103" spans="10:64">
      <c r="AD103" s="295"/>
      <c r="AE103" s="295"/>
      <c r="AF103" s="295"/>
      <c r="AG103" s="295"/>
      <c r="BK103" s="50" t="s">
        <v>1234</v>
      </c>
      <c r="BL103" s="52" t="s">
        <v>1234</v>
      </c>
    </row>
    <row r="104" spans="10:64">
      <c r="AD104" s="295"/>
      <c r="AE104" s="295"/>
      <c r="AF104" s="295"/>
      <c r="AG104" s="295"/>
      <c r="BK104" s="50" t="s">
        <v>904</v>
      </c>
      <c r="BL104" s="52" t="s">
        <v>905</v>
      </c>
    </row>
    <row r="105" spans="10:64">
      <c r="AD105" s="295"/>
      <c r="AE105" s="295"/>
      <c r="AF105" s="295"/>
      <c r="AG105" s="295"/>
      <c r="BK105" s="120"/>
      <c r="BL105" s="120"/>
    </row>
    <row r="106" spans="10:64">
      <c r="AD106" s="295"/>
      <c r="AE106" s="295"/>
      <c r="AF106" s="295"/>
      <c r="AG106" s="295"/>
      <c r="AP106" s="307"/>
      <c r="AQ106" s="228"/>
      <c r="AR106" s="228"/>
      <c r="AS106" s="228"/>
      <c r="AT106" s="307"/>
      <c r="AU106" s="228"/>
      <c r="AV106" s="228"/>
      <c r="AW106" s="228"/>
      <c r="AX106" s="228"/>
      <c r="AY106" s="228"/>
      <c r="AZ106" s="228"/>
      <c r="BA106" s="228"/>
      <c r="BB106" s="228"/>
      <c r="BC106" s="228"/>
      <c r="BD106" s="228"/>
      <c r="BE106" s="228"/>
      <c r="BF106" s="228"/>
      <c r="BG106" s="228"/>
      <c r="BH106" s="228"/>
      <c r="BI106" s="228"/>
      <c r="BK106" s="101"/>
      <c r="BL106" s="51"/>
    </row>
    <row r="107" spans="10:64">
      <c r="AD107" s="295"/>
      <c r="AE107" s="295"/>
      <c r="AF107" s="295"/>
      <c r="AG107" s="295"/>
      <c r="BK107" s="51"/>
      <c r="BL107" s="51"/>
    </row>
    <row r="108" spans="10:64">
      <c r="AD108" s="295"/>
      <c r="AE108" s="295"/>
      <c r="AF108" s="295"/>
      <c r="AG108" s="295"/>
      <c r="BK108" s="120"/>
      <c r="BL108" s="120"/>
    </row>
    <row r="109" spans="10:64">
      <c r="AD109" s="295"/>
      <c r="AE109" s="295"/>
      <c r="AF109" s="295"/>
      <c r="AG109" s="295"/>
      <c r="BK109" s="120"/>
      <c r="BL109" s="120"/>
    </row>
    <row r="110" spans="10:64">
      <c r="AD110" s="295"/>
      <c r="AE110" s="295"/>
      <c r="AF110" s="295"/>
      <c r="AG110" s="295"/>
      <c r="BK110" s="101"/>
      <c r="BL110" s="51"/>
    </row>
    <row r="111" spans="10:64">
      <c r="J111" s="36"/>
      <c r="K111" s="36"/>
      <c r="L111" s="36"/>
      <c r="M111" s="36"/>
      <c r="N111" s="36"/>
      <c r="O111" s="36"/>
      <c r="P111" s="36"/>
      <c r="Q111" s="36"/>
      <c r="AH111" s="36"/>
      <c r="AI111" s="36"/>
      <c r="AJ111" s="36"/>
      <c r="AK111" s="36"/>
      <c r="AL111" s="36"/>
      <c r="AM111" s="36"/>
      <c r="BK111" s="51"/>
      <c r="BL111" s="51"/>
    </row>
    <row r="112" spans="10:64">
      <c r="J112" s="36"/>
      <c r="K112" s="36"/>
      <c r="L112" s="36"/>
      <c r="M112" s="36"/>
      <c r="N112" s="36"/>
      <c r="O112" s="36"/>
      <c r="P112" s="36"/>
      <c r="Q112" s="36"/>
      <c r="AH112" s="36"/>
      <c r="AI112" s="36"/>
      <c r="AJ112" s="36"/>
      <c r="AK112" s="36"/>
      <c r="AL112" s="36"/>
      <c r="AM112" s="36"/>
    </row>
    <row r="113" spans="10:39">
      <c r="J113" s="36"/>
      <c r="K113" s="36"/>
      <c r="L113" s="36"/>
      <c r="M113" s="36"/>
      <c r="N113" s="36"/>
      <c r="O113" s="36"/>
      <c r="P113" s="36"/>
      <c r="Q113" s="36"/>
      <c r="AH113" s="36"/>
      <c r="AI113" s="36"/>
      <c r="AJ113" s="36"/>
      <c r="AK113" s="36"/>
      <c r="AL113" s="36"/>
      <c r="AM113" s="36"/>
    </row>
    <row r="114" spans="10:39">
      <c r="J114" s="36"/>
      <c r="K114" s="36"/>
      <c r="L114" s="36"/>
      <c r="M114" s="36"/>
      <c r="N114" s="36"/>
      <c r="O114" s="36"/>
      <c r="P114" s="36"/>
      <c r="Q114" s="36"/>
      <c r="AH114" s="36"/>
      <c r="AI114" s="36"/>
      <c r="AJ114" s="36"/>
      <c r="AK114" s="36"/>
      <c r="AL114" s="36"/>
      <c r="AM114" s="36"/>
    </row>
    <row r="115" spans="10:39">
      <c r="J115" s="36"/>
      <c r="K115" s="36"/>
      <c r="L115" s="36"/>
      <c r="M115" s="36"/>
      <c r="N115" s="36"/>
      <c r="O115" s="36"/>
      <c r="P115" s="36"/>
      <c r="Q115" s="36"/>
      <c r="AH115" s="36"/>
      <c r="AI115" s="36"/>
      <c r="AJ115" s="36"/>
      <c r="AK115" s="36"/>
      <c r="AL115" s="36"/>
      <c r="AM115" s="36"/>
    </row>
    <row r="116" spans="10:39">
      <c r="J116" s="36"/>
      <c r="K116" s="36"/>
      <c r="L116" s="36"/>
      <c r="M116" s="36"/>
      <c r="N116" s="36"/>
      <c r="O116" s="36"/>
      <c r="P116" s="36"/>
      <c r="Q116" s="36"/>
      <c r="AH116" s="36"/>
      <c r="AI116" s="36"/>
      <c r="AJ116" s="36"/>
      <c r="AK116" s="36"/>
      <c r="AL116" s="36"/>
      <c r="AM116" s="36"/>
    </row>
    <row r="117" spans="10:39">
      <c r="J117" s="36"/>
      <c r="K117" s="36"/>
      <c r="L117" s="36"/>
      <c r="M117" s="36"/>
      <c r="N117" s="36"/>
      <c r="O117" s="36"/>
      <c r="P117" s="36"/>
      <c r="Q117" s="36"/>
      <c r="AH117" s="36"/>
      <c r="AI117" s="36"/>
      <c r="AJ117" s="36"/>
      <c r="AK117" s="36"/>
      <c r="AL117" s="36"/>
      <c r="AM117" s="36"/>
    </row>
    <row r="118" spans="10:39">
      <c r="J118" s="36"/>
      <c r="K118" s="36"/>
      <c r="L118" s="36"/>
      <c r="M118" s="36"/>
      <c r="N118" s="36"/>
      <c r="O118" s="36"/>
      <c r="P118" s="36"/>
      <c r="Q118" s="36"/>
      <c r="AH118" s="36"/>
      <c r="AI118" s="36"/>
      <c r="AJ118" s="36"/>
      <c r="AK118" s="36"/>
      <c r="AL118" s="36"/>
      <c r="AM118" s="36"/>
    </row>
    <row r="119" spans="10:39">
      <c r="J119" s="36"/>
      <c r="K119" s="36"/>
      <c r="L119" s="36"/>
      <c r="M119" s="36"/>
      <c r="N119" s="36"/>
      <c r="O119" s="36"/>
      <c r="P119" s="36"/>
      <c r="Q119" s="36"/>
      <c r="AH119" s="36"/>
      <c r="AI119" s="36"/>
      <c r="AJ119" s="36"/>
      <c r="AK119" s="36"/>
      <c r="AL119" s="36"/>
      <c r="AM119" s="36"/>
    </row>
    <row r="120" spans="10:39">
      <c r="J120" s="36"/>
      <c r="K120" s="36"/>
      <c r="L120" s="36"/>
      <c r="M120" s="36"/>
      <c r="N120" s="36"/>
      <c r="O120" s="36"/>
      <c r="P120" s="36"/>
      <c r="Q120" s="36"/>
      <c r="AH120" s="36"/>
      <c r="AI120" s="36"/>
      <c r="AJ120" s="36"/>
      <c r="AK120" s="36"/>
      <c r="AL120" s="36"/>
      <c r="AM120" s="36"/>
    </row>
    <row r="121" spans="10:39">
      <c r="J121" s="36"/>
      <c r="K121" s="36"/>
      <c r="L121" s="36"/>
      <c r="M121" s="36"/>
      <c r="N121" s="36"/>
      <c r="O121" s="36"/>
      <c r="P121" s="36"/>
      <c r="Q121" s="36"/>
      <c r="AH121" s="36"/>
      <c r="AI121" s="36"/>
      <c r="AJ121" s="36"/>
      <c r="AK121" s="36"/>
      <c r="AL121" s="36"/>
      <c r="AM121" s="36"/>
    </row>
    <row r="122" spans="10:39">
      <c r="J122" s="36"/>
      <c r="K122" s="36"/>
      <c r="L122" s="36"/>
      <c r="M122" s="36"/>
      <c r="N122" s="36"/>
      <c r="O122" s="36"/>
      <c r="P122" s="36"/>
      <c r="Q122" s="36"/>
      <c r="AH122" s="36"/>
      <c r="AI122" s="36"/>
      <c r="AJ122" s="36"/>
      <c r="AK122" s="36"/>
      <c r="AL122" s="36"/>
      <c r="AM122" s="36"/>
    </row>
    <row r="123" spans="10:39">
      <c r="J123" s="36"/>
      <c r="K123" s="36"/>
      <c r="L123" s="36"/>
      <c r="M123" s="36"/>
      <c r="N123" s="36"/>
      <c r="O123" s="36"/>
      <c r="P123" s="36"/>
      <c r="Q123" s="36"/>
      <c r="AH123" s="36"/>
      <c r="AI123" s="36"/>
      <c r="AJ123" s="36"/>
      <c r="AK123" s="36"/>
      <c r="AL123" s="36"/>
      <c r="AM123" s="36"/>
    </row>
    <row r="124" spans="10:39">
      <c r="J124" s="36"/>
      <c r="K124" s="36"/>
      <c r="L124" s="36"/>
      <c r="M124" s="36"/>
      <c r="N124" s="36"/>
      <c r="O124" s="36"/>
      <c r="P124" s="36"/>
      <c r="Q124" s="36"/>
      <c r="AH124" s="36"/>
      <c r="AI124" s="36"/>
      <c r="AJ124" s="36"/>
      <c r="AK124" s="36"/>
      <c r="AL124" s="36"/>
      <c r="AM124" s="36"/>
    </row>
    <row r="125" spans="10:39">
      <c r="J125" s="36"/>
      <c r="K125" s="36"/>
      <c r="L125" s="36"/>
      <c r="M125" s="36"/>
      <c r="N125" s="36"/>
      <c r="O125" s="36"/>
      <c r="P125" s="36"/>
      <c r="Q125" s="36"/>
      <c r="AH125" s="36"/>
      <c r="AI125" s="36"/>
      <c r="AJ125" s="36"/>
      <c r="AK125" s="36"/>
      <c r="AL125" s="36"/>
      <c r="AM125" s="36"/>
    </row>
    <row r="126" spans="10:39">
      <c r="J126" s="36"/>
      <c r="K126" s="36"/>
      <c r="L126" s="36"/>
      <c r="M126" s="36"/>
      <c r="N126" s="36"/>
      <c r="O126" s="36"/>
      <c r="P126" s="36"/>
      <c r="Q126" s="36"/>
      <c r="AH126" s="36"/>
      <c r="AI126" s="36"/>
      <c r="AJ126" s="36"/>
      <c r="AK126" s="36"/>
      <c r="AL126" s="36"/>
      <c r="AM126" s="36"/>
    </row>
    <row r="127" spans="10:39">
      <c r="J127" s="36"/>
      <c r="K127" s="36"/>
      <c r="L127" s="36"/>
      <c r="M127" s="36"/>
      <c r="N127" s="36"/>
      <c r="O127" s="36"/>
      <c r="P127" s="36"/>
      <c r="Q127" s="36"/>
      <c r="AH127" s="36"/>
      <c r="AI127" s="36"/>
      <c r="AJ127" s="36"/>
      <c r="AK127" s="36"/>
      <c r="AL127" s="36"/>
      <c r="AM127" s="36"/>
    </row>
    <row r="128" spans="10:39">
      <c r="J128" s="36"/>
      <c r="K128" s="36"/>
      <c r="L128" s="36"/>
      <c r="M128" s="36"/>
      <c r="N128" s="36"/>
      <c r="O128" s="36"/>
      <c r="P128" s="36"/>
      <c r="Q128" s="36"/>
      <c r="AH128" s="36"/>
      <c r="AI128" s="36"/>
      <c r="AJ128" s="36"/>
      <c r="AK128" s="36"/>
      <c r="AL128" s="36"/>
      <c r="AM128" s="36"/>
    </row>
    <row r="129" spans="10:39">
      <c r="J129" s="36"/>
      <c r="K129" s="36"/>
      <c r="L129" s="36"/>
      <c r="M129" s="36"/>
      <c r="N129" s="36"/>
      <c r="O129" s="36"/>
      <c r="P129" s="36"/>
      <c r="Q129" s="36"/>
      <c r="AH129" s="36"/>
      <c r="AI129" s="36"/>
      <c r="AJ129" s="36"/>
      <c r="AK129" s="36"/>
      <c r="AL129" s="36"/>
      <c r="AM129" s="36"/>
    </row>
    <row r="130" spans="10:39">
      <c r="J130" s="36"/>
      <c r="K130" s="36"/>
      <c r="L130" s="36"/>
      <c r="M130" s="36"/>
      <c r="N130" s="36"/>
      <c r="O130" s="36"/>
      <c r="P130" s="36"/>
      <c r="Q130" s="36"/>
      <c r="AH130" s="36"/>
      <c r="AI130" s="36"/>
      <c r="AJ130" s="36"/>
      <c r="AK130" s="36"/>
      <c r="AL130" s="36"/>
      <c r="AM130" s="36"/>
    </row>
    <row r="131" spans="10:39">
      <c r="J131" s="36"/>
      <c r="K131" s="36"/>
      <c r="L131" s="36"/>
      <c r="M131" s="36"/>
      <c r="N131" s="36"/>
      <c r="O131" s="36"/>
      <c r="P131" s="36"/>
      <c r="Q131" s="36"/>
      <c r="AH131" s="36"/>
      <c r="AI131" s="36"/>
      <c r="AJ131" s="36"/>
      <c r="AK131" s="36"/>
      <c r="AL131" s="36"/>
      <c r="AM131" s="36"/>
    </row>
    <row r="132" spans="10:39">
      <c r="J132" s="36"/>
      <c r="K132" s="36"/>
      <c r="L132" s="36"/>
      <c r="M132" s="36"/>
      <c r="N132" s="36"/>
      <c r="O132" s="36"/>
      <c r="P132" s="36"/>
      <c r="Q132" s="36"/>
      <c r="AH132" s="36"/>
      <c r="AI132" s="36"/>
      <c r="AJ132" s="36"/>
      <c r="AK132" s="36"/>
      <c r="AL132" s="36"/>
      <c r="AM132" s="36"/>
    </row>
    <row r="133" spans="10:39">
      <c r="J133" s="36"/>
      <c r="K133" s="36"/>
      <c r="L133" s="36"/>
      <c r="M133" s="36"/>
      <c r="N133" s="36"/>
      <c r="O133" s="36"/>
      <c r="P133" s="36"/>
      <c r="Q133" s="36"/>
      <c r="AH133" s="36"/>
      <c r="AI133" s="36"/>
      <c r="AJ133" s="36"/>
      <c r="AK133" s="36"/>
      <c r="AL133" s="36"/>
      <c r="AM133" s="36"/>
    </row>
    <row r="134" spans="10:39">
      <c r="J134" s="36"/>
      <c r="K134" s="36"/>
      <c r="L134" s="36"/>
      <c r="M134" s="36"/>
      <c r="N134" s="36"/>
      <c r="O134" s="36"/>
      <c r="P134" s="36"/>
      <c r="Q134" s="36"/>
      <c r="AH134" s="36"/>
      <c r="AI134" s="36"/>
      <c r="AJ134" s="36"/>
      <c r="AK134" s="36"/>
      <c r="AL134" s="36"/>
      <c r="AM134" s="36"/>
    </row>
    <row r="135" spans="10:39">
      <c r="J135" s="36"/>
      <c r="K135" s="36"/>
      <c r="L135" s="36"/>
      <c r="M135" s="36"/>
      <c r="N135" s="36"/>
      <c r="O135" s="36"/>
      <c r="P135" s="36"/>
      <c r="Q135" s="36"/>
      <c r="AH135" s="36"/>
      <c r="AI135" s="36"/>
      <c r="AJ135" s="36"/>
      <c r="AK135" s="36"/>
      <c r="AL135" s="36"/>
      <c r="AM135" s="36"/>
    </row>
    <row r="136" spans="10:39">
      <c r="J136" s="36"/>
      <c r="K136" s="36"/>
      <c r="L136" s="36"/>
      <c r="M136" s="36"/>
      <c r="N136" s="36"/>
      <c r="O136" s="36"/>
      <c r="P136" s="36"/>
      <c r="Q136" s="36"/>
      <c r="AH136" s="36"/>
      <c r="AI136" s="36"/>
      <c r="AJ136" s="36"/>
      <c r="AK136" s="36"/>
      <c r="AL136" s="36"/>
      <c r="AM136" s="36"/>
    </row>
    <row r="137" spans="10:39">
      <c r="J137" s="36"/>
      <c r="K137" s="36"/>
      <c r="L137" s="36"/>
      <c r="M137" s="36"/>
      <c r="N137" s="36"/>
      <c r="O137" s="36"/>
      <c r="P137" s="36"/>
      <c r="Q137" s="36"/>
      <c r="AH137" s="36"/>
      <c r="AI137" s="36"/>
      <c r="AJ137" s="36"/>
      <c r="AK137" s="36"/>
      <c r="AL137" s="36"/>
      <c r="AM137" s="36"/>
    </row>
    <row r="138" spans="10:39">
      <c r="J138" s="36"/>
      <c r="K138" s="36"/>
      <c r="L138" s="36"/>
      <c r="M138" s="36"/>
      <c r="N138" s="36"/>
      <c r="O138" s="36"/>
      <c r="P138" s="36"/>
      <c r="Q138" s="36"/>
    </row>
  </sheetData>
  <mergeCells count="259">
    <mergeCell ref="A43:B43"/>
    <mergeCell ref="U43:V43"/>
    <mergeCell ref="W43:X43"/>
    <mergeCell ref="U45:V45"/>
    <mergeCell ref="W45:X45"/>
    <mergeCell ref="A70:B70"/>
    <mergeCell ref="U70:V70"/>
    <mergeCell ref="W70:X70"/>
    <mergeCell ref="A71:B71"/>
    <mergeCell ref="U71:V71"/>
    <mergeCell ref="W71:X71"/>
    <mergeCell ref="A67:B67"/>
    <mergeCell ref="U67:V67"/>
    <mergeCell ref="W67:X67"/>
    <mergeCell ref="A68:B68"/>
    <mergeCell ref="U68:V68"/>
    <mergeCell ref="W68:X68"/>
    <mergeCell ref="A69:B69"/>
    <mergeCell ref="U69:V69"/>
    <mergeCell ref="W69:X69"/>
    <mergeCell ref="A61:B61"/>
    <mergeCell ref="U61:V61"/>
    <mergeCell ref="W61:X61"/>
    <mergeCell ref="A62:B62"/>
    <mergeCell ref="U62:V62"/>
    <mergeCell ref="W62:X62"/>
    <mergeCell ref="A63:B63"/>
    <mergeCell ref="U63:V63"/>
    <mergeCell ref="W63:X63"/>
    <mergeCell ref="A8:B8"/>
    <mergeCell ref="U8:V8"/>
    <mergeCell ref="W8:X8"/>
    <mergeCell ref="A6:B7"/>
    <mergeCell ref="C6:K7"/>
    <mergeCell ref="L6:T7"/>
    <mergeCell ref="U6:V7"/>
    <mergeCell ref="W6:X7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Y6:AC7"/>
    <mergeCell ref="AD6:AE7"/>
    <mergeCell ref="AF6:AG7"/>
    <mergeCell ref="AH6:BA7"/>
    <mergeCell ref="G1:T1"/>
    <mergeCell ref="U1:AO2"/>
    <mergeCell ref="AS1:AX1"/>
    <mergeCell ref="BB1:BG1"/>
    <mergeCell ref="G2:T2"/>
    <mergeCell ref="AS2:AX2"/>
    <mergeCell ref="BB2:BG2"/>
    <mergeCell ref="BB6:BG7"/>
    <mergeCell ref="W10:X10"/>
    <mergeCell ref="A15:B15"/>
    <mergeCell ref="U15:V15"/>
    <mergeCell ref="W15:X15"/>
    <mergeCell ref="A16:B16"/>
    <mergeCell ref="U16:V16"/>
    <mergeCell ref="W16:X16"/>
    <mergeCell ref="A13:B13"/>
    <mergeCell ref="U13:V13"/>
    <mergeCell ref="W13:X13"/>
    <mergeCell ref="A14:B14"/>
    <mergeCell ref="U14:V14"/>
    <mergeCell ref="W14:X14"/>
    <mergeCell ref="A19:B19"/>
    <mergeCell ref="U19:V19"/>
    <mergeCell ref="W19:X19"/>
    <mergeCell ref="A20:B20"/>
    <mergeCell ref="U20:V20"/>
    <mergeCell ref="W20:X20"/>
    <mergeCell ref="A17:B17"/>
    <mergeCell ref="U17:V17"/>
    <mergeCell ref="W17:X17"/>
    <mergeCell ref="A18:B18"/>
    <mergeCell ref="U18:V18"/>
    <mergeCell ref="W18:X18"/>
    <mergeCell ref="A23:B23"/>
    <mergeCell ref="U23:V23"/>
    <mergeCell ref="W23:X23"/>
    <mergeCell ref="A24:B24"/>
    <mergeCell ref="U24:V24"/>
    <mergeCell ref="W24:X24"/>
    <mergeCell ref="A21:B21"/>
    <mergeCell ref="U21:V21"/>
    <mergeCell ref="W21:X21"/>
    <mergeCell ref="A22:B22"/>
    <mergeCell ref="U22:V22"/>
    <mergeCell ref="W22:X22"/>
    <mergeCell ref="A27:B27"/>
    <mergeCell ref="U27:V27"/>
    <mergeCell ref="W27:X27"/>
    <mergeCell ref="A28:B28"/>
    <mergeCell ref="U28:V28"/>
    <mergeCell ref="W28:X28"/>
    <mergeCell ref="A25:B25"/>
    <mergeCell ref="U25:V25"/>
    <mergeCell ref="W25:X25"/>
    <mergeCell ref="A26:B26"/>
    <mergeCell ref="U26:V26"/>
    <mergeCell ref="W26:X26"/>
    <mergeCell ref="A31:B31"/>
    <mergeCell ref="U31:V31"/>
    <mergeCell ref="W31:X31"/>
    <mergeCell ref="A32:B32"/>
    <mergeCell ref="U32:V32"/>
    <mergeCell ref="W32:X32"/>
    <mergeCell ref="A29:B29"/>
    <mergeCell ref="U29:V29"/>
    <mergeCell ref="W29:X29"/>
    <mergeCell ref="A30:B30"/>
    <mergeCell ref="U30:V30"/>
    <mergeCell ref="W30:X30"/>
    <mergeCell ref="A35:B35"/>
    <mergeCell ref="U35:V35"/>
    <mergeCell ref="W35:X35"/>
    <mergeCell ref="A36:B36"/>
    <mergeCell ref="U36:V36"/>
    <mergeCell ref="W36:X36"/>
    <mergeCell ref="A33:B33"/>
    <mergeCell ref="U33:V33"/>
    <mergeCell ref="W33:X33"/>
    <mergeCell ref="A34:B34"/>
    <mergeCell ref="U34:V34"/>
    <mergeCell ref="W34:X34"/>
    <mergeCell ref="A54:B54"/>
    <mergeCell ref="U54:V54"/>
    <mergeCell ref="A39:B39"/>
    <mergeCell ref="U39:V39"/>
    <mergeCell ref="W39:X39"/>
    <mergeCell ref="A40:B40"/>
    <mergeCell ref="U40:V40"/>
    <mergeCell ref="W40:X40"/>
    <mergeCell ref="A37:B37"/>
    <mergeCell ref="U37:V37"/>
    <mergeCell ref="W37:X37"/>
    <mergeCell ref="A38:B38"/>
    <mergeCell ref="U38:V38"/>
    <mergeCell ref="W38:X38"/>
    <mergeCell ref="A44:B44"/>
    <mergeCell ref="A45:B45"/>
    <mergeCell ref="U44:V44"/>
    <mergeCell ref="W44:X44"/>
    <mergeCell ref="A41:B41"/>
    <mergeCell ref="U41:V41"/>
    <mergeCell ref="W41:X41"/>
    <mergeCell ref="A42:B42"/>
    <mergeCell ref="U42:V42"/>
    <mergeCell ref="W42:X42"/>
    <mergeCell ref="U46:V46"/>
    <mergeCell ref="W46:X46"/>
    <mergeCell ref="A51:B51"/>
    <mergeCell ref="U51:V51"/>
    <mergeCell ref="W51:X51"/>
    <mergeCell ref="A52:B52"/>
    <mergeCell ref="U52:V52"/>
    <mergeCell ref="W52:X52"/>
    <mergeCell ref="U49:V49"/>
    <mergeCell ref="W49:X49"/>
    <mergeCell ref="U50:V50"/>
    <mergeCell ref="W50:X50"/>
    <mergeCell ref="A50:B50"/>
    <mergeCell ref="A47:B47"/>
    <mergeCell ref="A48:B48"/>
    <mergeCell ref="A49:B49"/>
    <mergeCell ref="U47:V47"/>
    <mergeCell ref="W47:X47"/>
    <mergeCell ref="U48:V48"/>
    <mergeCell ref="W48:X48"/>
    <mergeCell ref="A46:B46"/>
    <mergeCell ref="A53:B53"/>
    <mergeCell ref="U53:V53"/>
    <mergeCell ref="W53:X53"/>
    <mergeCell ref="A72:B72"/>
    <mergeCell ref="U72:V72"/>
    <mergeCell ref="W72:X72"/>
    <mergeCell ref="A55:B55"/>
    <mergeCell ref="U55:V55"/>
    <mergeCell ref="W55:X55"/>
    <mergeCell ref="A56:B56"/>
    <mergeCell ref="U56:V56"/>
    <mergeCell ref="W56:X56"/>
    <mergeCell ref="A57:B57"/>
    <mergeCell ref="U57:V57"/>
    <mergeCell ref="W57:X57"/>
    <mergeCell ref="A58:B58"/>
    <mergeCell ref="U58:V58"/>
    <mergeCell ref="W58:X58"/>
    <mergeCell ref="A59:B59"/>
    <mergeCell ref="U59:V59"/>
    <mergeCell ref="W59:X59"/>
    <mergeCell ref="A60:B60"/>
    <mergeCell ref="U60:V60"/>
    <mergeCell ref="W60:X60"/>
    <mergeCell ref="A74:B74"/>
    <mergeCell ref="U74:V74"/>
    <mergeCell ref="W74:X74"/>
    <mergeCell ref="A75:B75"/>
    <mergeCell ref="U75:V75"/>
    <mergeCell ref="W75:X75"/>
    <mergeCell ref="U78:V78"/>
    <mergeCell ref="W78:X78"/>
    <mergeCell ref="AD78:AE78"/>
    <mergeCell ref="AD64:AE64"/>
    <mergeCell ref="AF64:AG64"/>
    <mergeCell ref="AD65:AE65"/>
    <mergeCell ref="AF65:AG65"/>
    <mergeCell ref="AD66:AE66"/>
    <mergeCell ref="AF78:AG78"/>
    <mergeCell ref="A76:B76"/>
    <mergeCell ref="U76:V76"/>
    <mergeCell ref="W76:X76"/>
    <mergeCell ref="A77:B77"/>
    <mergeCell ref="U77:V77"/>
    <mergeCell ref="W77:X77"/>
    <mergeCell ref="A73:B73"/>
    <mergeCell ref="U73:V73"/>
    <mergeCell ref="W73:X73"/>
    <mergeCell ref="A64:B64"/>
    <mergeCell ref="U64:V64"/>
    <mergeCell ref="W64:X64"/>
    <mergeCell ref="A65:B65"/>
    <mergeCell ref="U65:V65"/>
    <mergeCell ref="W65:X65"/>
    <mergeCell ref="A66:B66"/>
    <mergeCell ref="U66:V66"/>
    <mergeCell ref="W66:X66"/>
    <mergeCell ref="W54:X54"/>
    <mergeCell ref="AF66:AG66"/>
    <mergeCell ref="AD67:AE67"/>
    <mergeCell ref="AF67:AG67"/>
    <mergeCell ref="AD68:AE68"/>
    <mergeCell ref="AF68:AG68"/>
    <mergeCell ref="AD55:AE55"/>
    <mergeCell ref="AF55:AG55"/>
    <mergeCell ref="AD56:AE56"/>
    <mergeCell ref="AF56:AG56"/>
    <mergeCell ref="AD57:AE57"/>
    <mergeCell ref="AF57:AG57"/>
    <mergeCell ref="AD58:AE58"/>
    <mergeCell ref="AF58:AG58"/>
    <mergeCell ref="AD59:AE59"/>
    <mergeCell ref="AF59:AG59"/>
    <mergeCell ref="AD60:AE60"/>
    <mergeCell ref="AF60:AG60"/>
    <mergeCell ref="AD61:AE61"/>
    <mergeCell ref="AF61:AG61"/>
    <mergeCell ref="AD62:AE62"/>
    <mergeCell ref="AF62:AG62"/>
    <mergeCell ref="AD63:AE63"/>
    <mergeCell ref="AF63:AG6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L139"/>
  <sheetViews>
    <sheetView topLeftCell="A43" zoomScale="85" zoomScaleNormal="85" workbookViewId="0">
      <selection activeCell="M13" sqref="M13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60" customWidth="1"/>
    <col min="31" max="33" width="2.6640625" style="160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68"/>
      <c r="B3" s="168"/>
      <c r="C3" s="55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53"/>
      <c r="AE3" s="153"/>
      <c r="AF3" s="153"/>
      <c r="AG3" s="153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1653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761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1313</v>
      </c>
      <c r="BL5" s="353" t="s">
        <v>706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1368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03" t="s">
        <v>16</v>
      </c>
      <c r="Z8" s="158"/>
      <c r="AA8" s="158"/>
      <c r="AB8" s="158"/>
      <c r="AC8" s="159"/>
      <c r="AD8" s="304">
        <v>100</v>
      </c>
      <c r="AE8" s="157"/>
      <c r="AF8" s="304">
        <v>0</v>
      </c>
      <c r="AG8" s="157"/>
      <c r="AH8" s="7" t="s">
        <v>1369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271" t="s">
        <v>648</v>
      </c>
      <c r="BL8" s="51" t="s">
        <v>675</v>
      </c>
    </row>
    <row r="9" spans="1:64">
      <c r="A9" s="681">
        <v>2</v>
      </c>
      <c r="B9" s="682"/>
      <c r="C9" s="386" t="s">
        <v>1508</v>
      </c>
      <c r="D9" s="387"/>
      <c r="E9" s="387"/>
      <c r="F9" s="387"/>
      <c r="G9" s="387"/>
      <c r="H9" s="387"/>
      <c r="I9" s="387"/>
      <c r="J9" s="387"/>
      <c r="K9" s="388"/>
      <c r="L9" s="473" t="s">
        <v>1507</v>
      </c>
      <c r="M9" s="474"/>
      <c r="N9" s="474"/>
      <c r="O9" s="474"/>
      <c r="P9" s="474"/>
      <c r="Q9" s="474"/>
      <c r="R9" s="474"/>
      <c r="S9" s="474"/>
      <c r="T9" s="474"/>
      <c r="U9" s="683"/>
      <c r="V9" s="682"/>
      <c r="W9" s="684"/>
      <c r="X9" s="685"/>
      <c r="Y9" s="302" t="s">
        <v>16</v>
      </c>
      <c r="Z9" s="155"/>
      <c r="AA9" s="155"/>
      <c r="AB9" s="155"/>
      <c r="AC9" s="156"/>
      <c r="AD9" s="301">
        <v>100</v>
      </c>
      <c r="AE9" s="149"/>
      <c r="AF9" s="301">
        <v>0</v>
      </c>
      <c r="AG9" s="149"/>
      <c r="AH9" s="164" t="s">
        <v>1506</v>
      </c>
      <c r="AI9" s="165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68"/>
      <c r="AY9" s="168"/>
      <c r="AZ9" s="168"/>
      <c r="BA9" s="169"/>
      <c r="BB9" s="168"/>
      <c r="BC9" s="168"/>
      <c r="BD9" s="168"/>
      <c r="BE9" s="168"/>
      <c r="BF9" s="168"/>
      <c r="BG9" s="43"/>
      <c r="BH9" s="36"/>
      <c r="BK9" s="272" t="s">
        <v>98</v>
      </c>
      <c r="BL9" s="52" t="s">
        <v>676</v>
      </c>
    </row>
    <row r="10" spans="1:64">
      <c r="A10" s="681">
        <v>3</v>
      </c>
      <c r="B10" s="682"/>
      <c r="C10" s="59" t="str">
        <f>VLOOKUP(L10,$BK$7:$BL$106,2,FALSE)</f>
        <v>变更类型</v>
      </c>
      <c r="D10" s="165"/>
      <c r="E10" s="165"/>
      <c r="F10" s="165"/>
      <c r="G10" s="165"/>
      <c r="H10" s="165"/>
      <c r="I10" s="165"/>
      <c r="J10" s="165"/>
      <c r="K10" s="166"/>
      <c r="L10" s="475" t="s">
        <v>552</v>
      </c>
      <c r="M10" s="473"/>
      <c r="N10" s="473"/>
      <c r="O10" s="473"/>
      <c r="P10" s="473"/>
      <c r="Q10" s="473"/>
      <c r="R10" s="473"/>
      <c r="S10" s="473"/>
      <c r="T10" s="473"/>
      <c r="U10" s="692"/>
      <c r="V10" s="693"/>
      <c r="W10" s="694"/>
      <c r="X10" s="695"/>
      <c r="Y10" s="302" t="s">
        <v>16</v>
      </c>
      <c r="Z10" s="155"/>
      <c r="AA10" s="155"/>
      <c r="AB10" s="155"/>
      <c r="AC10" s="156"/>
      <c r="AD10" s="301">
        <v>16</v>
      </c>
      <c r="AE10" s="149"/>
      <c r="AF10" s="301">
        <v>0</v>
      </c>
      <c r="AG10" s="149"/>
      <c r="AH10" s="164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6"/>
      <c r="BB10" s="168"/>
      <c r="BC10" s="168"/>
      <c r="BD10" s="168"/>
      <c r="BE10" s="168"/>
      <c r="BF10" s="168"/>
      <c r="BG10" s="43"/>
      <c r="BH10" s="36"/>
      <c r="BK10" s="271" t="s">
        <v>650</v>
      </c>
      <c r="BL10" s="51" t="s">
        <v>562</v>
      </c>
    </row>
    <row r="11" spans="1:64">
      <c r="A11" s="681">
        <v>4</v>
      </c>
      <c r="B11" s="682"/>
      <c r="C11" s="59" t="str">
        <f>VLOOKUP(L11,$BK$7:$BL$106,2,FALSE)</f>
        <v>管理单元ID</v>
      </c>
      <c r="D11" s="165"/>
      <c r="E11" s="165"/>
      <c r="F11" s="165"/>
      <c r="G11" s="165"/>
      <c r="H11" s="165"/>
      <c r="I11" s="165"/>
      <c r="J11" s="165"/>
      <c r="K11" s="166"/>
      <c r="L11" s="1" t="s">
        <v>635</v>
      </c>
      <c r="M11" s="165"/>
      <c r="N11" s="165"/>
      <c r="O11" s="165"/>
      <c r="P11" s="165"/>
      <c r="Q11" s="165"/>
      <c r="R11" s="165"/>
      <c r="S11" s="165"/>
      <c r="T11" s="165"/>
      <c r="U11" s="692"/>
      <c r="V11" s="693"/>
      <c r="W11" s="694"/>
      <c r="X11" s="695"/>
      <c r="Y11" s="302" t="s">
        <v>16</v>
      </c>
      <c r="Z11" s="155"/>
      <c r="AA11" s="155"/>
      <c r="AB11" s="155"/>
      <c r="AC11" s="156"/>
      <c r="AD11" s="301">
        <v>100</v>
      </c>
      <c r="AE11" s="149"/>
      <c r="AF11" s="301">
        <v>0</v>
      </c>
      <c r="AG11" s="149"/>
      <c r="AH11" s="164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9"/>
      <c r="BB11" s="48"/>
      <c r="BC11" s="48"/>
      <c r="BD11" s="48"/>
      <c r="BE11" s="48"/>
      <c r="BF11" s="48"/>
      <c r="BG11" s="49"/>
      <c r="BK11" s="272" t="s">
        <v>99</v>
      </c>
      <c r="BL11" s="51" t="s">
        <v>249</v>
      </c>
    </row>
    <row r="12" spans="1:64">
      <c r="A12" s="681">
        <v>5</v>
      </c>
      <c r="B12" s="682"/>
      <c r="C12" s="386" t="s">
        <v>1520</v>
      </c>
      <c r="D12" s="390"/>
      <c r="E12" s="390"/>
      <c r="F12" s="390"/>
      <c r="G12" s="390"/>
      <c r="H12" s="390"/>
      <c r="I12" s="390"/>
      <c r="J12" s="390"/>
      <c r="K12" s="391"/>
      <c r="L12" s="475" t="s">
        <v>1371</v>
      </c>
      <c r="M12" s="473"/>
      <c r="N12" s="473"/>
      <c r="O12" s="473"/>
      <c r="P12" s="473"/>
      <c r="Q12" s="473"/>
      <c r="R12" s="473"/>
      <c r="S12" s="473"/>
      <c r="T12" s="473"/>
      <c r="U12" s="692"/>
      <c r="V12" s="693"/>
      <c r="W12" s="694"/>
      <c r="X12" s="695"/>
      <c r="Y12" s="302" t="s">
        <v>16</v>
      </c>
      <c r="Z12" s="155"/>
      <c r="AA12" s="155"/>
      <c r="AB12" s="155"/>
      <c r="AC12" s="156"/>
      <c r="AD12" s="301">
        <v>100</v>
      </c>
      <c r="AE12" s="149"/>
      <c r="AF12" s="301">
        <v>0</v>
      </c>
      <c r="AG12" s="149"/>
      <c r="AH12" s="164" t="s">
        <v>908</v>
      </c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9"/>
      <c r="BB12" s="168"/>
      <c r="BC12" s="168"/>
      <c r="BD12" s="168"/>
      <c r="BE12" s="168"/>
      <c r="BF12" s="168"/>
      <c r="BG12" s="43"/>
      <c r="BK12" s="272" t="s">
        <v>104</v>
      </c>
      <c r="BL12" s="51" t="s">
        <v>250</v>
      </c>
    </row>
    <row r="13" spans="1:64">
      <c r="A13" s="681">
        <v>6</v>
      </c>
      <c r="B13" s="682"/>
      <c r="C13" s="59" t="str">
        <f t="shared" ref="C13:C27" si="0">VLOOKUP(L13,$BK$7:$BL$106,2,FALSE)</f>
        <v>原合同数量</v>
      </c>
      <c r="D13" s="165"/>
      <c r="E13" s="165"/>
      <c r="F13" s="165"/>
      <c r="G13" s="165"/>
      <c r="H13" s="165"/>
      <c r="I13" s="165"/>
      <c r="J13" s="165"/>
      <c r="K13" s="166"/>
      <c r="L13" s="475" t="s">
        <v>1695</v>
      </c>
      <c r="M13" s="473"/>
      <c r="N13" s="473"/>
      <c r="O13" s="473"/>
      <c r="P13" s="473"/>
      <c r="Q13" s="473"/>
      <c r="R13" s="473"/>
      <c r="S13" s="473"/>
      <c r="T13" s="473"/>
      <c r="U13" s="692"/>
      <c r="V13" s="693"/>
      <c r="W13" s="694"/>
      <c r="X13" s="695"/>
      <c r="Y13" s="302" t="s">
        <v>1311</v>
      </c>
      <c r="Z13" s="155"/>
      <c r="AA13" s="155"/>
      <c r="AB13" s="155"/>
      <c r="AC13" s="156"/>
      <c r="AD13" s="301">
        <v>19</v>
      </c>
      <c r="AE13" s="149"/>
      <c r="AF13" s="301">
        <v>6</v>
      </c>
      <c r="AG13" s="149"/>
      <c r="AH13" s="355" t="s">
        <v>198</v>
      </c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9"/>
      <c r="BB13" s="168"/>
      <c r="BC13" s="168"/>
      <c r="BD13" s="168"/>
      <c r="BE13" s="168"/>
      <c r="BF13" s="168"/>
      <c r="BG13" s="43"/>
      <c r="BK13" s="272" t="s">
        <v>649</v>
      </c>
      <c r="BL13" s="51" t="s">
        <v>561</v>
      </c>
    </row>
    <row r="14" spans="1:64">
      <c r="A14" s="681">
        <v>7</v>
      </c>
      <c r="B14" s="682"/>
      <c r="C14" s="59" t="str">
        <f t="shared" si="0"/>
        <v>原含税合同单价</v>
      </c>
      <c r="D14" s="165"/>
      <c r="E14" s="165"/>
      <c r="F14" s="165"/>
      <c r="G14" s="165"/>
      <c r="H14" s="165"/>
      <c r="I14" s="165"/>
      <c r="J14" s="165"/>
      <c r="K14" s="166"/>
      <c r="L14" s="475" t="s">
        <v>1696</v>
      </c>
      <c r="M14" s="473"/>
      <c r="N14" s="473"/>
      <c r="O14" s="473"/>
      <c r="P14" s="473"/>
      <c r="Q14" s="473"/>
      <c r="R14" s="473"/>
      <c r="S14" s="473"/>
      <c r="T14" s="473"/>
      <c r="U14" s="692"/>
      <c r="V14" s="693"/>
      <c r="W14" s="694"/>
      <c r="X14" s="695"/>
      <c r="Y14" s="302" t="s">
        <v>1309</v>
      </c>
      <c r="Z14" s="155"/>
      <c r="AA14" s="155"/>
      <c r="AB14" s="155"/>
      <c r="AC14" s="156"/>
      <c r="AD14" s="301">
        <v>19</v>
      </c>
      <c r="AE14" s="149"/>
      <c r="AF14" s="301">
        <v>6</v>
      </c>
      <c r="AG14" s="149"/>
      <c r="AH14" s="355" t="s">
        <v>198</v>
      </c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9"/>
      <c r="BB14" s="168"/>
      <c r="BC14" s="168"/>
      <c r="BD14" s="168"/>
      <c r="BE14" s="168"/>
      <c r="BF14" s="168"/>
      <c r="BG14" s="43"/>
      <c r="BK14" s="272" t="s">
        <v>552</v>
      </c>
      <c r="BL14" s="51" t="s">
        <v>553</v>
      </c>
    </row>
    <row r="15" spans="1:64">
      <c r="A15" s="681">
        <v>8</v>
      </c>
      <c r="B15" s="682"/>
      <c r="C15" s="59" t="str">
        <f t="shared" si="0"/>
        <v>申报数量</v>
      </c>
      <c r="D15" s="165"/>
      <c r="E15" s="165"/>
      <c r="F15" s="165"/>
      <c r="G15" s="165"/>
      <c r="H15" s="165"/>
      <c r="I15" s="165"/>
      <c r="J15" s="165"/>
      <c r="K15" s="166"/>
      <c r="L15" s="1" t="s">
        <v>638</v>
      </c>
      <c r="M15" s="165"/>
      <c r="N15" s="165"/>
      <c r="O15" s="165"/>
      <c r="P15" s="165"/>
      <c r="Q15" s="165"/>
      <c r="R15" s="165"/>
      <c r="S15" s="165"/>
      <c r="T15" s="165"/>
      <c r="U15" s="692"/>
      <c r="V15" s="693"/>
      <c r="W15" s="694"/>
      <c r="X15" s="695"/>
      <c r="Y15" s="302" t="s">
        <v>1309</v>
      </c>
      <c r="Z15" s="155"/>
      <c r="AA15" s="155"/>
      <c r="AB15" s="155"/>
      <c r="AC15" s="156"/>
      <c r="AD15" s="301">
        <v>19</v>
      </c>
      <c r="AE15" s="149"/>
      <c r="AF15" s="301">
        <v>6</v>
      </c>
      <c r="AG15" s="149"/>
      <c r="AH15" s="355" t="s">
        <v>198</v>
      </c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  <c r="AV15" s="168"/>
      <c r="AW15" s="168"/>
      <c r="AX15" s="168"/>
      <c r="AY15" s="168"/>
      <c r="AZ15" s="168"/>
      <c r="BA15" s="169"/>
      <c r="BB15" s="168"/>
      <c r="BC15" s="168"/>
      <c r="BD15" s="168"/>
      <c r="BE15" s="168"/>
      <c r="BF15" s="168"/>
      <c r="BG15" s="43"/>
      <c r="BK15" s="272" t="s">
        <v>316</v>
      </c>
      <c r="BL15" s="51" t="s">
        <v>549</v>
      </c>
    </row>
    <row r="16" spans="1:64">
      <c r="A16" s="681">
        <v>9</v>
      </c>
      <c r="B16" s="682"/>
      <c r="C16" s="59" t="str">
        <f t="shared" si="0"/>
        <v>申报单价</v>
      </c>
      <c r="D16" s="165"/>
      <c r="E16" s="165"/>
      <c r="F16" s="165"/>
      <c r="G16" s="165"/>
      <c r="H16" s="165"/>
      <c r="I16" s="165"/>
      <c r="J16" s="165"/>
      <c r="K16" s="166"/>
      <c r="L16" s="1" t="s">
        <v>639</v>
      </c>
      <c r="M16" s="165"/>
      <c r="N16" s="165"/>
      <c r="O16" s="165"/>
      <c r="P16" s="165"/>
      <c r="Q16" s="165"/>
      <c r="R16" s="165"/>
      <c r="S16" s="165"/>
      <c r="T16" s="165"/>
      <c r="U16" s="692"/>
      <c r="V16" s="693"/>
      <c r="W16" s="694"/>
      <c r="X16" s="695"/>
      <c r="Y16" s="302" t="s">
        <v>1309</v>
      </c>
      <c r="Z16" s="155"/>
      <c r="AA16" s="155"/>
      <c r="AB16" s="155"/>
      <c r="AC16" s="156"/>
      <c r="AD16" s="301">
        <v>19</v>
      </c>
      <c r="AE16" s="149"/>
      <c r="AF16" s="301">
        <v>6</v>
      </c>
      <c r="AG16" s="149"/>
      <c r="AH16" s="355" t="s">
        <v>198</v>
      </c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9"/>
      <c r="BB16" s="168"/>
      <c r="BC16" s="168"/>
      <c r="BD16" s="168"/>
      <c r="BE16" s="168"/>
      <c r="BF16" s="168"/>
      <c r="BG16" s="43"/>
      <c r="BK16" s="272" t="s">
        <v>635</v>
      </c>
      <c r="BL16" s="51" t="s">
        <v>663</v>
      </c>
    </row>
    <row r="17" spans="1:64">
      <c r="A17" s="681">
        <v>10</v>
      </c>
      <c r="B17" s="682"/>
      <c r="C17" s="59" t="str">
        <f t="shared" si="0"/>
        <v>申报新增数量</v>
      </c>
      <c r="D17" s="168"/>
      <c r="E17" s="168"/>
      <c r="F17" s="168"/>
      <c r="G17" s="168"/>
      <c r="H17" s="168"/>
      <c r="I17" s="168"/>
      <c r="J17" s="168"/>
      <c r="K17" s="169"/>
      <c r="L17" s="36" t="s">
        <v>640</v>
      </c>
      <c r="M17" s="168"/>
      <c r="N17" s="168"/>
      <c r="O17" s="168"/>
      <c r="P17" s="168"/>
      <c r="Q17" s="168"/>
      <c r="R17" s="168"/>
      <c r="S17" s="168"/>
      <c r="T17" s="168"/>
      <c r="U17" s="683"/>
      <c r="V17" s="682"/>
      <c r="W17" s="684"/>
      <c r="X17" s="685"/>
      <c r="Y17" s="355" t="s">
        <v>1312</v>
      </c>
      <c r="Z17" s="151"/>
      <c r="AA17" s="151"/>
      <c r="AB17" s="151"/>
      <c r="AC17" s="152"/>
      <c r="AD17" s="301">
        <v>19</v>
      </c>
      <c r="AE17" s="149"/>
      <c r="AF17" s="301">
        <v>6</v>
      </c>
      <c r="AG17" s="149"/>
      <c r="AH17" s="354" t="s">
        <v>198</v>
      </c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8"/>
      <c r="AY17" s="168"/>
      <c r="AZ17" s="168"/>
      <c r="BA17" s="169"/>
      <c r="BB17" s="168"/>
      <c r="BC17" s="168"/>
      <c r="BD17" s="168"/>
      <c r="BE17" s="168"/>
      <c r="BF17" s="168"/>
      <c r="BG17" s="43"/>
      <c r="BK17" s="272" t="s">
        <v>31</v>
      </c>
      <c r="BL17" s="51" t="s">
        <v>31</v>
      </c>
    </row>
    <row r="18" spans="1:64">
      <c r="A18" s="681">
        <v>11</v>
      </c>
      <c r="B18" s="682"/>
      <c r="C18" s="59" t="str">
        <f t="shared" si="0"/>
        <v>批复数量</v>
      </c>
      <c r="D18" s="168"/>
      <c r="E18" s="168"/>
      <c r="F18" s="168"/>
      <c r="G18" s="168"/>
      <c r="H18" s="168"/>
      <c r="I18" s="168"/>
      <c r="J18" s="168"/>
      <c r="K18" s="169"/>
      <c r="L18" s="36" t="s">
        <v>641</v>
      </c>
      <c r="M18" s="168"/>
      <c r="N18" s="168"/>
      <c r="O18" s="168"/>
      <c r="P18" s="168"/>
      <c r="Q18" s="168"/>
      <c r="R18" s="168"/>
      <c r="S18" s="168"/>
      <c r="T18" s="168"/>
      <c r="U18" s="683"/>
      <c r="V18" s="682"/>
      <c r="W18" s="684"/>
      <c r="X18" s="685"/>
      <c r="Y18" s="355" t="s">
        <v>1309</v>
      </c>
      <c r="Z18" s="151"/>
      <c r="AA18" s="151"/>
      <c r="AB18" s="151"/>
      <c r="AC18" s="152"/>
      <c r="AD18" s="301">
        <v>19</v>
      </c>
      <c r="AE18" s="149"/>
      <c r="AF18" s="301">
        <v>6</v>
      </c>
      <c r="AG18" s="149"/>
      <c r="AH18" s="354" t="s">
        <v>198</v>
      </c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68"/>
      <c r="BA18" s="169"/>
      <c r="BB18" s="168"/>
      <c r="BC18" s="168"/>
      <c r="BD18" s="168"/>
      <c r="BE18" s="168"/>
      <c r="BF18" s="168"/>
      <c r="BG18" s="43"/>
      <c r="BK18" s="272" t="s">
        <v>634</v>
      </c>
      <c r="BL18" s="51" t="s">
        <v>655</v>
      </c>
    </row>
    <row r="19" spans="1:64">
      <c r="A19" s="681">
        <v>12</v>
      </c>
      <c r="B19" s="682"/>
      <c r="C19" s="59" t="str">
        <f t="shared" si="0"/>
        <v>批复单价</v>
      </c>
      <c r="D19" s="168"/>
      <c r="E19" s="168"/>
      <c r="F19" s="168"/>
      <c r="G19" s="168"/>
      <c r="H19" s="168"/>
      <c r="I19" s="168"/>
      <c r="J19" s="168"/>
      <c r="K19" s="169"/>
      <c r="L19" s="36" t="s">
        <v>642</v>
      </c>
      <c r="M19" s="168"/>
      <c r="N19" s="168"/>
      <c r="O19" s="168"/>
      <c r="P19" s="168"/>
      <c r="Q19" s="168"/>
      <c r="R19" s="168"/>
      <c r="S19" s="168"/>
      <c r="T19" s="168"/>
      <c r="U19" s="683"/>
      <c r="V19" s="682"/>
      <c r="W19" s="684"/>
      <c r="X19" s="685"/>
      <c r="Y19" s="355" t="s">
        <v>1309</v>
      </c>
      <c r="Z19" s="151"/>
      <c r="AA19" s="151"/>
      <c r="AB19" s="151"/>
      <c r="AC19" s="152"/>
      <c r="AD19" s="301">
        <v>19</v>
      </c>
      <c r="AE19" s="149"/>
      <c r="AF19" s="301">
        <v>6</v>
      </c>
      <c r="AG19" s="149"/>
      <c r="AH19" s="354" t="s">
        <v>198</v>
      </c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9"/>
      <c r="BB19" s="168"/>
      <c r="BC19" s="168"/>
      <c r="BD19" s="168"/>
      <c r="BE19" s="168"/>
      <c r="BF19" s="168"/>
      <c r="BG19" s="43"/>
      <c r="BK19" s="272" t="s">
        <v>653</v>
      </c>
      <c r="BL19" s="51" t="s">
        <v>656</v>
      </c>
    </row>
    <row r="20" spans="1:64">
      <c r="A20" s="681">
        <v>13</v>
      </c>
      <c r="B20" s="682"/>
      <c r="C20" s="59" t="str">
        <f t="shared" si="0"/>
        <v>批复新增数量</v>
      </c>
      <c r="D20" s="168"/>
      <c r="E20" s="168"/>
      <c r="F20" s="168"/>
      <c r="G20" s="168"/>
      <c r="H20" s="168"/>
      <c r="I20" s="168"/>
      <c r="J20" s="168"/>
      <c r="K20" s="169"/>
      <c r="L20" s="36" t="s">
        <v>643</v>
      </c>
      <c r="M20" s="168"/>
      <c r="N20" s="168"/>
      <c r="O20" s="168"/>
      <c r="P20" s="168"/>
      <c r="Q20" s="168"/>
      <c r="R20" s="168"/>
      <c r="S20" s="168"/>
      <c r="T20" s="168"/>
      <c r="U20" s="683"/>
      <c r="V20" s="682"/>
      <c r="W20" s="684"/>
      <c r="X20" s="685"/>
      <c r="Y20" s="355" t="s">
        <v>1308</v>
      </c>
      <c r="Z20" s="151"/>
      <c r="AA20" s="151"/>
      <c r="AB20" s="151"/>
      <c r="AC20" s="152"/>
      <c r="AD20" s="301">
        <v>19</v>
      </c>
      <c r="AE20" s="149"/>
      <c r="AF20" s="301">
        <v>6</v>
      </c>
      <c r="AG20" s="149"/>
      <c r="AH20" s="354" t="s">
        <v>198</v>
      </c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9"/>
      <c r="BB20" s="168"/>
      <c r="BC20" s="168"/>
      <c r="BD20" s="168"/>
      <c r="BE20" s="168"/>
      <c r="BF20" s="168"/>
      <c r="BG20" s="43"/>
      <c r="BK20" s="272" t="s">
        <v>280</v>
      </c>
      <c r="BL20" s="51" t="s">
        <v>542</v>
      </c>
    </row>
    <row r="21" spans="1:64">
      <c r="A21" s="681">
        <v>14</v>
      </c>
      <c r="B21" s="682"/>
      <c r="C21" s="414" t="str">
        <f t="shared" si="0"/>
        <v>备注</v>
      </c>
      <c r="D21" s="415"/>
      <c r="E21" s="415"/>
      <c r="F21" s="415"/>
      <c r="G21" s="415"/>
      <c r="H21" s="415"/>
      <c r="I21" s="415"/>
      <c r="J21" s="415"/>
      <c r="K21" s="416"/>
      <c r="L21" s="36" t="s">
        <v>29</v>
      </c>
      <c r="M21" s="168"/>
      <c r="N21" s="168"/>
      <c r="O21" s="168"/>
      <c r="P21" s="168"/>
      <c r="Q21" s="168"/>
      <c r="R21" s="168"/>
      <c r="S21" s="168"/>
      <c r="T21" s="168"/>
      <c r="U21" s="683"/>
      <c r="V21" s="682"/>
      <c r="W21" s="684"/>
      <c r="X21" s="685"/>
      <c r="Y21" s="300" t="s">
        <v>16</v>
      </c>
      <c r="Z21" s="151"/>
      <c r="AA21" s="151"/>
      <c r="AB21" s="151"/>
      <c r="AC21" s="152"/>
      <c r="AD21" s="301">
        <v>1024</v>
      </c>
      <c r="AE21" s="149"/>
      <c r="AF21" s="301">
        <v>0</v>
      </c>
      <c r="AG21" s="149"/>
      <c r="AH21" s="167"/>
      <c r="AI21" s="168"/>
      <c r="AJ21" s="168"/>
      <c r="AK21" s="168"/>
      <c r="AL21" s="168"/>
      <c r="AM21" s="168"/>
      <c r="AN21" s="168"/>
      <c r="AO21" s="168"/>
      <c r="AP21" s="168"/>
      <c r="AQ21" s="168"/>
      <c r="AR21" s="168"/>
      <c r="AS21" s="168"/>
      <c r="AT21" s="168"/>
      <c r="AU21" s="168"/>
      <c r="AV21" s="168"/>
      <c r="AW21" s="168"/>
      <c r="AX21" s="168"/>
      <c r="AY21" s="168"/>
      <c r="AZ21" s="168"/>
      <c r="BA21" s="169"/>
      <c r="BB21" s="168"/>
      <c r="BC21" s="168"/>
      <c r="BD21" s="168"/>
      <c r="BE21" s="168"/>
      <c r="BF21" s="168"/>
      <c r="BG21" s="43"/>
      <c r="BK21" s="272" t="s">
        <v>279</v>
      </c>
      <c r="BL21" s="51" t="s">
        <v>657</v>
      </c>
    </row>
    <row r="22" spans="1:64">
      <c r="A22" s="681">
        <v>15</v>
      </c>
      <c r="B22" s="682"/>
      <c r="C22" s="59" t="str">
        <f t="shared" si="0"/>
        <v>废弃字段</v>
      </c>
      <c r="D22" s="168"/>
      <c r="E22" s="168"/>
      <c r="F22" s="168"/>
      <c r="G22" s="168"/>
      <c r="H22" s="168"/>
      <c r="I22" s="168"/>
      <c r="J22" s="168"/>
      <c r="K22" s="169"/>
      <c r="L22" s="36" t="s">
        <v>41</v>
      </c>
      <c r="M22" s="168"/>
      <c r="N22" s="168"/>
      <c r="O22" s="168"/>
      <c r="P22" s="168"/>
      <c r="Q22" s="168"/>
      <c r="R22" s="168"/>
      <c r="S22" s="168"/>
      <c r="T22" s="168"/>
      <c r="U22" s="683"/>
      <c r="V22" s="682"/>
      <c r="W22" s="684"/>
      <c r="X22" s="685"/>
      <c r="Y22" s="300" t="s">
        <v>16</v>
      </c>
      <c r="Z22" s="151"/>
      <c r="AA22" s="151"/>
      <c r="AB22" s="151"/>
      <c r="AC22" s="152"/>
      <c r="AD22" s="301">
        <v>1024</v>
      </c>
      <c r="AE22" s="149"/>
      <c r="AF22" s="301">
        <v>0</v>
      </c>
      <c r="AG22" s="149"/>
      <c r="AH22" s="167"/>
      <c r="AI22" s="168"/>
      <c r="AJ22" s="168"/>
      <c r="AK22" s="168"/>
      <c r="AL22" s="168"/>
      <c r="AM22" s="168"/>
      <c r="AN22" s="168"/>
      <c r="AO22" s="168"/>
      <c r="AP22" s="168"/>
      <c r="AQ22" s="168"/>
      <c r="AR22" s="168"/>
      <c r="AS22" s="168"/>
      <c r="AT22" s="168"/>
      <c r="AU22" s="168"/>
      <c r="AV22" s="168"/>
      <c r="AW22" s="168"/>
      <c r="AX22" s="168"/>
      <c r="AY22" s="168"/>
      <c r="AZ22" s="168"/>
      <c r="BA22" s="169"/>
      <c r="BB22" s="168"/>
      <c r="BC22" s="168"/>
      <c r="BD22" s="168"/>
      <c r="BE22" s="168"/>
      <c r="BF22" s="168"/>
      <c r="BG22" s="43"/>
      <c r="BK22" s="271" t="s">
        <v>317</v>
      </c>
      <c r="BL22" s="52" t="s">
        <v>311</v>
      </c>
    </row>
    <row r="23" spans="1:64">
      <c r="A23" s="681">
        <v>16</v>
      </c>
      <c r="B23" s="682"/>
      <c r="C23" s="59" t="str">
        <f t="shared" si="0"/>
        <v>归属主合同清单编号</v>
      </c>
      <c r="D23" s="168"/>
      <c r="E23" s="168"/>
      <c r="F23" s="168"/>
      <c r="G23" s="168"/>
      <c r="H23" s="168"/>
      <c r="I23" s="168"/>
      <c r="J23" s="168"/>
      <c r="K23" s="169"/>
      <c r="L23" s="1" t="s">
        <v>1481</v>
      </c>
      <c r="M23" s="168"/>
      <c r="N23" s="168"/>
      <c r="O23" s="168"/>
      <c r="P23" s="168"/>
      <c r="Q23" s="168"/>
      <c r="R23" s="168"/>
      <c r="S23" s="168"/>
      <c r="T23" s="168"/>
      <c r="U23" s="683"/>
      <c r="V23" s="682"/>
      <c r="W23" s="684"/>
      <c r="X23" s="685"/>
      <c r="Y23" s="300" t="s">
        <v>16</v>
      </c>
      <c r="Z23" s="151"/>
      <c r="AA23" s="151"/>
      <c r="AB23" s="151"/>
      <c r="AC23" s="152"/>
      <c r="AD23" s="301">
        <v>256</v>
      </c>
      <c r="AE23" s="149"/>
      <c r="AF23" s="301">
        <v>0</v>
      </c>
      <c r="AG23" s="149"/>
      <c r="AH23" s="167"/>
      <c r="AI23" s="168"/>
      <c r="AJ23" s="168"/>
      <c r="AK23" s="168"/>
      <c r="AL23" s="168"/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8"/>
      <c r="AY23" s="168"/>
      <c r="AZ23" s="168"/>
      <c r="BA23" s="169"/>
      <c r="BB23" s="168"/>
      <c r="BC23" s="168"/>
      <c r="BD23" s="168"/>
      <c r="BE23" s="168"/>
      <c r="BF23" s="168"/>
      <c r="BG23" s="43"/>
      <c r="BK23" s="272" t="s">
        <v>636</v>
      </c>
      <c r="BL23" s="52" t="s">
        <v>664</v>
      </c>
    </row>
    <row r="24" spans="1:64">
      <c r="A24" s="681">
        <v>17</v>
      </c>
      <c r="B24" s="682"/>
      <c r="C24" s="59" t="str">
        <f t="shared" si="0"/>
        <v>清单名称</v>
      </c>
      <c r="D24" s="168"/>
      <c r="E24" s="168"/>
      <c r="F24" s="168"/>
      <c r="G24" s="168"/>
      <c r="H24" s="168"/>
      <c r="I24" s="168"/>
      <c r="J24" s="168"/>
      <c r="K24" s="169"/>
      <c r="L24" s="36" t="s">
        <v>67</v>
      </c>
      <c r="M24" s="168"/>
      <c r="N24" s="168"/>
      <c r="O24" s="168"/>
      <c r="P24" s="168"/>
      <c r="Q24" s="168"/>
      <c r="R24" s="168"/>
      <c r="S24" s="168"/>
      <c r="T24" s="168"/>
      <c r="U24" s="683"/>
      <c r="V24" s="682"/>
      <c r="W24" s="684"/>
      <c r="X24" s="685"/>
      <c r="Y24" s="300" t="s">
        <v>16</v>
      </c>
      <c r="Z24" s="151"/>
      <c r="AA24" s="151"/>
      <c r="AB24" s="151"/>
      <c r="AC24" s="152"/>
      <c r="AD24" s="301">
        <v>256</v>
      </c>
      <c r="AE24" s="149"/>
      <c r="AF24" s="301">
        <v>0</v>
      </c>
      <c r="AG24" s="149"/>
      <c r="AH24" s="167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9"/>
      <c r="BB24" s="168"/>
      <c r="BC24" s="168"/>
      <c r="BD24" s="168"/>
      <c r="BE24" s="168"/>
      <c r="BF24" s="168"/>
      <c r="BG24" s="43"/>
      <c r="BK24" s="272" t="s">
        <v>637</v>
      </c>
      <c r="BL24" s="101" t="s">
        <v>677</v>
      </c>
    </row>
    <row r="25" spans="1:64">
      <c r="A25" s="681">
        <v>18</v>
      </c>
      <c r="B25" s="682"/>
      <c r="C25" s="59" t="str">
        <f t="shared" si="0"/>
        <v>单位</v>
      </c>
      <c r="D25" s="168"/>
      <c r="E25" s="168"/>
      <c r="F25" s="168"/>
      <c r="G25" s="168"/>
      <c r="H25" s="168"/>
      <c r="I25" s="168"/>
      <c r="J25" s="168"/>
      <c r="K25" s="169"/>
      <c r="L25" s="305" t="s">
        <v>68</v>
      </c>
      <c r="M25" s="168"/>
      <c r="N25" s="168"/>
      <c r="O25" s="168"/>
      <c r="P25" s="168"/>
      <c r="Q25" s="168"/>
      <c r="R25" s="168"/>
      <c r="S25" s="168"/>
      <c r="T25" s="168"/>
      <c r="U25" s="683"/>
      <c r="V25" s="682"/>
      <c r="W25" s="684"/>
      <c r="X25" s="685"/>
      <c r="Y25" s="302" t="s">
        <v>16</v>
      </c>
      <c r="Z25" s="155"/>
      <c r="AA25" s="155"/>
      <c r="AB25" s="155"/>
      <c r="AC25" s="156"/>
      <c r="AD25" s="301">
        <v>64</v>
      </c>
      <c r="AE25" s="149"/>
      <c r="AF25" s="301">
        <v>0</v>
      </c>
      <c r="AG25" s="149"/>
      <c r="AH25" s="164"/>
      <c r="AI25" s="165"/>
      <c r="AJ25" s="168"/>
      <c r="AK25" s="168"/>
      <c r="AL25" s="168"/>
      <c r="AM25" s="168"/>
      <c r="AN25" s="168"/>
      <c r="AO25" s="168"/>
      <c r="AP25" s="168"/>
      <c r="AQ25" s="168"/>
      <c r="AR25" s="168"/>
      <c r="AS25" s="168"/>
      <c r="AT25" s="168"/>
      <c r="AU25" s="168"/>
      <c r="AV25" s="168"/>
      <c r="AW25" s="168"/>
      <c r="AX25" s="168"/>
      <c r="AY25" s="168"/>
      <c r="AZ25" s="168"/>
      <c r="BA25" s="169"/>
      <c r="BB25" s="168"/>
      <c r="BC25" s="168"/>
      <c r="BD25" s="168"/>
      <c r="BE25" s="168"/>
      <c r="BF25" s="168"/>
      <c r="BG25" s="43"/>
      <c r="BH25" s="36"/>
      <c r="BK25" s="272" t="s">
        <v>282</v>
      </c>
      <c r="BL25" s="52" t="s">
        <v>678</v>
      </c>
    </row>
    <row r="26" spans="1:64">
      <c r="A26" s="681">
        <v>19</v>
      </c>
      <c r="B26" s="682"/>
      <c r="C26" s="59" t="str">
        <f t="shared" si="0"/>
        <v>清单编号</v>
      </c>
      <c r="D26" s="165"/>
      <c r="E26" s="165"/>
      <c r="F26" s="165"/>
      <c r="G26" s="165"/>
      <c r="H26" s="165"/>
      <c r="I26" s="165"/>
      <c r="J26" s="165"/>
      <c r="K26" s="166"/>
      <c r="L26" s="1" t="s">
        <v>44</v>
      </c>
      <c r="M26" s="165"/>
      <c r="N26" s="165"/>
      <c r="O26" s="165"/>
      <c r="P26" s="165"/>
      <c r="Q26" s="165"/>
      <c r="R26" s="165"/>
      <c r="S26" s="165"/>
      <c r="T26" s="165"/>
      <c r="U26" s="692"/>
      <c r="V26" s="693"/>
      <c r="W26" s="694"/>
      <c r="X26" s="695"/>
      <c r="Y26" s="302" t="s">
        <v>16</v>
      </c>
      <c r="Z26" s="155"/>
      <c r="AA26" s="155"/>
      <c r="AB26" s="155"/>
      <c r="AC26" s="156"/>
      <c r="AD26" s="301">
        <v>256</v>
      </c>
      <c r="AE26" s="149"/>
      <c r="AF26" s="301">
        <v>0</v>
      </c>
      <c r="AG26" s="149"/>
      <c r="AH26" s="164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6"/>
      <c r="BB26" s="168"/>
      <c r="BC26" s="168"/>
      <c r="BD26" s="168"/>
      <c r="BE26" s="168"/>
      <c r="BF26" s="168"/>
      <c r="BG26" s="43"/>
      <c r="BH26" s="36"/>
      <c r="BK26" s="271" t="s">
        <v>644</v>
      </c>
      <c r="BL26" s="51" t="s">
        <v>666</v>
      </c>
    </row>
    <row r="27" spans="1:64">
      <c r="A27" s="681">
        <v>20</v>
      </c>
      <c r="B27" s="682"/>
      <c r="C27" s="59" t="str">
        <f t="shared" si="0"/>
        <v>pp5</v>
      </c>
      <c r="D27" s="165"/>
      <c r="E27" s="165"/>
      <c r="F27" s="165"/>
      <c r="G27" s="165"/>
      <c r="H27" s="165"/>
      <c r="I27" s="165"/>
      <c r="J27" s="165"/>
      <c r="K27" s="166"/>
      <c r="L27" s="1" t="s">
        <v>45</v>
      </c>
      <c r="M27" s="165"/>
      <c r="N27" s="165"/>
      <c r="O27" s="165"/>
      <c r="P27" s="165"/>
      <c r="Q27" s="165"/>
      <c r="R27" s="165"/>
      <c r="S27" s="165"/>
      <c r="T27" s="165"/>
      <c r="U27" s="692"/>
      <c r="V27" s="693"/>
      <c r="W27" s="694"/>
      <c r="X27" s="695"/>
      <c r="Y27" s="302" t="s">
        <v>16</v>
      </c>
      <c r="Z27" s="155"/>
      <c r="AA27" s="155"/>
      <c r="AB27" s="155"/>
      <c r="AC27" s="156"/>
      <c r="AD27" s="301">
        <v>64</v>
      </c>
      <c r="AE27" s="149"/>
      <c r="AF27" s="301">
        <v>0</v>
      </c>
      <c r="AG27" s="149"/>
      <c r="AH27" s="164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9"/>
      <c r="BB27" s="48"/>
      <c r="BC27" s="48"/>
      <c r="BD27" s="48"/>
      <c r="BE27" s="48"/>
      <c r="BF27" s="48"/>
      <c r="BG27" s="49"/>
      <c r="BK27" s="272" t="s">
        <v>645</v>
      </c>
      <c r="BL27" s="51" t="s">
        <v>667</v>
      </c>
    </row>
    <row r="28" spans="1:64">
      <c r="A28" s="681">
        <v>21</v>
      </c>
      <c r="B28" s="682"/>
      <c r="C28" s="59" t="s">
        <v>1404</v>
      </c>
      <c r="D28" s="331"/>
      <c r="E28" s="331"/>
      <c r="F28" s="331"/>
      <c r="G28" s="331"/>
      <c r="H28" s="331"/>
      <c r="I28" s="331"/>
      <c r="J28" s="331"/>
      <c r="K28" s="332"/>
      <c r="L28" s="1" t="s">
        <v>1403</v>
      </c>
      <c r="M28" s="165"/>
      <c r="N28" s="165"/>
      <c r="O28" s="165"/>
      <c r="P28" s="165"/>
      <c r="Q28" s="165"/>
      <c r="R28" s="165"/>
      <c r="S28" s="165"/>
      <c r="T28" s="165"/>
      <c r="U28" s="692"/>
      <c r="V28" s="693"/>
      <c r="W28" s="694"/>
      <c r="X28" s="695"/>
      <c r="Y28" s="302" t="s">
        <v>16</v>
      </c>
      <c r="Z28" s="155"/>
      <c r="AA28" s="155"/>
      <c r="AB28" s="155"/>
      <c r="AC28" s="156"/>
      <c r="AD28" s="301">
        <v>256</v>
      </c>
      <c r="AE28" s="149"/>
      <c r="AF28" s="301">
        <v>0</v>
      </c>
      <c r="AG28" s="149"/>
      <c r="AH28" s="164" t="s">
        <v>1406</v>
      </c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68"/>
      <c r="AX28" s="168"/>
      <c r="AY28" s="168"/>
      <c r="AZ28" s="168"/>
      <c r="BA28" s="169"/>
      <c r="BB28" s="168"/>
      <c r="BC28" s="168"/>
      <c r="BD28" s="168"/>
      <c r="BE28" s="168"/>
      <c r="BF28" s="168"/>
      <c r="BG28" s="43"/>
      <c r="BK28" s="272" t="s">
        <v>646</v>
      </c>
      <c r="BL28" s="51" t="s">
        <v>548</v>
      </c>
    </row>
    <row r="29" spans="1:64">
      <c r="A29" s="681">
        <v>22</v>
      </c>
      <c r="B29" s="682"/>
      <c r="C29" s="59" t="str">
        <f>VLOOKUP(L29,$BK$7:$BL$106,2,FALSE)</f>
        <v>pp7</v>
      </c>
      <c r="D29" s="165"/>
      <c r="E29" s="165"/>
      <c r="F29" s="165"/>
      <c r="G29" s="165"/>
      <c r="H29" s="165"/>
      <c r="I29" s="165"/>
      <c r="J29" s="165"/>
      <c r="K29" s="166"/>
      <c r="L29" s="1" t="s">
        <v>34</v>
      </c>
      <c r="M29" s="165"/>
      <c r="N29" s="165"/>
      <c r="O29" s="165"/>
      <c r="P29" s="165"/>
      <c r="Q29" s="165"/>
      <c r="R29" s="165"/>
      <c r="S29" s="165"/>
      <c r="T29" s="165"/>
      <c r="U29" s="692"/>
      <c r="V29" s="693"/>
      <c r="W29" s="694"/>
      <c r="X29" s="695"/>
      <c r="Y29" s="302" t="s">
        <v>16</v>
      </c>
      <c r="Z29" s="155"/>
      <c r="AA29" s="155"/>
      <c r="AB29" s="155"/>
      <c r="AC29" s="156"/>
      <c r="AD29" s="301">
        <v>256</v>
      </c>
      <c r="AE29" s="149"/>
      <c r="AF29" s="301">
        <v>0</v>
      </c>
      <c r="AG29" s="149"/>
      <c r="AH29" s="164"/>
      <c r="AQ29" s="168"/>
      <c r="AR29" s="168"/>
      <c r="AS29" s="168"/>
      <c r="AT29" s="168"/>
      <c r="AU29" s="168"/>
      <c r="AV29" s="168"/>
      <c r="AW29" s="168"/>
      <c r="AX29" s="168"/>
      <c r="AY29" s="168"/>
      <c r="AZ29" s="168"/>
      <c r="BA29" s="169"/>
      <c r="BB29" s="168"/>
      <c r="BC29" s="168"/>
      <c r="BD29" s="168"/>
      <c r="BE29" s="168"/>
      <c r="BF29" s="168"/>
      <c r="BG29" s="43"/>
      <c r="BK29" s="272" t="s">
        <v>647</v>
      </c>
      <c r="BL29" s="51" t="s">
        <v>551</v>
      </c>
    </row>
    <row r="30" spans="1:64">
      <c r="A30" s="681">
        <v>23</v>
      </c>
      <c r="B30" s="682"/>
      <c r="C30" s="59" t="str">
        <f>VLOOKUP(L30,$BK$7:$BL$106,2,FALSE)</f>
        <v>pp8</v>
      </c>
      <c r="D30" s="165"/>
      <c r="E30" s="165"/>
      <c r="F30" s="165"/>
      <c r="G30" s="165"/>
      <c r="H30" s="165"/>
      <c r="I30" s="165"/>
      <c r="J30" s="165"/>
      <c r="K30" s="166"/>
      <c r="L30" s="1" t="s">
        <v>37</v>
      </c>
      <c r="M30" s="165"/>
      <c r="N30" s="165"/>
      <c r="O30" s="165"/>
      <c r="P30" s="165"/>
      <c r="Q30" s="165"/>
      <c r="R30" s="165"/>
      <c r="S30" s="165"/>
      <c r="T30" s="165"/>
      <c r="U30" s="692"/>
      <c r="V30" s="693"/>
      <c r="W30" s="694"/>
      <c r="X30" s="695"/>
      <c r="Y30" s="302" t="s">
        <v>16</v>
      </c>
      <c r="Z30" s="155"/>
      <c r="AA30" s="155"/>
      <c r="AB30" s="155"/>
      <c r="AC30" s="156"/>
      <c r="AD30" s="301">
        <v>256</v>
      </c>
      <c r="AE30" s="149"/>
      <c r="AF30" s="301">
        <v>0</v>
      </c>
      <c r="AG30" s="149"/>
      <c r="AH30" s="164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9"/>
      <c r="BB30" s="168"/>
      <c r="BC30" s="168"/>
      <c r="BD30" s="168"/>
      <c r="BE30" s="168"/>
      <c r="BF30" s="168"/>
      <c r="BG30" s="43"/>
      <c r="BK30" s="272" t="s">
        <v>638</v>
      </c>
      <c r="BL30" s="51" t="s">
        <v>668</v>
      </c>
    </row>
    <row r="31" spans="1:64">
      <c r="A31" s="681">
        <v>24</v>
      </c>
      <c r="B31" s="682"/>
      <c r="C31" s="59" t="str">
        <f>VLOOKUP(L31,$BK$7:$BL$106,2,FALSE)</f>
        <v>pp9</v>
      </c>
      <c r="D31" s="165"/>
      <c r="E31" s="165"/>
      <c r="F31" s="165"/>
      <c r="G31" s="165"/>
      <c r="H31" s="165"/>
      <c r="I31" s="165"/>
      <c r="J31" s="165"/>
      <c r="K31" s="166"/>
      <c r="L31" s="1" t="s">
        <v>69</v>
      </c>
      <c r="M31" s="165"/>
      <c r="N31" s="165"/>
      <c r="O31" s="165"/>
      <c r="P31" s="165"/>
      <c r="Q31" s="165"/>
      <c r="R31" s="165"/>
      <c r="S31" s="165"/>
      <c r="T31" s="165"/>
      <c r="U31" s="692"/>
      <c r="V31" s="693"/>
      <c r="W31" s="694"/>
      <c r="X31" s="695"/>
      <c r="Y31" s="302" t="s">
        <v>16</v>
      </c>
      <c r="Z31" s="155"/>
      <c r="AA31" s="155"/>
      <c r="AB31" s="155"/>
      <c r="AC31" s="156"/>
      <c r="AD31" s="301">
        <v>256</v>
      </c>
      <c r="AE31" s="149"/>
      <c r="AF31" s="301">
        <v>0</v>
      </c>
      <c r="AG31" s="149"/>
      <c r="AH31" s="164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9"/>
      <c r="BB31" s="168"/>
      <c r="BC31" s="168"/>
      <c r="BD31" s="168"/>
      <c r="BE31" s="168"/>
      <c r="BF31" s="168"/>
      <c r="BG31" s="43"/>
      <c r="BK31" s="272" t="s">
        <v>639</v>
      </c>
      <c r="BL31" s="51" t="s">
        <v>659</v>
      </c>
    </row>
    <row r="32" spans="1:64">
      <c r="A32" s="681">
        <v>25</v>
      </c>
      <c r="B32" s="682"/>
      <c r="C32" s="59" t="str">
        <f>VLOOKUP(L32,$BK$7:$BL$106,2,FALSE)</f>
        <v>挂接</v>
      </c>
      <c r="D32" s="165"/>
      <c r="E32" s="165"/>
      <c r="F32" s="165"/>
      <c r="G32" s="165"/>
      <c r="H32" s="165"/>
      <c r="I32" s="165"/>
      <c r="J32" s="165"/>
      <c r="K32" s="166"/>
      <c r="L32" s="1" t="s">
        <v>70</v>
      </c>
      <c r="M32" s="165"/>
      <c r="N32" s="165"/>
      <c r="O32" s="165"/>
      <c r="P32" s="165"/>
      <c r="Q32" s="165"/>
      <c r="R32" s="165"/>
      <c r="S32" s="165"/>
      <c r="T32" s="165"/>
      <c r="U32" s="692"/>
      <c r="V32" s="693"/>
      <c r="W32" s="694"/>
      <c r="X32" s="695"/>
      <c r="Y32" s="302" t="s">
        <v>16</v>
      </c>
      <c r="Z32" s="155"/>
      <c r="AA32" s="155"/>
      <c r="AB32" s="155"/>
      <c r="AC32" s="156"/>
      <c r="AD32" s="301">
        <v>256</v>
      </c>
      <c r="AE32" s="149"/>
      <c r="AF32" s="301">
        <v>0</v>
      </c>
      <c r="AG32" s="149"/>
      <c r="AH32" s="164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9"/>
      <c r="BB32" s="168"/>
      <c r="BC32" s="168"/>
      <c r="BD32" s="168"/>
      <c r="BE32" s="168"/>
      <c r="BF32" s="168"/>
      <c r="BG32" s="43"/>
      <c r="BK32" s="272" t="s">
        <v>640</v>
      </c>
      <c r="BL32" s="51" t="s">
        <v>669</v>
      </c>
    </row>
    <row r="33" spans="1:64">
      <c r="A33" s="681">
        <v>26</v>
      </c>
      <c r="B33" s="682"/>
      <c r="C33" s="397" t="s">
        <v>1499</v>
      </c>
      <c r="D33" s="230"/>
      <c r="E33" s="230"/>
      <c r="F33" s="230"/>
      <c r="G33" s="230"/>
      <c r="H33" s="230"/>
      <c r="I33" s="230"/>
      <c r="J33" s="230"/>
      <c r="K33" s="238"/>
      <c r="L33" s="475" t="s">
        <v>1505</v>
      </c>
      <c r="M33" s="474"/>
      <c r="N33" s="474"/>
      <c r="O33" s="474"/>
      <c r="P33" s="474"/>
      <c r="Q33" s="474"/>
      <c r="R33" s="474"/>
      <c r="S33" s="474"/>
      <c r="T33" s="474"/>
      <c r="U33" s="683"/>
      <c r="V33" s="682"/>
      <c r="W33" s="684"/>
      <c r="X33" s="685"/>
      <c r="Y33" s="401" t="s">
        <v>16</v>
      </c>
      <c r="Z33" s="402"/>
      <c r="AA33" s="402"/>
      <c r="AB33" s="402"/>
      <c r="AC33" s="403"/>
      <c r="AD33" s="404">
        <v>256</v>
      </c>
      <c r="AE33" s="405"/>
      <c r="AF33" s="404">
        <v>0</v>
      </c>
      <c r="AG33" s="405"/>
      <c r="AH33" s="333"/>
      <c r="AI33" s="334"/>
      <c r="AJ33" s="334"/>
      <c r="AK33" s="334"/>
      <c r="AL33" s="334"/>
      <c r="AM33" s="334"/>
      <c r="AN33" s="334"/>
      <c r="AO33" s="334"/>
      <c r="AP33" s="334"/>
      <c r="AQ33" s="334"/>
      <c r="AR33" s="334"/>
      <c r="AS33" s="334"/>
      <c r="AT33" s="334"/>
      <c r="AU33" s="334"/>
      <c r="AV33" s="334"/>
      <c r="AW33" s="334"/>
      <c r="AX33" s="334"/>
      <c r="AY33" s="334"/>
      <c r="AZ33" s="334"/>
      <c r="BA33" s="335"/>
      <c r="BB33" s="334"/>
      <c r="BC33" s="334"/>
      <c r="BD33" s="334"/>
      <c r="BE33" s="334"/>
      <c r="BF33" s="334"/>
      <c r="BG33" s="43"/>
      <c r="BK33" s="272" t="s">
        <v>641</v>
      </c>
      <c r="BL33" s="51" t="s">
        <v>670</v>
      </c>
    </row>
    <row r="34" spans="1:64">
      <c r="A34" s="681">
        <v>27</v>
      </c>
      <c r="B34" s="682"/>
      <c r="C34" s="397" t="s">
        <v>1490</v>
      </c>
      <c r="D34" s="230"/>
      <c r="E34" s="230"/>
      <c r="F34" s="230"/>
      <c r="G34" s="230"/>
      <c r="H34" s="230"/>
      <c r="I34" s="230"/>
      <c r="J34" s="230"/>
      <c r="K34" s="238"/>
      <c r="L34" s="475" t="s">
        <v>1501</v>
      </c>
      <c r="M34" s="474"/>
      <c r="N34" s="474"/>
      <c r="O34" s="474"/>
      <c r="P34" s="474"/>
      <c r="Q34" s="474"/>
      <c r="R34" s="474"/>
      <c r="S34" s="474"/>
      <c r="T34" s="474"/>
      <c r="U34" s="683"/>
      <c r="V34" s="682"/>
      <c r="W34" s="684"/>
      <c r="X34" s="685"/>
      <c r="Y34" s="401" t="s">
        <v>16</v>
      </c>
      <c r="Z34" s="402"/>
      <c r="AA34" s="402"/>
      <c r="AB34" s="402"/>
      <c r="AC34" s="403"/>
      <c r="AD34" s="404">
        <v>256</v>
      </c>
      <c r="AE34" s="405"/>
      <c r="AF34" s="404">
        <v>0</v>
      </c>
      <c r="AG34" s="405"/>
      <c r="AH34" s="333"/>
      <c r="AI34" s="334"/>
      <c r="AJ34" s="334"/>
      <c r="AK34" s="334"/>
      <c r="AL34" s="334"/>
      <c r="AM34" s="334"/>
      <c r="AN34" s="334"/>
      <c r="AO34" s="334"/>
      <c r="AP34" s="334"/>
      <c r="AQ34" s="334"/>
      <c r="AR34" s="334"/>
      <c r="AS34" s="334"/>
      <c r="AT34" s="334"/>
      <c r="AU34" s="334"/>
      <c r="AV34" s="334"/>
      <c r="AW34" s="334"/>
      <c r="AX34" s="334"/>
      <c r="AY34" s="334"/>
      <c r="AZ34" s="334"/>
      <c r="BA34" s="335"/>
      <c r="BB34" s="334"/>
      <c r="BC34" s="334"/>
      <c r="BD34" s="334"/>
      <c r="BE34" s="334"/>
      <c r="BF34" s="334"/>
      <c r="BG34" s="43"/>
      <c r="BK34" s="272" t="s">
        <v>642</v>
      </c>
      <c r="BL34" s="51" t="s">
        <v>671</v>
      </c>
    </row>
    <row r="35" spans="1:64">
      <c r="A35" s="681">
        <v>28</v>
      </c>
      <c r="B35" s="682"/>
      <c r="C35" s="397" t="s">
        <v>1491</v>
      </c>
      <c r="D35" s="230"/>
      <c r="E35" s="230"/>
      <c r="F35" s="230"/>
      <c r="G35" s="230"/>
      <c r="H35" s="230"/>
      <c r="I35" s="230"/>
      <c r="J35" s="230"/>
      <c r="K35" s="238"/>
      <c r="L35" s="473" t="s">
        <v>1502</v>
      </c>
      <c r="M35" s="474"/>
      <c r="N35" s="474"/>
      <c r="O35" s="474"/>
      <c r="P35" s="474"/>
      <c r="Q35" s="474"/>
      <c r="R35" s="474"/>
      <c r="S35" s="474"/>
      <c r="T35" s="474"/>
      <c r="U35" s="683"/>
      <c r="V35" s="682"/>
      <c r="W35" s="684"/>
      <c r="X35" s="685"/>
      <c r="Y35" s="406" t="s">
        <v>16</v>
      </c>
      <c r="Z35" s="407"/>
      <c r="AA35" s="407"/>
      <c r="AB35" s="407"/>
      <c r="AC35" s="408"/>
      <c r="AD35" s="404">
        <v>64</v>
      </c>
      <c r="AE35" s="405"/>
      <c r="AF35" s="404">
        <v>0</v>
      </c>
      <c r="AG35" s="405"/>
      <c r="AH35" s="330"/>
      <c r="AI35" s="331"/>
      <c r="AJ35" s="334"/>
      <c r="AK35" s="334"/>
      <c r="AL35" s="334"/>
      <c r="AM35" s="334"/>
      <c r="AN35" s="334"/>
      <c r="AO35" s="334"/>
      <c r="AP35" s="334"/>
      <c r="AQ35" s="334"/>
      <c r="AR35" s="334"/>
      <c r="AS35" s="334"/>
      <c r="AT35" s="334"/>
      <c r="AU35" s="334"/>
      <c r="AV35" s="334"/>
      <c r="AW35" s="334"/>
      <c r="AX35" s="334"/>
      <c r="AY35" s="334"/>
      <c r="AZ35" s="334"/>
      <c r="BA35" s="335"/>
      <c r="BB35" s="334"/>
      <c r="BC35" s="334"/>
      <c r="BD35" s="334"/>
      <c r="BE35" s="334"/>
      <c r="BF35" s="334"/>
      <c r="BG35" s="43"/>
      <c r="BH35" s="36"/>
      <c r="BK35" s="272" t="s">
        <v>643</v>
      </c>
      <c r="BL35" s="51" t="s">
        <v>660</v>
      </c>
    </row>
    <row r="36" spans="1:64">
      <c r="A36" s="681">
        <v>29</v>
      </c>
      <c r="B36" s="682"/>
      <c r="C36" s="397" t="s">
        <v>1492</v>
      </c>
      <c r="D36" s="398"/>
      <c r="E36" s="398"/>
      <c r="F36" s="398"/>
      <c r="G36" s="398"/>
      <c r="H36" s="398"/>
      <c r="I36" s="398"/>
      <c r="J36" s="398"/>
      <c r="K36" s="399"/>
      <c r="L36" s="475" t="s">
        <v>1503</v>
      </c>
      <c r="M36" s="473"/>
      <c r="N36" s="473"/>
      <c r="O36" s="473"/>
      <c r="P36" s="473"/>
      <c r="Q36" s="473"/>
      <c r="R36" s="473"/>
      <c r="S36" s="473"/>
      <c r="T36" s="473"/>
      <c r="U36" s="692"/>
      <c r="V36" s="693"/>
      <c r="W36" s="694"/>
      <c r="X36" s="695"/>
      <c r="Y36" s="406" t="s">
        <v>16</v>
      </c>
      <c r="Z36" s="407"/>
      <c r="AA36" s="407"/>
      <c r="AB36" s="407"/>
      <c r="AC36" s="408"/>
      <c r="AD36" s="404">
        <v>256</v>
      </c>
      <c r="AE36" s="405"/>
      <c r="AF36" s="404">
        <v>0</v>
      </c>
      <c r="AG36" s="405"/>
      <c r="AH36" s="330"/>
      <c r="AI36" s="331"/>
      <c r="AJ36" s="331"/>
      <c r="AK36" s="331"/>
      <c r="AL36" s="331"/>
      <c r="AM36" s="331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2"/>
      <c r="BB36" s="334"/>
      <c r="BC36" s="334"/>
      <c r="BD36" s="334"/>
      <c r="BE36" s="334"/>
      <c r="BF36" s="334"/>
      <c r="BG36" s="43"/>
      <c r="BH36" s="36"/>
      <c r="BK36" s="272" t="s">
        <v>29</v>
      </c>
      <c r="BL36" s="51" t="s">
        <v>49</v>
      </c>
    </row>
    <row r="37" spans="1:64">
      <c r="A37" s="681">
        <v>30</v>
      </c>
      <c r="B37" s="682"/>
      <c r="C37" s="397" t="s">
        <v>1494</v>
      </c>
      <c r="D37" s="398"/>
      <c r="E37" s="398"/>
      <c r="F37" s="398"/>
      <c r="G37" s="398"/>
      <c r="H37" s="398"/>
      <c r="I37" s="398"/>
      <c r="J37" s="398"/>
      <c r="K37" s="399"/>
      <c r="L37" s="475" t="s">
        <v>1504</v>
      </c>
      <c r="M37" s="473"/>
      <c r="N37" s="473"/>
      <c r="O37" s="473"/>
      <c r="P37" s="473"/>
      <c r="Q37" s="473"/>
      <c r="R37" s="473"/>
      <c r="S37" s="473"/>
      <c r="T37" s="473"/>
      <c r="U37" s="692"/>
      <c r="V37" s="693"/>
      <c r="W37" s="694"/>
      <c r="X37" s="695"/>
      <c r="Y37" s="406" t="s">
        <v>16</v>
      </c>
      <c r="Z37" s="407"/>
      <c r="AA37" s="407"/>
      <c r="AB37" s="407"/>
      <c r="AC37" s="408"/>
      <c r="AD37" s="404">
        <v>256</v>
      </c>
      <c r="AE37" s="405"/>
      <c r="AF37" s="404">
        <v>0</v>
      </c>
      <c r="AG37" s="405"/>
      <c r="AH37" s="330" t="s">
        <v>1495</v>
      </c>
      <c r="AI37" s="334"/>
      <c r="AJ37" s="334"/>
      <c r="AK37" s="334"/>
      <c r="AL37" s="334"/>
      <c r="AM37" s="334"/>
      <c r="AN37" s="334"/>
      <c r="AO37" s="334"/>
      <c r="AP37" s="334"/>
      <c r="AQ37" s="334"/>
      <c r="AR37" s="334"/>
      <c r="AS37" s="334"/>
      <c r="AT37" s="334"/>
      <c r="AU37" s="334"/>
      <c r="AV37" s="334"/>
      <c r="AW37" s="334"/>
      <c r="AX37" s="334"/>
      <c r="AY37" s="334"/>
      <c r="AZ37" s="334"/>
      <c r="BA37" s="335"/>
      <c r="BB37" s="334"/>
      <c r="BC37" s="334"/>
      <c r="BD37" s="334"/>
      <c r="BE37" s="334"/>
      <c r="BF37" s="334"/>
      <c r="BG37" s="43"/>
      <c r="BK37" s="272" t="s">
        <v>654</v>
      </c>
      <c r="BL37" s="51" t="s">
        <v>672</v>
      </c>
    </row>
    <row r="38" spans="1:64">
      <c r="A38" s="681">
        <v>31</v>
      </c>
      <c r="B38" s="682"/>
      <c r="C38" s="397" t="s">
        <v>1493</v>
      </c>
      <c r="D38" s="398"/>
      <c r="E38" s="398"/>
      <c r="F38" s="398"/>
      <c r="G38" s="398"/>
      <c r="H38" s="398"/>
      <c r="I38" s="398"/>
      <c r="J38" s="398"/>
      <c r="K38" s="399"/>
      <c r="L38" s="1" t="s">
        <v>1500</v>
      </c>
      <c r="M38" s="331"/>
      <c r="N38" s="331"/>
      <c r="O38" s="331"/>
      <c r="P38" s="331"/>
      <c r="Q38" s="331"/>
      <c r="R38" s="331"/>
      <c r="S38" s="331"/>
      <c r="T38" s="331"/>
      <c r="U38" s="692"/>
      <c r="V38" s="693"/>
      <c r="W38" s="694"/>
      <c r="X38" s="695"/>
      <c r="Y38" s="406" t="s">
        <v>16</v>
      </c>
      <c r="Z38" s="407"/>
      <c r="AA38" s="407"/>
      <c r="AB38" s="407"/>
      <c r="AC38" s="408"/>
      <c r="AD38" s="404">
        <v>256</v>
      </c>
      <c r="AE38" s="405"/>
      <c r="AF38" s="404">
        <v>0</v>
      </c>
      <c r="AG38" s="405"/>
      <c r="AH38" s="330"/>
      <c r="AI38" s="334"/>
      <c r="AJ38" s="334"/>
      <c r="AK38" s="334"/>
      <c r="AL38" s="334"/>
      <c r="AM38" s="334"/>
      <c r="AN38" s="334"/>
      <c r="AO38" s="334"/>
      <c r="AP38" s="334"/>
      <c r="AQ38" s="334"/>
      <c r="AR38" s="334"/>
      <c r="AS38" s="334"/>
      <c r="AT38" s="334"/>
      <c r="AU38" s="334"/>
      <c r="AV38" s="334"/>
      <c r="AW38" s="334"/>
      <c r="AX38" s="334"/>
      <c r="AY38" s="334"/>
      <c r="AZ38" s="334"/>
      <c r="BA38" s="335"/>
      <c r="BB38" s="334"/>
      <c r="BC38" s="334"/>
      <c r="BD38" s="334"/>
      <c r="BE38" s="334"/>
      <c r="BF38" s="334"/>
      <c r="BG38" s="43"/>
      <c r="BK38" s="271" t="s">
        <v>285</v>
      </c>
      <c r="BL38" s="52" t="s">
        <v>550</v>
      </c>
    </row>
    <row r="39" spans="1:64">
      <c r="A39" s="681">
        <v>32</v>
      </c>
      <c r="B39" s="682"/>
      <c r="C39" s="59" t="str">
        <f t="shared" ref="C39:C58" si="1">VLOOKUP(L39,$BK$7:$BL$106,2,FALSE)</f>
        <v>最后编辑时间</v>
      </c>
      <c r="D39" s="168"/>
      <c r="E39" s="168"/>
      <c r="F39" s="168"/>
      <c r="G39" s="168"/>
      <c r="H39" s="168"/>
      <c r="I39" s="168"/>
      <c r="J39" s="168"/>
      <c r="K39" s="169"/>
      <c r="L39" s="36" t="s">
        <v>30</v>
      </c>
      <c r="M39" s="168"/>
      <c r="N39" s="168"/>
      <c r="O39" s="168"/>
      <c r="P39" s="168"/>
      <c r="Q39" s="168"/>
      <c r="R39" s="168"/>
      <c r="S39" s="168"/>
      <c r="T39" s="168"/>
      <c r="U39" s="683"/>
      <c r="V39" s="682"/>
      <c r="W39" s="684"/>
      <c r="X39" s="685"/>
      <c r="Y39" s="300" t="s">
        <v>17</v>
      </c>
      <c r="Z39" s="151"/>
      <c r="AA39" s="151"/>
      <c r="AB39" s="151"/>
      <c r="AC39" s="152"/>
      <c r="AD39" s="301"/>
      <c r="AE39" s="149"/>
      <c r="AF39" s="301"/>
      <c r="AG39" s="149"/>
      <c r="AH39" s="330" t="s">
        <v>1317</v>
      </c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9"/>
      <c r="BB39" s="168"/>
      <c r="BC39" s="168"/>
      <c r="BD39" s="168"/>
      <c r="BE39" s="168"/>
      <c r="BF39" s="168"/>
      <c r="BG39" s="43"/>
      <c r="BK39" s="272" t="s">
        <v>36</v>
      </c>
      <c r="BL39" s="52" t="s">
        <v>657</v>
      </c>
    </row>
    <row r="40" spans="1:64">
      <c r="A40" s="681">
        <v>33</v>
      </c>
      <c r="B40" s="682"/>
      <c r="C40" s="59" t="str">
        <f t="shared" si="1"/>
        <v>变更增减数量</v>
      </c>
      <c r="D40" s="168"/>
      <c r="E40" s="168"/>
      <c r="F40" s="168"/>
      <c r="G40" s="168"/>
      <c r="H40" s="168"/>
      <c r="I40" s="168"/>
      <c r="J40" s="168"/>
      <c r="K40" s="169"/>
      <c r="L40" s="475" t="s">
        <v>1744</v>
      </c>
      <c r="M40" s="474"/>
      <c r="N40" s="474"/>
      <c r="O40" s="474"/>
      <c r="P40" s="474"/>
      <c r="Q40" s="474"/>
      <c r="R40" s="474"/>
      <c r="S40" s="474"/>
      <c r="T40" s="474"/>
      <c r="U40" s="683"/>
      <c r="V40" s="682"/>
      <c r="W40" s="684"/>
      <c r="X40" s="685"/>
      <c r="Y40" s="355" t="s">
        <v>1309</v>
      </c>
      <c r="Z40" s="151"/>
      <c r="AA40" s="151"/>
      <c r="AB40" s="151"/>
      <c r="AC40" s="152"/>
      <c r="AD40" s="301">
        <v>19</v>
      </c>
      <c r="AE40" s="149"/>
      <c r="AF40" s="301">
        <v>6</v>
      </c>
      <c r="AG40" s="149"/>
      <c r="AH40" s="354" t="s">
        <v>198</v>
      </c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9"/>
      <c r="BB40" s="168"/>
      <c r="BC40" s="168"/>
      <c r="BD40" s="168"/>
      <c r="BE40" s="168"/>
      <c r="BF40" s="168"/>
      <c r="BG40" s="43"/>
      <c r="BK40" s="272" t="s">
        <v>67</v>
      </c>
      <c r="BL40" s="101" t="s">
        <v>339</v>
      </c>
    </row>
    <row r="41" spans="1:64">
      <c r="A41" s="681">
        <v>34</v>
      </c>
      <c r="B41" s="682"/>
      <c r="C41" s="59" t="str">
        <f t="shared" si="1"/>
        <v>增减单价</v>
      </c>
      <c r="D41" s="168"/>
      <c r="E41" s="168"/>
      <c r="F41" s="168"/>
      <c r="G41" s="168"/>
      <c r="H41" s="168"/>
      <c r="I41" s="168"/>
      <c r="J41" s="168"/>
      <c r="K41" s="169"/>
      <c r="L41" s="475" t="s">
        <v>1746</v>
      </c>
      <c r="M41" s="474"/>
      <c r="N41" s="474"/>
      <c r="O41" s="474"/>
      <c r="P41" s="474"/>
      <c r="Q41" s="474"/>
      <c r="R41" s="474"/>
      <c r="S41" s="474"/>
      <c r="T41" s="474"/>
      <c r="U41" s="683"/>
      <c r="V41" s="682"/>
      <c r="W41" s="684"/>
      <c r="X41" s="685"/>
      <c r="Y41" s="355" t="s">
        <v>1308</v>
      </c>
      <c r="Z41" s="151"/>
      <c r="AA41" s="151"/>
      <c r="AB41" s="151"/>
      <c r="AC41" s="152"/>
      <c r="AD41" s="301">
        <v>19</v>
      </c>
      <c r="AE41" s="149"/>
      <c r="AF41" s="301">
        <v>6</v>
      </c>
      <c r="AG41" s="149"/>
      <c r="AH41" s="354" t="s">
        <v>198</v>
      </c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8"/>
      <c r="AY41" s="168"/>
      <c r="AZ41" s="168"/>
      <c r="BA41" s="169"/>
      <c r="BB41" s="168"/>
      <c r="BC41" s="168"/>
      <c r="BD41" s="168"/>
      <c r="BE41" s="168"/>
      <c r="BF41" s="168"/>
      <c r="BG41" s="43"/>
      <c r="BK41" s="272" t="s">
        <v>68</v>
      </c>
      <c r="BL41" s="52" t="s">
        <v>311</v>
      </c>
    </row>
    <row r="42" spans="1:64">
      <c r="A42" s="681">
        <v>35</v>
      </c>
      <c r="B42" s="682"/>
      <c r="C42" s="59" t="str">
        <f t="shared" si="1"/>
        <v>原含税合同金额</v>
      </c>
      <c r="D42" s="168"/>
      <c r="E42" s="168"/>
      <c r="F42" s="168"/>
      <c r="G42" s="168"/>
      <c r="H42" s="168"/>
      <c r="I42" s="168"/>
      <c r="J42" s="168"/>
      <c r="K42" s="169"/>
      <c r="L42" s="475" t="s">
        <v>1748</v>
      </c>
      <c r="M42" s="474"/>
      <c r="N42" s="474"/>
      <c r="O42" s="474"/>
      <c r="P42" s="474"/>
      <c r="Q42" s="474"/>
      <c r="R42" s="474"/>
      <c r="S42" s="474"/>
      <c r="T42" s="474"/>
      <c r="U42" s="683"/>
      <c r="V42" s="682"/>
      <c r="W42" s="684"/>
      <c r="X42" s="685"/>
      <c r="Y42" s="355" t="s">
        <v>1309</v>
      </c>
      <c r="Z42" s="151"/>
      <c r="AA42" s="151"/>
      <c r="AB42" s="151"/>
      <c r="AC42" s="152"/>
      <c r="AD42" s="301">
        <v>19</v>
      </c>
      <c r="AE42" s="149"/>
      <c r="AF42" s="301">
        <v>6</v>
      </c>
      <c r="AG42" s="149"/>
      <c r="AH42" s="354" t="s">
        <v>198</v>
      </c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8"/>
      <c r="BA42" s="169"/>
      <c r="BB42" s="168"/>
      <c r="BC42" s="168"/>
      <c r="BD42" s="168"/>
      <c r="BE42" s="168"/>
      <c r="BF42" s="168"/>
      <c r="BG42" s="43"/>
      <c r="BK42" s="271" t="s">
        <v>651</v>
      </c>
      <c r="BL42" s="51" t="s">
        <v>563</v>
      </c>
    </row>
    <row r="43" spans="1:64">
      <c r="A43" s="681">
        <v>36</v>
      </c>
      <c r="B43" s="682"/>
      <c r="C43" s="59" t="str">
        <f t="shared" si="1"/>
        <v>变更后数量</v>
      </c>
      <c r="D43" s="168"/>
      <c r="E43" s="168"/>
      <c r="F43" s="168"/>
      <c r="G43" s="168"/>
      <c r="H43" s="168"/>
      <c r="I43" s="168"/>
      <c r="J43" s="168"/>
      <c r="K43" s="169"/>
      <c r="L43" s="475" t="s">
        <v>1699</v>
      </c>
      <c r="M43" s="474"/>
      <c r="N43" s="474"/>
      <c r="O43" s="474"/>
      <c r="P43" s="474"/>
      <c r="Q43" s="474"/>
      <c r="R43" s="474"/>
      <c r="S43" s="474"/>
      <c r="T43" s="474"/>
      <c r="U43" s="683"/>
      <c r="V43" s="682"/>
      <c r="W43" s="684"/>
      <c r="X43" s="685"/>
      <c r="Y43" s="355" t="s">
        <v>1309</v>
      </c>
      <c r="Z43" s="151"/>
      <c r="AA43" s="151"/>
      <c r="AB43" s="151"/>
      <c r="AC43" s="152"/>
      <c r="AD43" s="301">
        <v>19</v>
      </c>
      <c r="AE43" s="149"/>
      <c r="AF43" s="301">
        <v>6</v>
      </c>
      <c r="AG43" s="149"/>
      <c r="AH43" s="354" t="s">
        <v>198</v>
      </c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9"/>
      <c r="BB43" s="168"/>
      <c r="BC43" s="168"/>
      <c r="BD43" s="168"/>
      <c r="BE43" s="168"/>
      <c r="BF43" s="168"/>
      <c r="BG43" s="43"/>
      <c r="BK43" s="272" t="s">
        <v>44</v>
      </c>
      <c r="BL43" s="51" t="s">
        <v>338</v>
      </c>
    </row>
    <row r="44" spans="1:64">
      <c r="A44" s="681">
        <v>37</v>
      </c>
      <c r="B44" s="682"/>
      <c r="C44" s="59" t="str">
        <f t="shared" si="1"/>
        <v>变更后单价</v>
      </c>
      <c r="D44" s="168"/>
      <c r="E44" s="168"/>
      <c r="F44" s="168"/>
      <c r="G44" s="168"/>
      <c r="H44" s="168"/>
      <c r="I44" s="168"/>
      <c r="J44" s="168"/>
      <c r="K44" s="169"/>
      <c r="L44" s="475" t="s">
        <v>1700</v>
      </c>
      <c r="M44" s="474"/>
      <c r="N44" s="474"/>
      <c r="O44" s="474"/>
      <c r="P44" s="474"/>
      <c r="Q44" s="474"/>
      <c r="R44" s="474"/>
      <c r="S44" s="474"/>
      <c r="T44" s="474"/>
      <c r="U44" s="683"/>
      <c r="V44" s="682"/>
      <c r="W44" s="684"/>
      <c r="X44" s="685"/>
      <c r="Y44" s="355" t="s">
        <v>1309</v>
      </c>
      <c r="Z44" s="151"/>
      <c r="AA44" s="151"/>
      <c r="AB44" s="151"/>
      <c r="AC44" s="152"/>
      <c r="AD44" s="301">
        <v>19</v>
      </c>
      <c r="AE44" s="149"/>
      <c r="AF44" s="301">
        <v>6</v>
      </c>
      <c r="AG44" s="149"/>
      <c r="AH44" s="354" t="s">
        <v>198</v>
      </c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8"/>
      <c r="AY44" s="168"/>
      <c r="AZ44" s="168"/>
      <c r="BA44" s="169"/>
      <c r="BB44" s="168"/>
      <c r="BC44" s="168"/>
      <c r="BD44" s="168"/>
      <c r="BE44" s="168"/>
      <c r="BF44" s="168"/>
      <c r="BG44" s="43"/>
      <c r="BK44" s="272" t="s">
        <v>38</v>
      </c>
      <c r="BL44" s="52" t="s">
        <v>1405</v>
      </c>
    </row>
    <row r="45" spans="1:64">
      <c r="A45" s="681">
        <v>38</v>
      </c>
      <c r="B45" s="682"/>
      <c r="C45" s="59" t="str">
        <f t="shared" si="1"/>
        <v>是否叶子节点</v>
      </c>
      <c r="D45" s="168"/>
      <c r="E45" s="168"/>
      <c r="F45" s="168"/>
      <c r="G45" s="168"/>
      <c r="H45" s="168"/>
      <c r="I45" s="168"/>
      <c r="J45" s="168"/>
      <c r="K45" s="169"/>
      <c r="L45" s="476" t="s">
        <v>285</v>
      </c>
      <c r="M45" s="474"/>
      <c r="N45" s="474"/>
      <c r="O45" s="474"/>
      <c r="P45" s="474"/>
      <c r="Q45" s="474"/>
      <c r="R45" s="474"/>
      <c r="S45" s="474"/>
      <c r="T45" s="474"/>
      <c r="U45" s="683"/>
      <c r="V45" s="682"/>
      <c r="W45" s="684"/>
      <c r="X45" s="685"/>
      <c r="Y45" s="300" t="s">
        <v>303</v>
      </c>
      <c r="Z45" s="151"/>
      <c r="AA45" s="151"/>
      <c r="AB45" s="151"/>
      <c r="AC45" s="152"/>
      <c r="AD45" s="301">
        <v>0</v>
      </c>
      <c r="AE45" s="149"/>
      <c r="AF45" s="301">
        <v>0</v>
      </c>
      <c r="AG45" s="149"/>
      <c r="AH45" s="167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9"/>
      <c r="BB45" s="168"/>
      <c r="BC45" s="168"/>
      <c r="BD45" s="168"/>
      <c r="BE45" s="168"/>
      <c r="BF45" s="168"/>
      <c r="BG45" s="43"/>
      <c r="BK45" s="272" t="s">
        <v>70</v>
      </c>
      <c r="BL45" s="51" t="s">
        <v>679</v>
      </c>
    </row>
    <row r="46" spans="1:64">
      <c r="A46" s="681">
        <v>39</v>
      </c>
      <c r="B46" s="682"/>
      <c r="C46" s="59" t="str">
        <f t="shared" si="1"/>
        <v>要求修改</v>
      </c>
      <c r="D46" s="168"/>
      <c r="E46" s="168"/>
      <c r="F46" s="168"/>
      <c r="G46" s="168"/>
      <c r="H46" s="168"/>
      <c r="I46" s="168"/>
      <c r="J46" s="168"/>
      <c r="K46" s="169"/>
      <c r="L46" s="36" t="s">
        <v>296</v>
      </c>
      <c r="M46" s="168"/>
      <c r="N46" s="168"/>
      <c r="O46" s="168"/>
      <c r="P46" s="168"/>
      <c r="Q46" s="168"/>
      <c r="R46" s="168"/>
      <c r="S46" s="168"/>
      <c r="T46" s="168"/>
      <c r="U46" s="683"/>
      <c r="V46" s="682"/>
      <c r="W46" s="684"/>
      <c r="X46" s="685"/>
      <c r="Y46" s="300" t="s">
        <v>16</v>
      </c>
      <c r="Z46" s="151"/>
      <c r="AA46" s="151"/>
      <c r="AB46" s="151"/>
      <c r="AC46" s="152"/>
      <c r="AD46" s="301">
        <v>8</v>
      </c>
      <c r="AE46" s="149"/>
      <c r="AF46" s="301">
        <v>0</v>
      </c>
      <c r="AG46" s="149"/>
      <c r="AH46" s="167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9"/>
      <c r="BB46" s="168"/>
      <c r="BC46" s="168"/>
      <c r="BD46" s="168"/>
      <c r="BE46" s="168"/>
      <c r="BF46" s="168"/>
      <c r="BG46" s="43"/>
      <c r="BK46" s="272" t="s">
        <v>296</v>
      </c>
      <c r="BL46" s="51" t="s">
        <v>673</v>
      </c>
    </row>
    <row r="47" spans="1:64">
      <c r="A47" s="681">
        <v>40</v>
      </c>
      <c r="B47" s="682"/>
      <c r="C47" s="59" t="str">
        <f t="shared" si="1"/>
        <v>修改人</v>
      </c>
      <c r="D47" s="168"/>
      <c r="E47" s="168"/>
      <c r="F47" s="168"/>
      <c r="G47" s="168"/>
      <c r="H47" s="168"/>
      <c r="I47" s="168"/>
      <c r="J47" s="168"/>
      <c r="K47" s="169"/>
      <c r="L47" s="305" t="s">
        <v>297</v>
      </c>
      <c r="M47" s="168"/>
      <c r="N47" s="168"/>
      <c r="O47" s="168"/>
      <c r="P47" s="168"/>
      <c r="Q47" s="168"/>
      <c r="R47" s="168"/>
      <c r="S47" s="168"/>
      <c r="T47" s="168"/>
      <c r="U47" s="683"/>
      <c r="V47" s="682"/>
      <c r="W47" s="684"/>
      <c r="X47" s="685"/>
      <c r="Y47" s="302" t="s">
        <v>16</v>
      </c>
      <c r="Z47" s="155"/>
      <c r="AA47" s="155"/>
      <c r="AB47" s="155"/>
      <c r="AC47" s="156"/>
      <c r="AD47" s="301">
        <v>128</v>
      </c>
      <c r="AE47" s="149"/>
      <c r="AF47" s="301">
        <v>0</v>
      </c>
      <c r="AG47" s="149"/>
      <c r="AH47" s="164"/>
      <c r="AI47" s="165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9"/>
      <c r="BB47" s="168"/>
      <c r="BC47" s="168"/>
      <c r="BD47" s="168"/>
      <c r="BE47" s="168"/>
      <c r="BF47" s="168"/>
      <c r="BG47" s="43"/>
      <c r="BH47" s="36"/>
      <c r="BK47" s="272" t="s">
        <v>297</v>
      </c>
      <c r="BL47" s="51" t="s">
        <v>661</v>
      </c>
    </row>
    <row r="48" spans="1:64">
      <c r="A48" s="681">
        <v>41</v>
      </c>
      <c r="B48" s="682"/>
      <c r="C48" s="59" t="str">
        <f t="shared" si="1"/>
        <v>修改人</v>
      </c>
      <c r="D48" s="165"/>
      <c r="E48" s="165"/>
      <c r="F48" s="165"/>
      <c r="G48" s="165"/>
      <c r="H48" s="165"/>
      <c r="I48" s="165"/>
      <c r="J48" s="165"/>
      <c r="K48" s="166"/>
      <c r="L48" s="1" t="s">
        <v>298</v>
      </c>
      <c r="M48" s="165"/>
      <c r="N48" s="165"/>
      <c r="O48" s="165"/>
      <c r="P48" s="165"/>
      <c r="Q48" s="165"/>
      <c r="R48" s="165"/>
      <c r="S48" s="165"/>
      <c r="T48" s="165"/>
      <c r="U48" s="692"/>
      <c r="V48" s="693"/>
      <c r="W48" s="694"/>
      <c r="X48" s="695"/>
      <c r="Y48" s="302" t="s">
        <v>16</v>
      </c>
      <c r="Z48" s="155"/>
      <c r="AA48" s="155"/>
      <c r="AB48" s="155"/>
      <c r="AC48" s="156"/>
      <c r="AD48" s="301">
        <v>128</v>
      </c>
      <c r="AE48" s="149"/>
      <c r="AF48" s="301">
        <v>0</v>
      </c>
      <c r="AG48" s="149"/>
      <c r="AH48" s="164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6"/>
      <c r="BB48" s="168"/>
      <c r="BC48" s="168"/>
      <c r="BD48" s="168"/>
      <c r="BE48" s="168"/>
      <c r="BF48" s="168"/>
      <c r="BG48" s="43"/>
      <c r="BH48" s="36"/>
      <c r="BK48" s="272" t="s">
        <v>298</v>
      </c>
      <c r="BL48" s="51" t="s">
        <v>661</v>
      </c>
    </row>
    <row r="49" spans="1:64">
      <c r="A49" s="681">
        <v>42</v>
      </c>
      <c r="B49" s="682"/>
      <c r="C49" s="59" t="str">
        <f t="shared" si="1"/>
        <v>修改日期</v>
      </c>
      <c r="D49" s="165"/>
      <c r="E49" s="165"/>
      <c r="F49" s="165"/>
      <c r="G49" s="165"/>
      <c r="H49" s="165"/>
      <c r="I49" s="165"/>
      <c r="J49" s="165"/>
      <c r="K49" s="166"/>
      <c r="L49" s="1" t="s">
        <v>299</v>
      </c>
      <c r="M49" s="165"/>
      <c r="N49" s="165"/>
      <c r="O49" s="165"/>
      <c r="P49" s="165"/>
      <c r="Q49" s="165"/>
      <c r="R49" s="165"/>
      <c r="S49" s="165"/>
      <c r="T49" s="165"/>
      <c r="U49" s="692"/>
      <c r="V49" s="693"/>
      <c r="W49" s="694"/>
      <c r="X49" s="695"/>
      <c r="Y49" s="302" t="s">
        <v>16</v>
      </c>
      <c r="Z49" s="155"/>
      <c r="AA49" s="155"/>
      <c r="AB49" s="155"/>
      <c r="AC49" s="156"/>
      <c r="AD49" s="301">
        <v>16</v>
      </c>
      <c r="AE49" s="149"/>
      <c r="AF49" s="301">
        <v>0</v>
      </c>
      <c r="AG49" s="149"/>
      <c r="AH49" s="164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9"/>
      <c r="BB49" s="48"/>
      <c r="BC49" s="48"/>
      <c r="BD49" s="48"/>
      <c r="BE49" s="48"/>
      <c r="BF49" s="48"/>
      <c r="BG49" s="49"/>
      <c r="BK49" s="272" t="s">
        <v>299</v>
      </c>
      <c r="BL49" s="51" t="s">
        <v>674</v>
      </c>
    </row>
    <row r="50" spans="1:64">
      <c r="A50" s="681">
        <v>43</v>
      </c>
      <c r="B50" s="682"/>
      <c r="C50" s="59" t="str">
        <f t="shared" si="1"/>
        <v>原不含税合同单价</v>
      </c>
      <c r="D50" s="165"/>
      <c r="E50" s="165"/>
      <c r="F50" s="165"/>
      <c r="G50" s="165"/>
      <c r="H50" s="165"/>
      <c r="I50" s="165"/>
      <c r="J50" s="165"/>
      <c r="K50" s="166"/>
      <c r="L50" s="475" t="s">
        <v>1750</v>
      </c>
      <c r="M50" s="473"/>
      <c r="N50" s="473"/>
      <c r="O50" s="473"/>
      <c r="P50" s="473"/>
      <c r="Q50" s="473"/>
      <c r="R50" s="473"/>
      <c r="S50" s="473"/>
      <c r="T50" s="473"/>
      <c r="U50" s="692"/>
      <c r="V50" s="693"/>
      <c r="W50" s="694"/>
      <c r="X50" s="695"/>
      <c r="Y50" s="302" t="s">
        <v>1309</v>
      </c>
      <c r="Z50" s="155"/>
      <c r="AA50" s="155"/>
      <c r="AB50" s="155"/>
      <c r="AC50" s="156"/>
      <c r="AD50" s="301">
        <v>19</v>
      </c>
      <c r="AE50" s="149"/>
      <c r="AF50" s="301">
        <v>6</v>
      </c>
      <c r="AG50" s="149"/>
      <c r="AH50" s="355" t="s">
        <v>198</v>
      </c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9"/>
      <c r="BB50" s="168"/>
      <c r="BC50" s="168"/>
      <c r="BD50" s="168"/>
      <c r="BE50" s="168"/>
      <c r="BF50" s="168"/>
      <c r="BG50" s="43"/>
      <c r="BK50" s="272" t="s">
        <v>652</v>
      </c>
      <c r="BL50" s="51" t="s">
        <v>680</v>
      </c>
    </row>
    <row r="51" spans="1:64">
      <c r="A51" s="681">
        <v>44</v>
      </c>
      <c r="B51" s="682"/>
      <c r="C51" s="59" t="str">
        <f t="shared" si="1"/>
        <v>原不含税合同金额</v>
      </c>
      <c r="D51" s="165"/>
      <c r="E51" s="165"/>
      <c r="F51" s="165"/>
      <c r="G51" s="165"/>
      <c r="H51" s="165"/>
      <c r="I51" s="165"/>
      <c r="J51" s="165"/>
      <c r="K51" s="166"/>
      <c r="L51" s="475" t="s">
        <v>1751</v>
      </c>
      <c r="M51" s="473"/>
      <c r="N51" s="473"/>
      <c r="O51" s="473"/>
      <c r="P51" s="473"/>
      <c r="Q51" s="473"/>
      <c r="R51" s="473"/>
      <c r="S51" s="473"/>
      <c r="T51" s="473"/>
      <c r="U51" s="692"/>
      <c r="V51" s="693"/>
      <c r="W51" s="694"/>
      <c r="X51" s="695"/>
      <c r="Y51" s="302" t="s">
        <v>1311</v>
      </c>
      <c r="Z51" s="155"/>
      <c r="AA51" s="155"/>
      <c r="AB51" s="155"/>
      <c r="AC51" s="156"/>
      <c r="AD51" s="301">
        <v>19</v>
      </c>
      <c r="AE51" s="149"/>
      <c r="AF51" s="301">
        <v>6</v>
      </c>
      <c r="AG51" s="149"/>
      <c r="AH51" s="355" t="s">
        <v>198</v>
      </c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9"/>
      <c r="BB51" s="168"/>
      <c r="BC51" s="168"/>
      <c r="BD51" s="168"/>
      <c r="BE51" s="168"/>
      <c r="BF51" s="168"/>
      <c r="BG51" s="43"/>
      <c r="BK51" s="101"/>
      <c r="BL51" s="51"/>
    </row>
    <row r="52" spans="1:64">
      <c r="A52" s="681">
        <v>45</v>
      </c>
      <c r="B52" s="682"/>
      <c r="C52" s="59" t="str">
        <f t="shared" si="1"/>
        <v>税率(%)</v>
      </c>
      <c r="D52" s="165"/>
      <c r="E52" s="165"/>
      <c r="F52" s="165"/>
      <c r="G52" s="165"/>
      <c r="H52" s="165"/>
      <c r="I52" s="165"/>
      <c r="J52" s="165"/>
      <c r="K52" s="166"/>
      <c r="L52" s="475" t="s">
        <v>99</v>
      </c>
      <c r="M52" s="473"/>
      <c r="N52" s="473"/>
      <c r="O52" s="473"/>
      <c r="P52" s="473"/>
      <c r="Q52" s="473"/>
      <c r="R52" s="473"/>
      <c r="S52" s="473"/>
      <c r="T52" s="473"/>
      <c r="U52" s="692"/>
      <c r="V52" s="693"/>
      <c r="W52" s="694"/>
      <c r="X52" s="695"/>
      <c r="Y52" s="302" t="s">
        <v>16</v>
      </c>
      <c r="Z52" s="155"/>
      <c r="AA52" s="155"/>
      <c r="AB52" s="155"/>
      <c r="AC52" s="156"/>
      <c r="AD52" s="301">
        <v>16</v>
      </c>
      <c r="AE52" s="149"/>
      <c r="AF52" s="301">
        <v>0</v>
      </c>
      <c r="AG52" s="149"/>
      <c r="AH52" s="164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8"/>
      <c r="AY52" s="168"/>
      <c r="AZ52" s="168"/>
      <c r="BA52" s="169"/>
      <c r="BB52" s="168"/>
      <c r="BC52" s="168"/>
      <c r="BD52" s="168"/>
      <c r="BE52" s="168"/>
      <c r="BF52" s="168"/>
      <c r="BG52" s="43"/>
      <c r="BK52" s="147" t="s">
        <v>552</v>
      </c>
      <c r="BL52" s="51" t="s">
        <v>553</v>
      </c>
    </row>
    <row r="53" spans="1:64">
      <c r="A53" s="681">
        <v>46</v>
      </c>
      <c r="B53" s="682"/>
      <c r="C53" s="59" t="str">
        <f t="shared" si="1"/>
        <v>变更后含税金额</v>
      </c>
      <c r="D53" s="165"/>
      <c r="E53" s="165"/>
      <c r="F53" s="165"/>
      <c r="G53" s="165"/>
      <c r="H53" s="165"/>
      <c r="I53" s="165"/>
      <c r="J53" s="165"/>
      <c r="K53" s="166"/>
      <c r="L53" s="475" t="s">
        <v>1701</v>
      </c>
      <c r="M53" s="473"/>
      <c r="N53" s="473"/>
      <c r="O53" s="473"/>
      <c r="P53" s="473"/>
      <c r="Q53" s="473"/>
      <c r="R53" s="473"/>
      <c r="S53" s="473"/>
      <c r="T53" s="473"/>
      <c r="U53" s="692"/>
      <c r="V53" s="693"/>
      <c r="W53" s="694"/>
      <c r="X53" s="695"/>
      <c r="Y53" s="302" t="s">
        <v>1310</v>
      </c>
      <c r="Z53" s="155"/>
      <c r="AA53" s="155"/>
      <c r="AB53" s="155"/>
      <c r="AC53" s="156"/>
      <c r="AD53" s="301">
        <v>19</v>
      </c>
      <c r="AE53" s="149"/>
      <c r="AF53" s="301">
        <v>6</v>
      </c>
      <c r="AG53" s="149"/>
      <c r="AH53" s="355" t="s">
        <v>198</v>
      </c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9"/>
      <c r="BB53" s="168"/>
      <c r="BC53" s="168"/>
      <c r="BD53" s="168"/>
      <c r="BE53" s="168"/>
      <c r="BF53" s="168"/>
      <c r="BG53" s="43"/>
      <c r="BK53" s="147" t="s">
        <v>634</v>
      </c>
      <c r="BL53" s="51" t="s">
        <v>655</v>
      </c>
    </row>
    <row r="54" spans="1:64">
      <c r="A54" s="681">
        <v>47</v>
      </c>
      <c r="B54" s="682"/>
      <c r="C54" s="59" t="str">
        <f t="shared" si="1"/>
        <v>变更后不含税金额</v>
      </c>
      <c r="D54" s="165"/>
      <c r="E54" s="165"/>
      <c r="F54" s="165"/>
      <c r="G54" s="165"/>
      <c r="H54" s="165"/>
      <c r="I54" s="165"/>
      <c r="J54" s="165"/>
      <c r="K54" s="166"/>
      <c r="L54" s="475" t="s">
        <v>1702</v>
      </c>
      <c r="M54" s="473"/>
      <c r="N54" s="473"/>
      <c r="O54" s="473"/>
      <c r="P54" s="473"/>
      <c r="Q54" s="473"/>
      <c r="R54" s="473"/>
      <c r="S54" s="473"/>
      <c r="T54" s="473"/>
      <c r="U54" s="692"/>
      <c r="V54" s="693"/>
      <c r="W54" s="694"/>
      <c r="X54" s="695"/>
      <c r="Y54" s="302" t="s">
        <v>1309</v>
      </c>
      <c r="Z54" s="155"/>
      <c r="AA54" s="155"/>
      <c r="AB54" s="155"/>
      <c r="AC54" s="156"/>
      <c r="AD54" s="301">
        <v>19</v>
      </c>
      <c r="AE54" s="149"/>
      <c r="AF54" s="301">
        <v>6</v>
      </c>
      <c r="AG54" s="149"/>
      <c r="AH54" s="355" t="s">
        <v>198</v>
      </c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8"/>
      <c r="AY54" s="168"/>
      <c r="AZ54" s="168"/>
      <c r="BA54" s="169"/>
      <c r="BB54" s="168"/>
      <c r="BC54" s="168"/>
      <c r="BD54" s="168"/>
      <c r="BE54" s="168"/>
      <c r="BF54" s="168"/>
      <c r="BG54" s="43"/>
      <c r="BK54" s="147" t="s">
        <v>653</v>
      </c>
      <c r="BL54" s="101" t="s">
        <v>656</v>
      </c>
    </row>
    <row r="55" spans="1:64">
      <c r="A55" s="681">
        <v>48</v>
      </c>
      <c r="B55" s="682"/>
      <c r="C55" s="59" t="str">
        <f t="shared" si="1"/>
        <v>变更后税额</v>
      </c>
      <c r="D55" s="168"/>
      <c r="E55" s="168"/>
      <c r="F55" s="168"/>
      <c r="G55" s="168"/>
      <c r="H55" s="168"/>
      <c r="I55" s="168"/>
      <c r="J55" s="168"/>
      <c r="K55" s="169"/>
      <c r="L55" s="475" t="s">
        <v>1703</v>
      </c>
      <c r="M55" s="474"/>
      <c r="N55" s="474"/>
      <c r="O55" s="474"/>
      <c r="P55" s="474"/>
      <c r="Q55" s="474"/>
      <c r="R55" s="474"/>
      <c r="S55" s="474"/>
      <c r="T55" s="474"/>
      <c r="U55" s="683"/>
      <c r="V55" s="682"/>
      <c r="W55" s="684"/>
      <c r="X55" s="685"/>
      <c r="Y55" s="355" t="s">
        <v>1308</v>
      </c>
      <c r="Z55" s="151"/>
      <c r="AA55" s="151"/>
      <c r="AB55" s="151"/>
      <c r="AC55" s="152"/>
      <c r="AD55" s="301">
        <v>19</v>
      </c>
      <c r="AE55" s="149"/>
      <c r="AF55" s="301">
        <v>6</v>
      </c>
      <c r="AG55" s="149"/>
      <c r="AH55" s="354" t="s">
        <v>198</v>
      </c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8"/>
      <c r="AY55" s="168"/>
      <c r="AZ55" s="168"/>
      <c r="BA55" s="169"/>
      <c r="BB55" s="168"/>
      <c r="BC55" s="168"/>
      <c r="BD55" s="168"/>
      <c r="BE55" s="168"/>
      <c r="BF55" s="168"/>
      <c r="BG55" s="43"/>
      <c r="BK55" s="147" t="s">
        <v>279</v>
      </c>
      <c r="BL55" s="51" t="s">
        <v>657</v>
      </c>
    </row>
    <row r="56" spans="1:64">
      <c r="A56" s="681">
        <v>49</v>
      </c>
      <c r="B56" s="682"/>
      <c r="C56" s="59" t="str">
        <f t="shared" si="1"/>
        <v>计价规则ID</v>
      </c>
      <c r="D56" s="168"/>
      <c r="E56" s="168"/>
      <c r="F56" s="168"/>
      <c r="G56" s="168"/>
      <c r="H56" s="168"/>
      <c r="I56" s="168"/>
      <c r="J56" s="168"/>
      <c r="K56" s="169"/>
      <c r="L56" s="36" t="s">
        <v>301</v>
      </c>
      <c r="M56" s="168"/>
      <c r="N56" s="168"/>
      <c r="O56" s="168"/>
      <c r="P56" s="168"/>
      <c r="Q56" s="168"/>
      <c r="R56" s="168"/>
      <c r="S56" s="168"/>
      <c r="T56" s="168"/>
      <c r="U56" s="683"/>
      <c r="V56" s="682"/>
      <c r="W56" s="684"/>
      <c r="X56" s="685"/>
      <c r="Y56" s="300" t="s">
        <v>16</v>
      </c>
      <c r="Z56" s="151"/>
      <c r="AA56" s="151"/>
      <c r="AB56" s="151"/>
      <c r="AC56" s="152"/>
      <c r="AD56" s="301">
        <v>128</v>
      </c>
      <c r="AE56" s="149"/>
      <c r="AF56" s="301">
        <v>0</v>
      </c>
      <c r="AG56" s="149"/>
      <c r="AH56" s="167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8"/>
      <c r="AT56" s="168"/>
      <c r="AU56" s="168"/>
      <c r="AV56" s="168"/>
      <c r="AW56" s="168"/>
      <c r="AX56" s="168"/>
      <c r="AY56" s="168"/>
      <c r="AZ56" s="168"/>
      <c r="BA56" s="169"/>
      <c r="BB56" s="168"/>
      <c r="BC56" s="168"/>
      <c r="BD56" s="168"/>
      <c r="BE56" s="168"/>
      <c r="BF56" s="168"/>
      <c r="BG56" s="43"/>
      <c r="BK56" s="64" t="s">
        <v>67</v>
      </c>
      <c r="BL56" s="51" t="s">
        <v>339</v>
      </c>
    </row>
    <row r="57" spans="1:64">
      <c r="A57" s="681">
        <v>50</v>
      </c>
      <c r="B57" s="682"/>
      <c r="C57" s="59" t="str">
        <f t="shared" si="1"/>
        <v>计价规则名称</v>
      </c>
      <c r="D57" s="168"/>
      <c r="E57" s="168"/>
      <c r="F57" s="168"/>
      <c r="G57" s="168"/>
      <c r="H57" s="168"/>
      <c r="I57" s="168"/>
      <c r="J57" s="168"/>
      <c r="K57" s="169"/>
      <c r="L57" s="1" t="s">
        <v>1238</v>
      </c>
      <c r="M57" s="168"/>
      <c r="N57" s="168"/>
      <c r="O57" s="168"/>
      <c r="P57" s="168"/>
      <c r="Q57" s="168"/>
      <c r="R57" s="168"/>
      <c r="S57" s="168"/>
      <c r="T57" s="168"/>
      <c r="U57" s="683"/>
      <c r="V57" s="682"/>
      <c r="W57" s="684"/>
      <c r="X57" s="685"/>
      <c r="Y57" s="300" t="s">
        <v>16</v>
      </c>
      <c r="Z57" s="151"/>
      <c r="AA57" s="151"/>
      <c r="AB57" s="151"/>
      <c r="AC57" s="152"/>
      <c r="AD57" s="301">
        <v>128</v>
      </c>
      <c r="AE57" s="149"/>
      <c r="AF57" s="301">
        <v>0</v>
      </c>
      <c r="AG57" s="149"/>
      <c r="AH57" s="167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S57" s="168"/>
      <c r="AT57" s="168"/>
      <c r="AU57" s="168"/>
      <c r="AV57" s="168"/>
      <c r="AW57" s="168"/>
      <c r="AX57" s="168"/>
      <c r="AY57" s="168"/>
      <c r="AZ57" s="168"/>
      <c r="BA57" s="169"/>
      <c r="BB57" s="168"/>
      <c r="BC57" s="168"/>
      <c r="BD57" s="168"/>
      <c r="BE57" s="168"/>
      <c r="BF57" s="168"/>
      <c r="BG57" s="43"/>
      <c r="BK57" s="147" t="s">
        <v>68</v>
      </c>
      <c r="BL57" s="51" t="s">
        <v>311</v>
      </c>
    </row>
    <row r="58" spans="1:64">
      <c r="A58" s="681">
        <v>51</v>
      </c>
      <c r="B58" s="682"/>
      <c r="C58" s="59" t="str">
        <f t="shared" si="1"/>
        <v>已挂接工序数</v>
      </c>
      <c r="D58" s="168"/>
      <c r="E58" s="168"/>
      <c r="F58" s="168"/>
      <c r="G58" s="168"/>
      <c r="H58" s="168"/>
      <c r="I58" s="168"/>
      <c r="J58" s="168"/>
      <c r="K58" s="169"/>
      <c r="L58" s="36" t="s">
        <v>652</v>
      </c>
      <c r="M58" s="168"/>
      <c r="N58" s="168"/>
      <c r="O58" s="168"/>
      <c r="P58" s="168"/>
      <c r="Q58" s="168"/>
      <c r="R58" s="168"/>
      <c r="S58" s="168"/>
      <c r="T58" s="168"/>
      <c r="U58" s="683"/>
      <c r="V58" s="682"/>
      <c r="W58" s="684"/>
      <c r="X58" s="685"/>
      <c r="Y58" s="300" t="s">
        <v>303</v>
      </c>
      <c r="Z58" s="151"/>
      <c r="AA58" s="151"/>
      <c r="AB58" s="151"/>
      <c r="AC58" s="152"/>
      <c r="AD58" s="301">
        <v>0</v>
      </c>
      <c r="AE58" s="149"/>
      <c r="AF58" s="301">
        <v>0</v>
      </c>
      <c r="AG58" s="149"/>
      <c r="AH58" s="167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8"/>
      <c r="AW58" s="168"/>
      <c r="AX58" s="168"/>
      <c r="AY58" s="168"/>
      <c r="AZ58" s="168"/>
      <c r="BA58" s="169"/>
      <c r="BB58" s="168"/>
      <c r="BC58" s="168"/>
      <c r="BD58" s="168"/>
      <c r="BE58" s="168"/>
      <c r="BF58" s="168"/>
      <c r="BG58" s="43"/>
      <c r="BK58" s="147" t="s">
        <v>637</v>
      </c>
      <c r="BL58" s="51" t="s">
        <v>658</v>
      </c>
    </row>
    <row r="59" spans="1:64">
      <c r="A59" s="681">
        <v>52</v>
      </c>
      <c r="B59" s="682"/>
      <c r="C59" s="59" t="s">
        <v>1602</v>
      </c>
      <c r="D59" s="334"/>
      <c r="E59" s="334"/>
      <c r="F59" s="334"/>
      <c r="G59" s="334"/>
      <c r="H59" s="334"/>
      <c r="I59" s="334"/>
      <c r="J59" s="334"/>
      <c r="K59" s="335"/>
      <c r="L59" s="475" t="s">
        <v>1364</v>
      </c>
      <c r="M59" s="474"/>
      <c r="N59" s="474"/>
      <c r="O59" s="474"/>
      <c r="P59" s="474"/>
      <c r="Q59" s="474"/>
      <c r="R59" s="474"/>
      <c r="S59" s="474"/>
      <c r="T59" s="474"/>
      <c r="U59" s="683"/>
      <c r="V59" s="682"/>
      <c r="W59" s="684"/>
      <c r="X59" s="685"/>
      <c r="Y59" s="482" t="s">
        <v>16</v>
      </c>
      <c r="Z59" s="483"/>
      <c r="AA59" s="483"/>
      <c r="AB59" s="483"/>
      <c r="AC59" s="484"/>
      <c r="AD59" s="485">
        <v>100</v>
      </c>
      <c r="AE59" s="486"/>
      <c r="AF59" s="485">
        <v>0</v>
      </c>
      <c r="AG59" s="486"/>
      <c r="AH59" s="231" t="s">
        <v>1603</v>
      </c>
      <c r="AI59" s="230"/>
      <c r="AJ59" s="230"/>
      <c r="AK59" s="230"/>
      <c r="AL59" s="230"/>
      <c r="AM59" s="334"/>
      <c r="AN59" s="334"/>
      <c r="AO59" s="334"/>
      <c r="AP59" s="334"/>
      <c r="AQ59" s="334"/>
      <c r="AR59" s="334"/>
      <c r="AS59" s="334"/>
      <c r="AT59" s="334"/>
      <c r="AU59" s="334"/>
      <c r="AV59" s="334"/>
      <c r="AW59" s="334"/>
      <c r="AX59" s="334"/>
      <c r="AY59" s="334"/>
      <c r="AZ59" s="334"/>
      <c r="BA59" s="335"/>
      <c r="BB59" s="334"/>
      <c r="BC59" s="334"/>
      <c r="BD59" s="334"/>
      <c r="BE59" s="334"/>
      <c r="BF59" s="334"/>
      <c r="BG59" s="43"/>
      <c r="BK59" s="147" t="s">
        <v>646</v>
      </c>
      <c r="BL59" s="51" t="s">
        <v>548</v>
      </c>
    </row>
    <row r="60" spans="1:64">
      <c r="A60" s="681">
        <v>53</v>
      </c>
      <c r="B60" s="682"/>
      <c r="C60" s="59" t="s">
        <v>1605</v>
      </c>
      <c r="D60" s="331"/>
      <c r="E60" s="331"/>
      <c r="F60" s="331"/>
      <c r="G60" s="331"/>
      <c r="H60" s="331"/>
      <c r="I60" s="331"/>
      <c r="J60" s="331"/>
      <c r="K60" s="332"/>
      <c r="L60" s="1" t="s">
        <v>276</v>
      </c>
      <c r="M60" s="331"/>
      <c r="N60" s="331"/>
      <c r="O60" s="331"/>
      <c r="P60" s="331"/>
      <c r="Q60" s="331"/>
      <c r="R60" s="331"/>
      <c r="S60" s="331"/>
      <c r="T60" s="331"/>
      <c r="U60" s="692"/>
      <c r="V60" s="693"/>
      <c r="W60" s="694"/>
      <c r="X60" s="695"/>
      <c r="Y60" s="489" t="s">
        <v>16</v>
      </c>
      <c r="Z60" s="490"/>
      <c r="AA60" s="490"/>
      <c r="AB60" s="490"/>
      <c r="AC60" s="491"/>
      <c r="AD60" s="487">
        <v>64</v>
      </c>
      <c r="AE60" s="488"/>
      <c r="AF60" s="487">
        <v>0</v>
      </c>
      <c r="AG60" s="488"/>
      <c r="AH60" s="231" t="s">
        <v>1604</v>
      </c>
      <c r="AI60" s="230"/>
      <c r="AJ60" s="230"/>
      <c r="AK60" s="230"/>
      <c r="AL60" s="230"/>
      <c r="AM60" s="334"/>
      <c r="AN60" s="334"/>
      <c r="AO60" s="334"/>
      <c r="AP60" s="334"/>
      <c r="AQ60" s="334"/>
      <c r="AR60" s="334"/>
      <c r="AS60" s="334"/>
      <c r="AT60" s="334"/>
      <c r="AU60" s="334"/>
      <c r="AV60" s="334"/>
      <c r="AW60" s="334"/>
      <c r="AX60" s="334"/>
      <c r="AY60" s="334"/>
      <c r="AZ60" s="334"/>
      <c r="BA60" s="335"/>
      <c r="BB60" s="334"/>
      <c r="BC60" s="334"/>
      <c r="BD60" s="334"/>
      <c r="BE60" s="334"/>
      <c r="BF60" s="334"/>
      <c r="BG60" s="43"/>
      <c r="BK60" s="147" t="s">
        <v>639</v>
      </c>
      <c r="BL60" s="51" t="s">
        <v>659</v>
      </c>
    </row>
    <row r="61" spans="1:64">
      <c r="A61" s="681">
        <v>54</v>
      </c>
      <c r="B61" s="682"/>
      <c r="C61" s="376" t="s">
        <v>49</v>
      </c>
      <c r="D61" s="377"/>
      <c r="E61" s="377"/>
      <c r="F61" s="377"/>
      <c r="G61" s="377"/>
      <c r="H61" s="377"/>
      <c r="I61" s="377"/>
      <c r="J61" s="377"/>
      <c r="K61" s="378"/>
      <c r="L61" s="379" t="s">
        <v>1332</v>
      </c>
      <c r="M61" s="379"/>
      <c r="N61" s="379"/>
      <c r="O61" s="379"/>
      <c r="P61" s="379"/>
      <c r="Q61" s="379"/>
      <c r="R61" s="379"/>
      <c r="S61" s="379"/>
      <c r="T61" s="379"/>
      <c r="U61" s="760"/>
      <c r="V61" s="761"/>
      <c r="W61" s="756"/>
      <c r="X61" s="757"/>
      <c r="Y61" s="380" t="s">
        <v>1333</v>
      </c>
      <c r="Z61" s="379"/>
      <c r="AA61" s="379"/>
      <c r="AB61" s="379"/>
      <c r="AC61" s="379"/>
      <c r="AD61" s="758">
        <v>0</v>
      </c>
      <c r="AE61" s="759"/>
      <c r="AF61" s="754"/>
      <c r="AG61" s="755"/>
      <c r="AH61" s="381"/>
      <c r="AI61" s="379"/>
      <c r="AJ61" s="379"/>
      <c r="AK61" s="334"/>
      <c r="AL61" s="334"/>
      <c r="AM61" s="334"/>
      <c r="AN61" s="334"/>
      <c r="AO61" s="334"/>
      <c r="AP61" s="334"/>
      <c r="AQ61" s="334"/>
      <c r="AR61" s="334"/>
      <c r="AS61" s="334"/>
      <c r="AT61" s="334"/>
      <c r="AU61" s="334"/>
      <c r="AV61" s="334"/>
      <c r="AW61" s="334"/>
      <c r="AX61" s="334"/>
      <c r="AY61" s="334"/>
      <c r="AZ61" s="334"/>
      <c r="BA61" s="335"/>
      <c r="BB61" s="334"/>
      <c r="BC61" s="334"/>
      <c r="BD61" s="334"/>
      <c r="BE61" s="334"/>
      <c r="BF61" s="334"/>
      <c r="BG61" s="43"/>
      <c r="BK61" s="147" t="s">
        <v>643</v>
      </c>
      <c r="BL61" s="51" t="s">
        <v>660</v>
      </c>
    </row>
    <row r="62" spans="1:64">
      <c r="A62" s="681">
        <v>55</v>
      </c>
      <c r="B62" s="682"/>
      <c r="C62" s="376" t="s">
        <v>49</v>
      </c>
      <c r="D62" s="377"/>
      <c r="E62" s="377"/>
      <c r="F62" s="377"/>
      <c r="G62" s="377"/>
      <c r="H62" s="377"/>
      <c r="I62" s="377"/>
      <c r="J62" s="377"/>
      <c r="K62" s="378"/>
      <c r="L62" s="379" t="s">
        <v>1334</v>
      </c>
      <c r="M62" s="379"/>
      <c r="N62" s="379"/>
      <c r="O62" s="379"/>
      <c r="P62" s="379"/>
      <c r="Q62" s="379"/>
      <c r="R62" s="379"/>
      <c r="S62" s="379"/>
      <c r="T62" s="379"/>
      <c r="U62" s="760"/>
      <c r="V62" s="761"/>
      <c r="W62" s="756"/>
      <c r="X62" s="757"/>
      <c r="Y62" s="380" t="s">
        <v>1333</v>
      </c>
      <c r="Z62" s="379"/>
      <c r="AA62" s="379"/>
      <c r="AB62" s="379"/>
      <c r="AC62" s="379"/>
      <c r="AD62" s="758">
        <v>0</v>
      </c>
      <c r="AE62" s="759"/>
      <c r="AF62" s="754"/>
      <c r="AG62" s="755"/>
      <c r="AH62" s="381"/>
      <c r="AI62" s="379"/>
      <c r="AJ62" s="379"/>
      <c r="AK62" s="334"/>
      <c r="AL62" s="334"/>
      <c r="AM62" s="334"/>
      <c r="AN62" s="334"/>
      <c r="AO62" s="334"/>
      <c r="AP62" s="334"/>
      <c r="AQ62" s="334"/>
      <c r="AR62" s="334"/>
      <c r="AS62" s="334"/>
      <c r="AT62" s="334"/>
      <c r="AU62" s="334"/>
      <c r="AV62" s="334"/>
      <c r="AW62" s="334"/>
      <c r="AX62" s="334"/>
      <c r="AY62" s="334"/>
      <c r="AZ62" s="334"/>
      <c r="BA62" s="335"/>
      <c r="BB62" s="334"/>
      <c r="BC62" s="334"/>
      <c r="BD62" s="334"/>
      <c r="BE62" s="334"/>
      <c r="BF62" s="334"/>
      <c r="BG62" s="43"/>
      <c r="BK62" s="147" t="s">
        <v>297</v>
      </c>
      <c r="BL62" s="51" t="s">
        <v>661</v>
      </c>
    </row>
    <row r="63" spans="1:64">
      <c r="A63" s="681">
        <v>56</v>
      </c>
      <c r="B63" s="682"/>
      <c r="C63" s="376" t="s">
        <v>49</v>
      </c>
      <c r="D63" s="377"/>
      <c r="E63" s="377"/>
      <c r="F63" s="377"/>
      <c r="G63" s="377"/>
      <c r="H63" s="377"/>
      <c r="I63" s="377"/>
      <c r="J63" s="377"/>
      <c r="K63" s="378"/>
      <c r="L63" s="379" t="s">
        <v>1335</v>
      </c>
      <c r="M63" s="379"/>
      <c r="N63" s="379"/>
      <c r="O63" s="379"/>
      <c r="P63" s="379"/>
      <c r="Q63" s="379"/>
      <c r="R63" s="379"/>
      <c r="S63" s="379"/>
      <c r="T63" s="379"/>
      <c r="U63" s="760"/>
      <c r="V63" s="761"/>
      <c r="W63" s="756"/>
      <c r="X63" s="757"/>
      <c r="Y63" s="380" t="s">
        <v>1333</v>
      </c>
      <c r="Z63" s="379"/>
      <c r="AA63" s="379"/>
      <c r="AB63" s="379"/>
      <c r="AC63" s="379"/>
      <c r="AD63" s="758">
        <v>0</v>
      </c>
      <c r="AE63" s="759"/>
      <c r="AF63" s="754"/>
      <c r="AG63" s="755"/>
      <c r="AH63" s="381"/>
      <c r="AI63" s="379"/>
      <c r="AJ63" s="379"/>
      <c r="AK63" s="334"/>
      <c r="AL63" s="334"/>
      <c r="AM63" s="334"/>
      <c r="AN63" s="334"/>
      <c r="AO63" s="334"/>
      <c r="AP63" s="334"/>
      <c r="AQ63" s="334"/>
      <c r="AR63" s="334"/>
      <c r="AS63" s="334"/>
      <c r="AT63" s="334"/>
      <c r="AU63" s="334"/>
      <c r="AV63" s="334"/>
      <c r="AW63" s="334"/>
      <c r="AX63" s="334"/>
      <c r="AY63" s="334"/>
      <c r="AZ63" s="334"/>
      <c r="BA63" s="335"/>
      <c r="BB63" s="334"/>
      <c r="BC63" s="334"/>
      <c r="BD63" s="334"/>
      <c r="BE63" s="334"/>
      <c r="BF63" s="334"/>
      <c r="BG63" s="43"/>
      <c r="BK63" s="147" t="s">
        <v>31</v>
      </c>
      <c r="BL63" s="51" t="s">
        <v>31</v>
      </c>
    </row>
    <row r="64" spans="1:64">
      <c r="A64" s="681">
        <v>57</v>
      </c>
      <c r="B64" s="682"/>
      <c r="C64" s="376" t="s">
        <v>49</v>
      </c>
      <c r="D64" s="377"/>
      <c r="E64" s="377"/>
      <c r="F64" s="377"/>
      <c r="G64" s="377"/>
      <c r="H64" s="377"/>
      <c r="I64" s="377"/>
      <c r="J64" s="377"/>
      <c r="K64" s="378"/>
      <c r="L64" s="379" t="s">
        <v>1336</v>
      </c>
      <c r="M64" s="379"/>
      <c r="N64" s="379"/>
      <c r="O64" s="379"/>
      <c r="P64" s="379"/>
      <c r="Q64" s="379"/>
      <c r="R64" s="379"/>
      <c r="S64" s="379"/>
      <c r="T64" s="379"/>
      <c r="U64" s="760"/>
      <c r="V64" s="761"/>
      <c r="W64" s="756"/>
      <c r="X64" s="757"/>
      <c r="Y64" s="380" t="s">
        <v>1333</v>
      </c>
      <c r="Z64" s="379"/>
      <c r="AA64" s="379"/>
      <c r="AB64" s="379"/>
      <c r="AC64" s="379"/>
      <c r="AD64" s="758">
        <v>0</v>
      </c>
      <c r="AE64" s="759"/>
      <c r="AF64" s="754"/>
      <c r="AG64" s="755"/>
      <c r="AH64" s="381"/>
      <c r="AI64" s="379"/>
      <c r="AJ64" s="379"/>
      <c r="AK64" s="334"/>
      <c r="AL64" s="334"/>
      <c r="AM64" s="334"/>
      <c r="AN64" s="334"/>
      <c r="AO64" s="334"/>
      <c r="AP64" s="334"/>
      <c r="AQ64" s="334"/>
      <c r="AR64" s="334"/>
      <c r="AS64" s="334"/>
      <c r="AT64" s="334"/>
      <c r="AU64" s="334"/>
      <c r="AV64" s="334"/>
      <c r="AW64" s="334"/>
      <c r="AX64" s="334"/>
      <c r="AY64" s="334"/>
      <c r="AZ64" s="334"/>
      <c r="BA64" s="335"/>
      <c r="BB64" s="334"/>
      <c r="BC64" s="334"/>
      <c r="BD64" s="334"/>
      <c r="BE64" s="334"/>
      <c r="BF64" s="334"/>
      <c r="BG64" s="43"/>
      <c r="BK64" s="147" t="s">
        <v>38</v>
      </c>
      <c r="BL64" s="51" t="s">
        <v>662</v>
      </c>
    </row>
    <row r="65" spans="1:64">
      <c r="A65" s="681">
        <v>58</v>
      </c>
      <c r="B65" s="682"/>
      <c r="C65" s="376" t="s">
        <v>49</v>
      </c>
      <c r="D65" s="377"/>
      <c r="E65" s="377"/>
      <c r="F65" s="377"/>
      <c r="G65" s="377"/>
      <c r="H65" s="377"/>
      <c r="I65" s="377"/>
      <c r="J65" s="377"/>
      <c r="K65" s="378"/>
      <c r="L65" s="379" t="s">
        <v>1348</v>
      </c>
      <c r="M65" s="379"/>
      <c r="N65" s="379"/>
      <c r="O65" s="379"/>
      <c r="P65" s="379"/>
      <c r="Q65" s="379"/>
      <c r="R65" s="379"/>
      <c r="S65" s="379"/>
      <c r="T65" s="379"/>
      <c r="U65" s="760"/>
      <c r="V65" s="761"/>
      <c r="W65" s="756"/>
      <c r="X65" s="757"/>
      <c r="Y65" s="380" t="s">
        <v>1333</v>
      </c>
      <c r="Z65" s="379"/>
      <c r="AA65" s="379"/>
      <c r="AB65" s="379"/>
      <c r="AC65" s="379"/>
      <c r="AD65" s="758">
        <v>0</v>
      </c>
      <c r="AE65" s="759"/>
      <c r="AF65" s="754"/>
      <c r="AG65" s="755"/>
      <c r="AH65" s="381"/>
      <c r="AI65" s="379"/>
      <c r="AJ65" s="379"/>
      <c r="AK65" s="334"/>
      <c r="AL65" s="334"/>
      <c r="AM65" s="334"/>
      <c r="AN65" s="334"/>
      <c r="AO65" s="334"/>
      <c r="AP65" s="334"/>
      <c r="AQ65" s="334"/>
      <c r="AR65" s="334"/>
      <c r="AS65" s="334"/>
      <c r="AT65" s="334"/>
      <c r="AU65" s="334"/>
      <c r="AV65" s="334"/>
      <c r="AW65" s="334"/>
      <c r="AX65" s="334"/>
      <c r="AY65" s="334"/>
      <c r="AZ65" s="334"/>
      <c r="BA65" s="335"/>
      <c r="BB65" s="334"/>
      <c r="BC65" s="334"/>
      <c r="BD65" s="334"/>
      <c r="BE65" s="334"/>
      <c r="BF65" s="334"/>
      <c r="BG65" s="43"/>
      <c r="BK65" s="147" t="s">
        <v>36</v>
      </c>
      <c r="BL65" s="51" t="s">
        <v>657</v>
      </c>
    </row>
    <row r="66" spans="1:64">
      <c r="A66" s="681">
        <v>59</v>
      </c>
      <c r="B66" s="682"/>
      <c r="C66" s="376" t="s">
        <v>49</v>
      </c>
      <c r="D66" s="377"/>
      <c r="E66" s="377"/>
      <c r="F66" s="377"/>
      <c r="G66" s="377"/>
      <c r="H66" s="377"/>
      <c r="I66" s="377"/>
      <c r="J66" s="377"/>
      <c r="K66" s="378"/>
      <c r="L66" s="379" t="s">
        <v>1349</v>
      </c>
      <c r="M66" s="379"/>
      <c r="N66" s="379"/>
      <c r="O66" s="379"/>
      <c r="P66" s="379"/>
      <c r="Q66" s="379"/>
      <c r="R66" s="379"/>
      <c r="S66" s="379"/>
      <c r="T66" s="379"/>
      <c r="U66" s="760"/>
      <c r="V66" s="761"/>
      <c r="W66" s="756"/>
      <c r="X66" s="757"/>
      <c r="Y66" s="380" t="s">
        <v>1333</v>
      </c>
      <c r="Z66" s="379"/>
      <c r="AA66" s="379"/>
      <c r="AB66" s="379"/>
      <c r="AC66" s="379"/>
      <c r="AD66" s="758">
        <v>0</v>
      </c>
      <c r="AE66" s="759"/>
      <c r="AF66" s="754"/>
      <c r="AG66" s="755"/>
      <c r="AH66" s="382"/>
      <c r="AI66" s="383"/>
      <c r="AJ66" s="383"/>
      <c r="AK66" s="334"/>
      <c r="AL66" s="334"/>
      <c r="AM66" s="334"/>
      <c r="AN66" s="334"/>
      <c r="AO66" s="334"/>
      <c r="AP66" s="334"/>
      <c r="AQ66" s="334"/>
      <c r="AR66" s="334"/>
      <c r="AS66" s="334"/>
      <c r="AT66" s="334"/>
      <c r="AU66" s="334"/>
      <c r="AV66" s="334"/>
      <c r="AW66" s="334"/>
      <c r="AX66" s="334"/>
      <c r="AY66" s="334"/>
      <c r="AZ66" s="334"/>
      <c r="BA66" s="335"/>
      <c r="BB66" s="334"/>
      <c r="BC66" s="334"/>
      <c r="BD66" s="334"/>
      <c r="BE66" s="334"/>
      <c r="BF66" s="334"/>
      <c r="BG66" s="43"/>
      <c r="BK66" s="147" t="s">
        <v>44</v>
      </c>
      <c r="BL66" s="51" t="s">
        <v>338</v>
      </c>
    </row>
    <row r="67" spans="1:64">
      <c r="A67" s="681">
        <v>60</v>
      </c>
      <c r="B67" s="682"/>
      <c r="C67" s="376" t="s">
        <v>49</v>
      </c>
      <c r="D67" s="377"/>
      <c r="E67" s="377"/>
      <c r="F67" s="377"/>
      <c r="G67" s="377"/>
      <c r="H67" s="377"/>
      <c r="I67" s="377"/>
      <c r="J67" s="377"/>
      <c r="K67" s="378"/>
      <c r="L67" s="379" t="s">
        <v>1350</v>
      </c>
      <c r="M67" s="379"/>
      <c r="N67" s="379"/>
      <c r="O67" s="379"/>
      <c r="P67" s="379"/>
      <c r="Q67" s="379"/>
      <c r="R67" s="379"/>
      <c r="S67" s="379"/>
      <c r="T67" s="379"/>
      <c r="U67" s="760"/>
      <c r="V67" s="761"/>
      <c r="W67" s="756"/>
      <c r="X67" s="757"/>
      <c r="Y67" s="380" t="s">
        <v>1333</v>
      </c>
      <c r="Z67" s="379"/>
      <c r="AA67" s="379"/>
      <c r="AB67" s="379"/>
      <c r="AC67" s="379"/>
      <c r="AD67" s="758">
        <v>0</v>
      </c>
      <c r="AE67" s="759"/>
      <c r="AF67" s="754"/>
      <c r="AG67" s="755"/>
      <c r="AH67" s="382"/>
      <c r="AI67" s="383"/>
      <c r="AJ67" s="383"/>
      <c r="AK67" s="334"/>
      <c r="AL67" s="334"/>
      <c r="AM67" s="334"/>
      <c r="AN67" s="334"/>
      <c r="AO67" s="334"/>
      <c r="AP67" s="334"/>
      <c r="AQ67" s="334"/>
      <c r="AR67" s="334"/>
      <c r="AS67" s="334"/>
      <c r="AT67" s="334"/>
      <c r="AU67" s="334"/>
      <c r="AV67" s="334"/>
      <c r="AW67" s="334"/>
      <c r="AX67" s="334"/>
      <c r="AY67" s="334"/>
      <c r="AZ67" s="334"/>
      <c r="BA67" s="335"/>
      <c r="BB67" s="334"/>
      <c r="BC67" s="334"/>
      <c r="BD67" s="334"/>
      <c r="BE67" s="334"/>
      <c r="BF67" s="334"/>
      <c r="BG67" s="43"/>
      <c r="BH67" s="36"/>
      <c r="BK67" s="147" t="s">
        <v>280</v>
      </c>
      <c r="BL67" s="51" t="s">
        <v>542</v>
      </c>
    </row>
    <row r="68" spans="1:64">
      <c r="A68" s="681">
        <v>61</v>
      </c>
      <c r="B68" s="682"/>
      <c r="C68" s="376" t="s">
        <v>49</v>
      </c>
      <c r="D68" s="377"/>
      <c r="E68" s="377"/>
      <c r="F68" s="377"/>
      <c r="G68" s="377"/>
      <c r="H68" s="377"/>
      <c r="I68" s="377"/>
      <c r="J68" s="377"/>
      <c r="K68" s="378"/>
      <c r="L68" s="379" t="s">
        <v>1351</v>
      </c>
      <c r="M68" s="379"/>
      <c r="N68" s="379"/>
      <c r="O68" s="379"/>
      <c r="P68" s="379"/>
      <c r="Q68" s="379"/>
      <c r="R68" s="379"/>
      <c r="S68" s="379"/>
      <c r="T68" s="379"/>
      <c r="U68" s="760"/>
      <c r="V68" s="761"/>
      <c r="W68" s="756"/>
      <c r="X68" s="757"/>
      <c r="Y68" s="380" t="s">
        <v>1333</v>
      </c>
      <c r="Z68" s="379"/>
      <c r="AA68" s="379"/>
      <c r="AB68" s="379"/>
      <c r="AC68" s="379"/>
      <c r="AD68" s="758">
        <v>0</v>
      </c>
      <c r="AE68" s="759"/>
      <c r="AF68" s="754"/>
      <c r="AG68" s="755"/>
      <c r="AH68" s="382"/>
      <c r="AI68" s="383"/>
      <c r="AJ68" s="383"/>
      <c r="AK68" s="334"/>
      <c r="AL68" s="334"/>
      <c r="AM68" s="334"/>
      <c r="AN68" s="334"/>
      <c r="AO68" s="334"/>
      <c r="AP68" s="334"/>
      <c r="AQ68" s="334"/>
      <c r="AR68" s="331"/>
      <c r="AS68" s="331"/>
      <c r="AT68" s="331"/>
      <c r="AU68" s="331"/>
      <c r="AV68" s="331"/>
      <c r="AW68" s="331"/>
      <c r="AX68" s="331"/>
      <c r="AY68" s="331"/>
      <c r="AZ68" s="331"/>
      <c r="BA68" s="332"/>
      <c r="BB68" s="334"/>
      <c r="BC68" s="334"/>
      <c r="BD68" s="334"/>
      <c r="BE68" s="334"/>
      <c r="BF68" s="334"/>
      <c r="BG68" s="43"/>
      <c r="BH68" s="36"/>
      <c r="BK68" s="147" t="s">
        <v>285</v>
      </c>
      <c r="BL68" s="51" t="s">
        <v>550</v>
      </c>
    </row>
    <row r="69" spans="1:64">
      <c r="A69" s="681">
        <v>62</v>
      </c>
      <c r="B69" s="682"/>
      <c r="C69" s="376" t="s">
        <v>49</v>
      </c>
      <c r="D69" s="377"/>
      <c r="E69" s="377"/>
      <c r="F69" s="377"/>
      <c r="G69" s="377"/>
      <c r="H69" s="377"/>
      <c r="I69" s="377"/>
      <c r="J69" s="377"/>
      <c r="K69" s="378"/>
      <c r="L69" s="379" t="s">
        <v>1352</v>
      </c>
      <c r="M69" s="379"/>
      <c r="N69" s="379"/>
      <c r="O69" s="379"/>
      <c r="P69" s="379"/>
      <c r="Q69" s="379"/>
      <c r="R69" s="379"/>
      <c r="S69" s="379"/>
      <c r="T69" s="379"/>
      <c r="U69" s="760"/>
      <c r="V69" s="761"/>
      <c r="W69" s="756"/>
      <c r="X69" s="757"/>
      <c r="Y69" s="380" t="s">
        <v>1333</v>
      </c>
      <c r="Z69" s="379"/>
      <c r="AA69" s="379"/>
      <c r="AB69" s="379"/>
      <c r="AC69" s="379"/>
      <c r="AD69" s="758">
        <v>0</v>
      </c>
      <c r="AE69" s="759"/>
      <c r="AF69" s="754"/>
      <c r="AG69" s="755"/>
      <c r="AH69" s="382"/>
      <c r="AI69" s="383"/>
      <c r="AJ69" s="383"/>
      <c r="AK69" s="334"/>
      <c r="AL69" s="334"/>
      <c r="AM69" s="334"/>
      <c r="AN69" s="334"/>
      <c r="AO69" s="334"/>
      <c r="AP69" s="334"/>
      <c r="AQ69" s="334"/>
      <c r="AR69" s="334"/>
      <c r="AS69" s="334"/>
      <c r="AT69" s="334"/>
      <c r="AU69" s="334"/>
      <c r="AV69" s="334"/>
      <c r="AW69" s="334"/>
      <c r="AX69" s="334"/>
      <c r="AY69" s="334"/>
      <c r="AZ69" s="334"/>
      <c r="BA69" s="335"/>
      <c r="BB69" s="48"/>
      <c r="BC69" s="48"/>
      <c r="BD69" s="48"/>
      <c r="BE69" s="48"/>
      <c r="BF69" s="48"/>
      <c r="BG69" s="49"/>
      <c r="BK69" s="147" t="s">
        <v>317</v>
      </c>
      <c r="BL69" s="51" t="s">
        <v>311</v>
      </c>
    </row>
    <row r="70" spans="1:64">
      <c r="A70" s="681">
        <v>63</v>
      </c>
      <c r="B70" s="682"/>
      <c r="C70" s="376" t="s">
        <v>49</v>
      </c>
      <c r="D70" s="377"/>
      <c r="E70" s="377"/>
      <c r="F70" s="377"/>
      <c r="G70" s="377"/>
      <c r="H70" s="377"/>
      <c r="I70" s="377"/>
      <c r="J70" s="377"/>
      <c r="K70" s="378"/>
      <c r="L70" s="379" t="s">
        <v>1353</v>
      </c>
      <c r="M70" s="379"/>
      <c r="N70" s="379"/>
      <c r="O70" s="379"/>
      <c r="P70" s="379"/>
      <c r="Q70" s="379"/>
      <c r="R70" s="379"/>
      <c r="S70" s="379"/>
      <c r="T70" s="379"/>
      <c r="U70" s="760"/>
      <c r="V70" s="761"/>
      <c r="W70" s="756"/>
      <c r="X70" s="757"/>
      <c r="Y70" s="380" t="s">
        <v>1333</v>
      </c>
      <c r="Z70" s="379"/>
      <c r="AA70" s="379"/>
      <c r="AB70" s="379"/>
      <c r="AC70" s="379"/>
      <c r="AD70" s="758">
        <v>0</v>
      </c>
      <c r="AE70" s="759"/>
      <c r="AF70" s="754"/>
      <c r="AG70" s="755"/>
      <c r="AH70" s="381"/>
      <c r="AI70" s="379"/>
      <c r="AJ70" s="379"/>
      <c r="AK70" s="334"/>
      <c r="AL70" s="334"/>
      <c r="AM70" s="334"/>
      <c r="AN70" s="334"/>
      <c r="AO70" s="334"/>
      <c r="AP70" s="334"/>
      <c r="AQ70" s="334"/>
      <c r="AR70" s="334"/>
      <c r="AS70" s="334"/>
      <c r="AT70" s="334"/>
      <c r="AU70" s="334"/>
      <c r="AV70" s="334"/>
      <c r="AW70" s="334"/>
      <c r="AX70" s="334"/>
      <c r="AY70" s="334"/>
      <c r="AZ70" s="334"/>
      <c r="BA70" s="335"/>
      <c r="BB70" s="334"/>
      <c r="BC70" s="334"/>
      <c r="BD70" s="334"/>
      <c r="BE70" s="334"/>
      <c r="BF70" s="334"/>
      <c r="BG70" s="43"/>
      <c r="BK70" s="147" t="s">
        <v>316</v>
      </c>
      <c r="BL70" s="51" t="s">
        <v>549</v>
      </c>
    </row>
    <row r="71" spans="1:64">
      <c r="A71" s="681">
        <v>64</v>
      </c>
      <c r="B71" s="682"/>
      <c r="C71" s="376" t="s">
        <v>1337</v>
      </c>
      <c r="D71" s="377"/>
      <c r="E71" s="377"/>
      <c r="F71" s="377"/>
      <c r="G71" s="377"/>
      <c r="H71" s="377"/>
      <c r="I71" s="377"/>
      <c r="J71" s="377"/>
      <c r="K71" s="378"/>
      <c r="L71" s="379" t="s">
        <v>1338</v>
      </c>
      <c r="M71" s="379"/>
      <c r="N71" s="379"/>
      <c r="O71" s="379"/>
      <c r="P71" s="379"/>
      <c r="Q71" s="379"/>
      <c r="R71" s="379"/>
      <c r="S71" s="379"/>
      <c r="T71" s="379"/>
      <c r="U71" s="760"/>
      <c r="V71" s="761"/>
      <c r="W71" s="756"/>
      <c r="X71" s="757"/>
      <c r="Y71" s="380" t="s">
        <v>199</v>
      </c>
      <c r="Z71" s="379"/>
      <c r="AA71" s="379"/>
      <c r="AB71" s="379"/>
      <c r="AC71" s="379"/>
      <c r="AD71" s="758">
        <v>32</v>
      </c>
      <c r="AE71" s="759"/>
      <c r="AF71" s="754"/>
      <c r="AG71" s="755"/>
      <c r="AH71" s="382" t="s">
        <v>1337</v>
      </c>
      <c r="AI71" s="383"/>
      <c r="AJ71" s="383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5"/>
      <c r="BB71" s="334"/>
      <c r="BC71" s="334"/>
      <c r="BD71" s="334"/>
      <c r="BE71" s="334"/>
      <c r="BF71" s="334"/>
      <c r="BG71" s="43"/>
      <c r="BK71" s="147" t="s">
        <v>635</v>
      </c>
      <c r="BL71" s="51" t="s">
        <v>663</v>
      </c>
    </row>
    <row r="72" spans="1:64">
      <c r="A72" s="681">
        <v>65</v>
      </c>
      <c r="B72" s="682"/>
      <c r="C72" s="376" t="s">
        <v>1339</v>
      </c>
      <c r="D72" s="377"/>
      <c r="E72" s="377"/>
      <c r="F72" s="377"/>
      <c r="G72" s="377"/>
      <c r="H72" s="377"/>
      <c r="I72" s="377"/>
      <c r="J72" s="377"/>
      <c r="K72" s="378"/>
      <c r="L72" s="379" t="s">
        <v>1340</v>
      </c>
      <c r="M72" s="379"/>
      <c r="N72" s="379"/>
      <c r="O72" s="379"/>
      <c r="P72" s="379"/>
      <c r="Q72" s="379"/>
      <c r="R72" s="379"/>
      <c r="S72" s="379"/>
      <c r="T72" s="379"/>
      <c r="U72" s="760"/>
      <c r="V72" s="761"/>
      <c r="W72" s="756"/>
      <c r="X72" s="757"/>
      <c r="Y72" s="380" t="s">
        <v>199</v>
      </c>
      <c r="Z72" s="379"/>
      <c r="AA72" s="379"/>
      <c r="AB72" s="379"/>
      <c r="AC72" s="379"/>
      <c r="AD72" s="758">
        <v>32</v>
      </c>
      <c r="AE72" s="759"/>
      <c r="AF72" s="754"/>
      <c r="AG72" s="755"/>
      <c r="AH72" s="382" t="s">
        <v>1341</v>
      </c>
      <c r="AI72" s="383"/>
      <c r="AJ72" s="383"/>
      <c r="AK72" s="334"/>
      <c r="AL72" s="334"/>
      <c r="AM72" s="334"/>
      <c r="AN72" s="334"/>
      <c r="AO72" s="334"/>
      <c r="AP72" s="331"/>
      <c r="AQ72" s="331"/>
      <c r="AR72" s="334"/>
      <c r="AS72" s="334"/>
      <c r="AT72" s="334"/>
      <c r="AU72" s="334"/>
      <c r="AV72" s="334"/>
      <c r="AW72" s="334"/>
      <c r="AX72" s="334"/>
      <c r="AY72" s="334"/>
      <c r="AZ72" s="334"/>
      <c r="BA72" s="335"/>
      <c r="BB72" s="334"/>
      <c r="BC72" s="334"/>
      <c r="BD72" s="334"/>
      <c r="BE72" s="334"/>
      <c r="BF72" s="334"/>
      <c r="BG72" s="43"/>
      <c r="BK72" s="147" t="s">
        <v>636</v>
      </c>
      <c r="BL72" s="51" t="s">
        <v>664</v>
      </c>
    </row>
    <row r="73" spans="1:64">
      <c r="A73" s="681">
        <v>66</v>
      </c>
      <c r="B73" s="682"/>
      <c r="C73" s="376" t="s">
        <v>1342</v>
      </c>
      <c r="D73" s="377"/>
      <c r="E73" s="377"/>
      <c r="F73" s="377"/>
      <c r="G73" s="377"/>
      <c r="H73" s="377"/>
      <c r="I73" s="377"/>
      <c r="J73" s="377"/>
      <c r="K73" s="378"/>
      <c r="L73" s="379" t="s">
        <v>1343</v>
      </c>
      <c r="M73" s="379"/>
      <c r="N73" s="379"/>
      <c r="O73" s="379"/>
      <c r="P73" s="379"/>
      <c r="Q73" s="379"/>
      <c r="R73" s="379"/>
      <c r="S73" s="379"/>
      <c r="T73" s="379"/>
      <c r="U73" s="760"/>
      <c r="V73" s="761"/>
      <c r="W73" s="756"/>
      <c r="X73" s="757"/>
      <c r="Y73" s="380" t="s">
        <v>199</v>
      </c>
      <c r="Z73" s="379"/>
      <c r="AA73" s="379"/>
      <c r="AB73" s="379"/>
      <c r="AC73" s="379"/>
      <c r="AD73" s="758">
        <v>2</v>
      </c>
      <c r="AE73" s="759"/>
      <c r="AF73" s="754"/>
      <c r="AG73" s="755"/>
      <c r="AH73" s="382" t="s">
        <v>1344</v>
      </c>
      <c r="AI73" s="383"/>
      <c r="AJ73" s="383"/>
      <c r="AK73" s="334"/>
      <c r="AP73" s="334"/>
      <c r="AQ73" s="334"/>
      <c r="AR73" s="334"/>
      <c r="AS73" s="334"/>
      <c r="AT73" s="334"/>
      <c r="AU73" s="334"/>
      <c r="AV73" s="334"/>
      <c r="AW73" s="334"/>
      <c r="AX73" s="334"/>
      <c r="AY73" s="334"/>
      <c r="AZ73" s="334"/>
      <c r="BA73" s="335"/>
      <c r="BB73" s="334"/>
      <c r="BC73" s="334"/>
      <c r="BD73" s="334"/>
      <c r="BE73" s="334"/>
      <c r="BF73" s="334"/>
      <c r="BG73" s="43"/>
      <c r="BK73" s="147" t="s">
        <v>282</v>
      </c>
      <c r="BL73" s="51" t="s">
        <v>665</v>
      </c>
    </row>
    <row r="74" spans="1:64">
      <c r="A74" s="681">
        <v>67</v>
      </c>
      <c r="B74" s="682"/>
      <c r="C74" s="376" t="s">
        <v>1345</v>
      </c>
      <c r="D74" s="377"/>
      <c r="E74" s="377"/>
      <c r="F74" s="377"/>
      <c r="G74" s="377"/>
      <c r="H74" s="377"/>
      <c r="I74" s="377"/>
      <c r="J74" s="377"/>
      <c r="K74" s="378"/>
      <c r="L74" s="379" t="s">
        <v>1346</v>
      </c>
      <c r="M74" s="379"/>
      <c r="N74" s="379"/>
      <c r="O74" s="379"/>
      <c r="P74" s="379"/>
      <c r="Q74" s="379"/>
      <c r="R74" s="379"/>
      <c r="S74" s="379"/>
      <c r="T74" s="379"/>
      <c r="U74" s="760"/>
      <c r="V74" s="761"/>
      <c r="W74" s="756"/>
      <c r="X74" s="757"/>
      <c r="Y74" s="380" t="s">
        <v>199</v>
      </c>
      <c r="Z74" s="379"/>
      <c r="AA74" s="379"/>
      <c r="AB74" s="379"/>
      <c r="AC74" s="379"/>
      <c r="AD74" s="758">
        <v>2</v>
      </c>
      <c r="AE74" s="759"/>
      <c r="AF74" s="754"/>
      <c r="AG74" s="755"/>
      <c r="AH74" s="382" t="s">
        <v>1347</v>
      </c>
      <c r="AI74" s="383"/>
      <c r="AJ74" s="383"/>
      <c r="AK74" s="334"/>
      <c r="AL74" s="334"/>
      <c r="AM74" s="334"/>
      <c r="AN74" s="334"/>
      <c r="AO74" s="334"/>
      <c r="AP74" s="334"/>
      <c r="AQ74" s="334"/>
      <c r="AR74" s="334"/>
      <c r="AS74" s="334"/>
      <c r="AT74" s="334"/>
      <c r="AU74" s="334"/>
      <c r="AV74" s="334"/>
      <c r="AW74" s="334"/>
      <c r="AX74" s="334"/>
      <c r="AY74" s="334"/>
      <c r="AZ74" s="334"/>
      <c r="BA74" s="335"/>
      <c r="BB74" s="334"/>
      <c r="BC74" s="334"/>
      <c r="BD74" s="334"/>
      <c r="BE74" s="334"/>
      <c r="BF74" s="334"/>
      <c r="BG74" s="43"/>
      <c r="BK74" s="147" t="s">
        <v>644</v>
      </c>
      <c r="BL74" s="51" t="s">
        <v>666</v>
      </c>
    </row>
    <row r="75" spans="1:64">
      <c r="A75" s="681"/>
      <c r="B75" s="682"/>
      <c r="C75" s="59"/>
      <c r="D75" s="334"/>
      <c r="E75" s="334"/>
      <c r="F75" s="334"/>
      <c r="G75" s="334"/>
      <c r="H75" s="334"/>
      <c r="I75" s="334"/>
      <c r="J75" s="334"/>
      <c r="K75" s="335"/>
      <c r="L75" s="36"/>
      <c r="M75" s="334"/>
      <c r="N75" s="334"/>
      <c r="O75" s="334"/>
      <c r="P75" s="334"/>
      <c r="Q75" s="334"/>
      <c r="R75" s="334"/>
      <c r="S75" s="334"/>
      <c r="T75" s="334"/>
      <c r="U75" s="683"/>
      <c r="V75" s="682"/>
      <c r="W75" s="684"/>
      <c r="X75" s="685"/>
      <c r="Y75" s="371"/>
      <c r="Z75" s="366"/>
      <c r="AA75" s="366"/>
      <c r="AB75" s="366"/>
      <c r="AC75" s="367"/>
      <c r="AD75" s="368"/>
      <c r="AE75" s="369"/>
      <c r="AF75" s="368"/>
      <c r="AG75" s="369"/>
      <c r="AH75" s="365"/>
      <c r="AI75" s="334"/>
      <c r="AJ75" s="334"/>
      <c r="AK75" s="334"/>
      <c r="AL75" s="334"/>
      <c r="AM75" s="334"/>
      <c r="AN75" s="334"/>
      <c r="AO75" s="334"/>
      <c r="AP75" s="334"/>
      <c r="AQ75" s="334"/>
      <c r="AR75" s="334"/>
      <c r="AS75" s="334"/>
      <c r="AT75" s="334"/>
      <c r="AU75" s="334"/>
      <c r="AV75" s="334"/>
      <c r="AW75" s="334"/>
      <c r="AX75" s="334"/>
      <c r="AY75" s="334"/>
      <c r="AZ75" s="334"/>
      <c r="BA75" s="335"/>
      <c r="BB75" s="334"/>
      <c r="BC75" s="334"/>
      <c r="BD75" s="334"/>
      <c r="BE75" s="334"/>
      <c r="BF75" s="334"/>
      <c r="BG75" s="43"/>
      <c r="BK75" s="147" t="s">
        <v>645</v>
      </c>
      <c r="BL75" s="51" t="s">
        <v>667</v>
      </c>
    </row>
    <row r="76" spans="1:64">
      <c r="A76" s="681"/>
      <c r="B76" s="682"/>
      <c r="C76" s="59"/>
      <c r="D76" s="334"/>
      <c r="E76" s="334"/>
      <c r="F76" s="334"/>
      <c r="G76" s="334"/>
      <c r="H76" s="334"/>
      <c r="I76" s="334"/>
      <c r="J76" s="334"/>
      <c r="K76" s="335"/>
      <c r="L76" s="36"/>
      <c r="M76" s="334"/>
      <c r="N76" s="334"/>
      <c r="O76" s="334"/>
      <c r="P76" s="334"/>
      <c r="Q76" s="334"/>
      <c r="R76" s="334"/>
      <c r="S76" s="334"/>
      <c r="T76" s="334"/>
      <c r="U76" s="683"/>
      <c r="V76" s="682"/>
      <c r="W76" s="684"/>
      <c r="X76" s="685"/>
      <c r="Y76" s="365"/>
      <c r="Z76" s="366"/>
      <c r="AA76" s="366"/>
      <c r="AB76" s="366"/>
      <c r="AC76" s="367"/>
      <c r="AD76" s="368"/>
      <c r="AE76" s="369"/>
      <c r="AF76" s="368"/>
      <c r="AG76" s="369"/>
      <c r="AH76" s="333"/>
      <c r="AI76" s="334"/>
      <c r="AJ76" s="334"/>
      <c r="AK76" s="334"/>
      <c r="AL76" s="334"/>
      <c r="AM76" s="334"/>
      <c r="AN76" s="334"/>
      <c r="AO76" s="334"/>
      <c r="AP76" s="334"/>
      <c r="AQ76" s="334"/>
      <c r="AR76" s="334"/>
      <c r="AS76" s="334"/>
      <c r="AT76" s="334"/>
      <c r="AU76" s="334"/>
      <c r="AV76" s="334"/>
      <c r="AW76" s="334"/>
      <c r="AX76" s="334"/>
      <c r="AY76" s="334"/>
      <c r="AZ76" s="334"/>
      <c r="BA76" s="335"/>
      <c r="BB76" s="334"/>
      <c r="BC76" s="334"/>
      <c r="BD76" s="334"/>
      <c r="BE76" s="334"/>
      <c r="BF76" s="334"/>
      <c r="BG76" s="43"/>
      <c r="BK76" s="147" t="s">
        <v>647</v>
      </c>
      <c r="BL76" s="51" t="s">
        <v>551</v>
      </c>
    </row>
    <row r="77" spans="1:64">
      <c r="A77" s="681"/>
      <c r="B77" s="682"/>
      <c r="C77" s="59"/>
      <c r="D77" s="334"/>
      <c r="E77" s="334"/>
      <c r="F77" s="334"/>
      <c r="G77" s="334"/>
      <c r="H77" s="334"/>
      <c r="I77" s="334"/>
      <c r="J77" s="334"/>
      <c r="K77" s="335"/>
      <c r="L77" s="1"/>
      <c r="M77" s="334"/>
      <c r="N77" s="334"/>
      <c r="O77" s="334"/>
      <c r="P77" s="334"/>
      <c r="Q77" s="334"/>
      <c r="R77" s="334"/>
      <c r="S77" s="334"/>
      <c r="T77" s="334"/>
      <c r="U77" s="683"/>
      <c r="V77" s="682"/>
      <c r="W77" s="684"/>
      <c r="X77" s="685"/>
      <c r="Y77" s="365"/>
      <c r="Z77" s="366"/>
      <c r="AA77" s="366"/>
      <c r="AB77" s="366"/>
      <c r="AC77" s="367"/>
      <c r="AD77" s="368"/>
      <c r="AE77" s="369"/>
      <c r="AF77" s="368"/>
      <c r="AG77" s="369"/>
      <c r="AH77" s="333"/>
      <c r="AI77" s="334"/>
      <c r="AJ77" s="334"/>
      <c r="AK77" s="334"/>
      <c r="AL77" s="334"/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5"/>
      <c r="BB77" s="334"/>
      <c r="BC77" s="334"/>
      <c r="BD77" s="334"/>
      <c r="BE77" s="334"/>
      <c r="BF77" s="334"/>
      <c r="BG77" s="43"/>
      <c r="BK77" s="147" t="s">
        <v>649</v>
      </c>
      <c r="BL77" s="51" t="s">
        <v>555</v>
      </c>
    </row>
    <row r="78" spans="1:64">
      <c r="A78" s="681"/>
      <c r="B78" s="682"/>
      <c r="C78" s="59"/>
      <c r="D78" s="168"/>
      <c r="E78" s="168"/>
      <c r="F78" s="168"/>
      <c r="G78" s="168"/>
      <c r="H78" s="168"/>
      <c r="I78" s="168"/>
      <c r="J78" s="168"/>
      <c r="K78" s="169"/>
      <c r="L78" s="36"/>
      <c r="M78" s="168"/>
      <c r="N78" s="168"/>
      <c r="O78" s="168"/>
      <c r="P78" s="168"/>
      <c r="Q78" s="168"/>
      <c r="R78" s="168"/>
      <c r="S78" s="168"/>
      <c r="T78" s="168"/>
      <c r="U78" s="683"/>
      <c r="V78" s="682"/>
      <c r="W78" s="684"/>
      <c r="X78" s="685"/>
      <c r="Y78" s="150"/>
      <c r="Z78" s="151"/>
      <c r="AA78" s="151"/>
      <c r="AB78" s="151"/>
      <c r="AC78" s="152"/>
      <c r="AD78" s="148"/>
      <c r="AE78" s="149"/>
      <c r="AF78" s="148"/>
      <c r="AG78" s="149"/>
      <c r="AH78" s="167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9"/>
      <c r="BB78" s="168"/>
      <c r="BC78" s="168"/>
      <c r="BD78" s="168"/>
      <c r="BE78" s="168"/>
      <c r="BF78" s="168"/>
      <c r="BG78" s="43"/>
      <c r="BK78" s="147" t="s">
        <v>638</v>
      </c>
      <c r="BL78" s="51" t="s">
        <v>668</v>
      </c>
    </row>
    <row r="79" spans="1:64" ht="16.2" thickBot="1">
      <c r="A79" s="162"/>
      <c r="B79" s="162"/>
      <c r="C79" s="161"/>
      <c r="D79" s="162"/>
      <c r="E79" s="162"/>
      <c r="F79" s="162"/>
      <c r="G79" s="162"/>
      <c r="H79" s="162"/>
      <c r="I79" s="162"/>
      <c r="J79" s="162"/>
      <c r="K79" s="163"/>
      <c r="L79" s="162"/>
      <c r="M79" s="162"/>
      <c r="N79" s="162"/>
      <c r="O79" s="162"/>
      <c r="P79" s="162"/>
      <c r="Q79" s="162"/>
      <c r="R79" s="162"/>
      <c r="S79" s="162"/>
      <c r="T79" s="162"/>
      <c r="U79" s="677"/>
      <c r="V79" s="678"/>
      <c r="W79" s="677"/>
      <c r="X79" s="678"/>
      <c r="Y79" s="161"/>
      <c r="Z79" s="162"/>
      <c r="AA79" s="162"/>
      <c r="AB79" s="162"/>
      <c r="AC79" s="163"/>
      <c r="AD79" s="679"/>
      <c r="AE79" s="680"/>
      <c r="AF79" s="679"/>
      <c r="AG79" s="680"/>
      <c r="AH79" s="161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3"/>
      <c r="BK79" s="147" t="s">
        <v>640</v>
      </c>
      <c r="BL79" s="51" t="s">
        <v>669</v>
      </c>
    </row>
    <row r="80" spans="1:64">
      <c r="BK80" s="147" t="s">
        <v>641</v>
      </c>
      <c r="BL80" s="51" t="s">
        <v>670</v>
      </c>
    </row>
    <row r="81" spans="30:64">
      <c r="BK81" s="147" t="s">
        <v>642</v>
      </c>
      <c r="BL81" s="51" t="s">
        <v>671</v>
      </c>
    </row>
    <row r="82" spans="30:64">
      <c r="BK82" s="147" t="s">
        <v>29</v>
      </c>
      <c r="BL82" s="51" t="s">
        <v>49</v>
      </c>
    </row>
    <row r="83" spans="30:64">
      <c r="BK83" s="147" t="s">
        <v>654</v>
      </c>
      <c r="BL83" s="51" t="s">
        <v>672</v>
      </c>
    </row>
    <row r="84" spans="30:64"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  <c r="AX84" s="228"/>
      <c r="AY84" s="228"/>
      <c r="AZ84" s="228"/>
      <c r="BK84" s="147" t="s">
        <v>296</v>
      </c>
      <c r="BL84" s="51" t="s">
        <v>673</v>
      </c>
    </row>
    <row r="85" spans="30:64">
      <c r="BK85" s="147" t="s">
        <v>298</v>
      </c>
      <c r="BL85" s="51" t="s">
        <v>661</v>
      </c>
    </row>
    <row r="86" spans="30:64">
      <c r="BK86" s="147" t="s">
        <v>299</v>
      </c>
      <c r="BL86" s="51" t="s">
        <v>674</v>
      </c>
    </row>
    <row r="87" spans="30:64">
      <c r="BK87" s="101"/>
      <c r="BL87" s="51"/>
    </row>
    <row r="88" spans="30:64">
      <c r="BK88" s="497" t="s">
        <v>1618</v>
      </c>
      <c r="BL88" s="498"/>
    </row>
    <row r="89" spans="30:64">
      <c r="BK89" s="499" t="s">
        <v>1619</v>
      </c>
      <c r="BL89" s="500"/>
    </row>
    <row r="90" spans="30:64">
      <c r="BK90" s="494" t="s">
        <v>1240</v>
      </c>
      <c r="BL90" s="495"/>
    </row>
    <row r="91" spans="30:64">
      <c r="AD91" s="295"/>
      <c r="AE91" s="295"/>
      <c r="AF91" s="295"/>
      <c r="AG91" s="295"/>
      <c r="BK91" s="343" t="s">
        <v>41</v>
      </c>
      <c r="BL91" s="52" t="s">
        <v>1239</v>
      </c>
    </row>
    <row r="92" spans="30:64">
      <c r="AD92" s="295"/>
      <c r="AE92" s="295"/>
      <c r="AF92" s="295"/>
      <c r="AG92" s="295"/>
      <c r="BK92" s="50" t="s">
        <v>1230</v>
      </c>
      <c r="BL92" s="52" t="s">
        <v>1230</v>
      </c>
    </row>
    <row r="93" spans="30:64">
      <c r="AD93" s="295"/>
      <c r="AE93" s="295"/>
      <c r="AF93" s="295"/>
      <c r="AG93" s="295"/>
      <c r="BK93" s="50" t="s">
        <v>1231</v>
      </c>
      <c r="BL93" s="52" t="s">
        <v>1231</v>
      </c>
    </row>
    <row r="94" spans="30:64">
      <c r="AD94" s="295"/>
      <c r="AE94" s="295"/>
      <c r="AF94" s="295"/>
      <c r="AG94" s="295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  <c r="AX94" s="228"/>
      <c r="AY94" s="228"/>
      <c r="AZ94" s="228"/>
      <c r="BK94" s="50" t="s">
        <v>1232</v>
      </c>
      <c r="BL94" s="52" t="s">
        <v>1232</v>
      </c>
    </row>
    <row r="95" spans="30:64">
      <c r="AD95" s="295"/>
      <c r="AE95" s="295"/>
      <c r="AF95" s="295"/>
      <c r="AG95" s="295"/>
      <c r="BK95" s="50" t="s">
        <v>1233</v>
      </c>
      <c r="BL95" s="52" t="s">
        <v>1233</v>
      </c>
    </row>
    <row r="96" spans="30:64">
      <c r="AD96" s="295"/>
      <c r="AE96" s="295"/>
      <c r="AF96" s="295"/>
      <c r="AG96" s="295"/>
      <c r="BK96" s="50" t="s">
        <v>904</v>
      </c>
      <c r="BL96" s="52" t="s">
        <v>905</v>
      </c>
    </row>
    <row r="97" spans="9:64">
      <c r="AD97" s="295"/>
      <c r="AE97" s="295"/>
      <c r="AF97" s="295"/>
      <c r="AG97" s="295"/>
      <c r="BK97" s="343" t="s">
        <v>301</v>
      </c>
      <c r="BL97" s="52" t="s">
        <v>899</v>
      </c>
    </row>
    <row r="98" spans="9:64">
      <c r="AD98" s="295"/>
      <c r="AE98" s="295"/>
      <c r="AF98" s="295"/>
      <c r="AG98" s="295"/>
      <c r="BK98" s="50" t="s">
        <v>900</v>
      </c>
      <c r="BL98" s="52" t="s">
        <v>901</v>
      </c>
    </row>
    <row r="99" spans="9:64">
      <c r="AD99" s="295"/>
      <c r="AE99" s="295"/>
      <c r="AF99" s="295"/>
      <c r="AG99" s="295"/>
      <c r="BK99" s="120"/>
      <c r="BL99" s="52"/>
    </row>
    <row r="100" spans="9:64">
      <c r="AD100" s="295"/>
      <c r="AE100" s="295"/>
      <c r="AF100" s="295"/>
      <c r="AG100" s="295"/>
      <c r="BK100" s="120"/>
      <c r="BL100" s="52"/>
    </row>
    <row r="101" spans="9:64">
      <c r="AD101" s="295"/>
      <c r="AE101" s="295"/>
      <c r="AF101" s="295"/>
      <c r="AG101" s="295"/>
      <c r="BK101" s="120"/>
      <c r="BL101" s="52"/>
    </row>
    <row r="102" spans="9:64">
      <c r="AD102" s="295"/>
      <c r="AE102" s="295"/>
      <c r="AF102" s="295"/>
      <c r="AG102" s="295"/>
      <c r="BK102" s="120"/>
      <c r="BL102" s="120"/>
    </row>
    <row r="103" spans="9:64">
      <c r="AD103" s="295"/>
      <c r="AE103" s="295"/>
      <c r="AF103" s="295"/>
      <c r="AG103" s="295"/>
      <c r="BK103" s="120"/>
      <c r="BL103" s="120"/>
    </row>
    <row r="104" spans="9:64">
      <c r="AD104" s="295"/>
      <c r="AE104" s="295"/>
      <c r="AF104" s="295"/>
      <c r="AG104" s="295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K104" s="120"/>
      <c r="BL104" s="120"/>
    </row>
    <row r="105" spans="9:64">
      <c r="AD105" s="295"/>
      <c r="AE105" s="295"/>
      <c r="AF105" s="295"/>
      <c r="AG105" s="295"/>
      <c r="BK105" s="101"/>
      <c r="BL105" s="120"/>
    </row>
    <row r="106" spans="9:64">
      <c r="AD106" s="295"/>
      <c r="AE106" s="295"/>
      <c r="AF106" s="295"/>
      <c r="AG106" s="295"/>
      <c r="BK106" s="120"/>
      <c r="BL106" s="120"/>
    </row>
    <row r="107" spans="9:64">
      <c r="AD107" s="295"/>
      <c r="AE107" s="295"/>
      <c r="AF107" s="295"/>
      <c r="AG107" s="295"/>
      <c r="BK107" s="120"/>
      <c r="BL107" s="120"/>
    </row>
    <row r="108" spans="9:64">
      <c r="I108" s="1"/>
      <c r="J108" s="36"/>
      <c r="K108" s="36"/>
    </row>
    <row r="109" spans="9:64">
      <c r="I109" s="36"/>
      <c r="J109" s="36"/>
      <c r="K109" s="36"/>
    </row>
    <row r="110" spans="9:64">
      <c r="I110" s="36"/>
      <c r="J110" s="36"/>
      <c r="K110" s="36"/>
    </row>
    <row r="111" spans="9:64">
      <c r="I111" s="36"/>
      <c r="J111" s="36"/>
      <c r="K111" s="36"/>
    </row>
    <row r="112" spans="9:64">
      <c r="I112" s="36"/>
      <c r="J112" s="36"/>
      <c r="K112" s="36"/>
    </row>
    <row r="113" spans="9:11">
      <c r="I113" s="36"/>
      <c r="J113" s="36"/>
      <c r="K113" s="36"/>
    </row>
    <row r="114" spans="9:11">
      <c r="I114" s="36"/>
      <c r="J114" s="36"/>
      <c r="K114" s="36"/>
    </row>
    <row r="115" spans="9:11">
      <c r="I115" s="36"/>
      <c r="J115" s="36"/>
      <c r="K115" s="36"/>
    </row>
    <row r="116" spans="9:11">
      <c r="I116" s="36"/>
      <c r="J116" s="36"/>
      <c r="K116" s="36"/>
    </row>
    <row r="117" spans="9:11">
      <c r="I117" s="36"/>
      <c r="J117" s="36"/>
      <c r="K117" s="36"/>
    </row>
    <row r="118" spans="9:11">
      <c r="I118" s="36"/>
      <c r="J118" s="36"/>
      <c r="K118" s="36"/>
    </row>
    <row r="119" spans="9:11">
      <c r="I119" s="36"/>
      <c r="J119" s="36"/>
      <c r="K119" s="36"/>
    </row>
    <row r="120" spans="9:11">
      <c r="I120" s="36"/>
      <c r="J120" s="36"/>
      <c r="K120" s="36"/>
    </row>
    <row r="121" spans="9:11">
      <c r="I121" s="36"/>
      <c r="J121" s="36"/>
      <c r="K121" s="36"/>
    </row>
    <row r="122" spans="9:11">
      <c r="I122" s="36"/>
      <c r="J122" s="36"/>
      <c r="K122" s="36"/>
    </row>
    <row r="123" spans="9:11">
      <c r="I123" s="36"/>
      <c r="J123" s="36"/>
      <c r="K123" s="36"/>
    </row>
    <row r="124" spans="9:11">
      <c r="I124" s="36"/>
      <c r="J124" s="36"/>
      <c r="K124" s="36"/>
    </row>
    <row r="125" spans="9:11">
      <c r="I125" s="36"/>
      <c r="J125" s="36"/>
      <c r="K125" s="36"/>
    </row>
    <row r="126" spans="9:11">
      <c r="I126" s="36"/>
      <c r="J126" s="36"/>
      <c r="K126" s="36"/>
    </row>
    <row r="127" spans="9:11">
      <c r="I127" s="36"/>
      <c r="J127" s="36"/>
      <c r="K127" s="36"/>
    </row>
    <row r="128" spans="9:11">
      <c r="I128" s="36"/>
      <c r="J128" s="36"/>
      <c r="K128" s="36"/>
    </row>
    <row r="129" spans="9:11">
      <c r="I129" s="36"/>
      <c r="J129" s="36"/>
      <c r="K129" s="36"/>
    </row>
    <row r="130" spans="9:11">
      <c r="I130" s="36"/>
      <c r="J130" s="36"/>
      <c r="K130" s="36"/>
    </row>
    <row r="131" spans="9:11">
      <c r="I131" s="36"/>
      <c r="J131" s="36"/>
      <c r="K131" s="36"/>
    </row>
    <row r="132" spans="9:11">
      <c r="I132" s="36"/>
      <c r="J132" s="36"/>
      <c r="K132" s="36"/>
    </row>
    <row r="133" spans="9:11">
      <c r="I133" s="36"/>
      <c r="J133" s="36"/>
      <c r="K133" s="36"/>
    </row>
    <row r="134" spans="9:11">
      <c r="I134" s="36"/>
      <c r="J134" s="36"/>
      <c r="K134" s="36"/>
    </row>
    <row r="135" spans="9:11">
      <c r="I135" s="36"/>
      <c r="J135" s="36"/>
      <c r="K135" s="36"/>
    </row>
    <row r="136" spans="9:11">
      <c r="I136" s="36"/>
      <c r="J136" s="36"/>
      <c r="K136" s="36"/>
    </row>
    <row r="137" spans="9:11">
      <c r="I137" s="36"/>
      <c r="J137" s="36"/>
      <c r="K137" s="36"/>
    </row>
    <row r="138" spans="9:11">
      <c r="I138" s="36"/>
      <c r="J138" s="36"/>
      <c r="K138" s="36"/>
    </row>
    <row r="139" spans="9:11">
      <c r="I139" s="36"/>
      <c r="J139" s="36"/>
      <c r="K139" s="36"/>
    </row>
  </sheetData>
  <mergeCells count="262">
    <mergeCell ref="A73:B73"/>
    <mergeCell ref="U73:V73"/>
    <mergeCell ref="W73:X73"/>
    <mergeCell ref="A74:B74"/>
    <mergeCell ref="U74:V74"/>
    <mergeCell ref="W74:X74"/>
    <mergeCell ref="A69:B69"/>
    <mergeCell ref="U69:V69"/>
    <mergeCell ref="W69:X69"/>
    <mergeCell ref="A70:B70"/>
    <mergeCell ref="U70:V70"/>
    <mergeCell ref="W70:X70"/>
    <mergeCell ref="A71:B71"/>
    <mergeCell ref="U71:V71"/>
    <mergeCell ref="W38:X38"/>
    <mergeCell ref="A37:B37"/>
    <mergeCell ref="U37:V37"/>
    <mergeCell ref="W37:X37"/>
    <mergeCell ref="A72:B72"/>
    <mergeCell ref="U72:V72"/>
    <mergeCell ref="W72:X72"/>
    <mergeCell ref="W71:X71"/>
    <mergeCell ref="U62:V62"/>
    <mergeCell ref="W62:X62"/>
    <mergeCell ref="U63:V63"/>
    <mergeCell ref="W63:X63"/>
    <mergeCell ref="U64:V64"/>
    <mergeCell ref="W64:X64"/>
    <mergeCell ref="U65:V65"/>
    <mergeCell ref="A39:B39"/>
    <mergeCell ref="A40:B40"/>
    <mergeCell ref="A43:B43"/>
    <mergeCell ref="A44:B44"/>
    <mergeCell ref="A41:B41"/>
    <mergeCell ref="A42:B42"/>
    <mergeCell ref="A47:B47"/>
    <mergeCell ref="U39:V39"/>
    <mergeCell ref="W39:X39"/>
    <mergeCell ref="A78:B78"/>
    <mergeCell ref="U79:V79"/>
    <mergeCell ref="W79:X79"/>
    <mergeCell ref="AD79:AE79"/>
    <mergeCell ref="AF79:AG79"/>
    <mergeCell ref="U78:V78"/>
    <mergeCell ref="W78:X78"/>
    <mergeCell ref="A75:B75"/>
    <mergeCell ref="U75:V75"/>
    <mergeCell ref="W75:X75"/>
    <mergeCell ref="A76:B76"/>
    <mergeCell ref="U76:V76"/>
    <mergeCell ref="W76:X76"/>
    <mergeCell ref="A77:B77"/>
    <mergeCell ref="U77:V77"/>
    <mergeCell ref="W77:X77"/>
    <mergeCell ref="G1:T1"/>
    <mergeCell ref="U1:AO2"/>
    <mergeCell ref="AS1:AX1"/>
    <mergeCell ref="BB1:BG1"/>
    <mergeCell ref="G2:T2"/>
    <mergeCell ref="AS2:AX2"/>
    <mergeCell ref="BB2:BG2"/>
    <mergeCell ref="BB6:BG7"/>
    <mergeCell ref="U61:V61"/>
    <mergeCell ref="W61:X61"/>
    <mergeCell ref="AD6:AE7"/>
    <mergeCell ref="AF6:AG7"/>
    <mergeCell ref="AH6:BA7"/>
    <mergeCell ref="U43:V43"/>
    <mergeCell ref="W43:X43"/>
    <mergeCell ref="U44:V44"/>
    <mergeCell ref="W44:X44"/>
    <mergeCell ref="U41:V41"/>
    <mergeCell ref="W41:X41"/>
    <mergeCell ref="U42:V42"/>
    <mergeCell ref="W42:X42"/>
    <mergeCell ref="U47:V47"/>
    <mergeCell ref="W47:X47"/>
    <mergeCell ref="U38:V38"/>
    <mergeCell ref="U40:V40"/>
    <mergeCell ref="W40:X40"/>
    <mergeCell ref="W66:X66"/>
    <mergeCell ref="A9:B9"/>
    <mergeCell ref="U9:V9"/>
    <mergeCell ref="W9:X9"/>
    <mergeCell ref="A10:B10"/>
    <mergeCell ref="U10:V10"/>
    <mergeCell ref="W10:X10"/>
    <mergeCell ref="A13:B13"/>
    <mergeCell ref="U13:V13"/>
    <mergeCell ref="W13:X13"/>
    <mergeCell ref="A14:B14"/>
    <mergeCell ref="U14:V14"/>
    <mergeCell ref="W14:X14"/>
    <mergeCell ref="A11:B11"/>
    <mergeCell ref="U11:V11"/>
    <mergeCell ref="W11:X11"/>
    <mergeCell ref="A12:B12"/>
    <mergeCell ref="U12:V12"/>
    <mergeCell ref="W12:X12"/>
    <mergeCell ref="A38:B38"/>
    <mergeCell ref="A17:B17"/>
    <mergeCell ref="U17:V17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W17:X17"/>
    <mergeCell ref="A18:B18"/>
    <mergeCell ref="U18:V18"/>
    <mergeCell ref="W18:X18"/>
    <mergeCell ref="A15:B15"/>
    <mergeCell ref="U15:V15"/>
    <mergeCell ref="W15:X15"/>
    <mergeCell ref="A16:B16"/>
    <mergeCell ref="U16:V16"/>
    <mergeCell ref="W16:X16"/>
    <mergeCell ref="A21:B21"/>
    <mergeCell ref="U21:V21"/>
    <mergeCell ref="W21:X21"/>
    <mergeCell ref="A22:B22"/>
    <mergeCell ref="U22:V22"/>
    <mergeCell ref="W22:X22"/>
    <mergeCell ref="A19:B19"/>
    <mergeCell ref="U19:V19"/>
    <mergeCell ref="W19:X19"/>
    <mergeCell ref="A20:B20"/>
    <mergeCell ref="U20:V20"/>
    <mergeCell ref="W20:X20"/>
    <mergeCell ref="A25:B25"/>
    <mergeCell ref="U25:V25"/>
    <mergeCell ref="W25:X25"/>
    <mergeCell ref="A26:B26"/>
    <mergeCell ref="U26:V26"/>
    <mergeCell ref="W26:X26"/>
    <mergeCell ref="A23:B23"/>
    <mergeCell ref="U23:V23"/>
    <mergeCell ref="W23:X23"/>
    <mergeCell ref="A24:B24"/>
    <mergeCell ref="U24:V24"/>
    <mergeCell ref="W24:X24"/>
    <mergeCell ref="A29:B29"/>
    <mergeCell ref="U29:V29"/>
    <mergeCell ref="W29:X29"/>
    <mergeCell ref="A30:B30"/>
    <mergeCell ref="U30:V30"/>
    <mergeCell ref="W30:X30"/>
    <mergeCell ref="A27:B27"/>
    <mergeCell ref="U27:V27"/>
    <mergeCell ref="W27:X27"/>
    <mergeCell ref="A28:B28"/>
    <mergeCell ref="U28:V28"/>
    <mergeCell ref="W28:X28"/>
    <mergeCell ref="A31:B31"/>
    <mergeCell ref="U31:V31"/>
    <mergeCell ref="W31:X31"/>
    <mergeCell ref="A32:B32"/>
    <mergeCell ref="U32:V32"/>
    <mergeCell ref="W32:X32"/>
    <mergeCell ref="A33:B33"/>
    <mergeCell ref="U33:V33"/>
    <mergeCell ref="W33:X33"/>
    <mergeCell ref="A34:B34"/>
    <mergeCell ref="U34:V34"/>
    <mergeCell ref="W34:X34"/>
    <mergeCell ref="A35:B35"/>
    <mergeCell ref="U35:V35"/>
    <mergeCell ref="W35:X35"/>
    <mergeCell ref="A36:B36"/>
    <mergeCell ref="U36:V36"/>
    <mergeCell ref="W36:X36"/>
    <mergeCell ref="A48:B48"/>
    <mergeCell ref="U48:V48"/>
    <mergeCell ref="W48:X48"/>
    <mergeCell ref="A45:B45"/>
    <mergeCell ref="U45:V45"/>
    <mergeCell ref="W45:X45"/>
    <mergeCell ref="A46:B46"/>
    <mergeCell ref="U46:V46"/>
    <mergeCell ref="W46:X46"/>
    <mergeCell ref="A51:B51"/>
    <mergeCell ref="U51:V51"/>
    <mergeCell ref="W51:X51"/>
    <mergeCell ref="A52:B52"/>
    <mergeCell ref="U52:V52"/>
    <mergeCell ref="W52:X52"/>
    <mergeCell ref="A49:B49"/>
    <mergeCell ref="U49:V49"/>
    <mergeCell ref="W49:X49"/>
    <mergeCell ref="A50:B50"/>
    <mergeCell ref="U50:V50"/>
    <mergeCell ref="W50:X50"/>
    <mergeCell ref="A55:B55"/>
    <mergeCell ref="U55:V55"/>
    <mergeCell ref="W55:X55"/>
    <mergeCell ref="A56:B56"/>
    <mergeCell ref="U56:V56"/>
    <mergeCell ref="W56:X56"/>
    <mergeCell ref="A53:B53"/>
    <mergeCell ref="U53:V53"/>
    <mergeCell ref="W53:X53"/>
    <mergeCell ref="A54:B54"/>
    <mergeCell ref="U54:V54"/>
    <mergeCell ref="W54:X54"/>
    <mergeCell ref="A67:B67"/>
    <mergeCell ref="U67:V67"/>
    <mergeCell ref="W67:X67"/>
    <mergeCell ref="A57:B57"/>
    <mergeCell ref="U57:V57"/>
    <mergeCell ref="W57:X57"/>
    <mergeCell ref="A58:B58"/>
    <mergeCell ref="U58:V58"/>
    <mergeCell ref="W58:X58"/>
    <mergeCell ref="A61:B61"/>
    <mergeCell ref="A62:B62"/>
    <mergeCell ref="A63:B63"/>
    <mergeCell ref="U59:V59"/>
    <mergeCell ref="W59:X59"/>
    <mergeCell ref="A59:B59"/>
    <mergeCell ref="U60:V60"/>
    <mergeCell ref="W60:X60"/>
    <mergeCell ref="A60:B60"/>
    <mergeCell ref="A68:B68"/>
    <mergeCell ref="U68:V68"/>
    <mergeCell ref="W68:X68"/>
    <mergeCell ref="AD61:AE61"/>
    <mergeCell ref="AF61:AG61"/>
    <mergeCell ref="AD62:AE62"/>
    <mergeCell ref="AF62:AG62"/>
    <mergeCell ref="AD63:AE63"/>
    <mergeCell ref="AF63:AG63"/>
    <mergeCell ref="AD64:AE64"/>
    <mergeCell ref="AF64:AG64"/>
    <mergeCell ref="AD65:AE65"/>
    <mergeCell ref="AF65:AG65"/>
    <mergeCell ref="AD66:AE66"/>
    <mergeCell ref="AF66:AG66"/>
    <mergeCell ref="AD67:AE67"/>
    <mergeCell ref="AF67:AG67"/>
    <mergeCell ref="AD68:AE68"/>
    <mergeCell ref="AF68:AG68"/>
    <mergeCell ref="A64:B64"/>
    <mergeCell ref="A65:B65"/>
    <mergeCell ref="W65:X65"/>
    <mergeCell ref="A66:B66"/>
    <mergeCell ref="U66:V66"/>
    <mergeCell ref="AD74:AE74"/>
    <mergeCell ref="AF74:AG74"/>
    <mergeCell ref="AF69:AG69"/>
    <mergeCell ref="AD70:AE70"/>
    <mergeCell ref="AF70:AG70"/>
    <mergeCell ref="AD71:AE71"/>
    <mergeCell ref="AF71:AG71"/>
    <mergeCell ref="AD72:AE72"/>
    <mergeCell ref="AF72:AG72"/>
    <mergeCell ref="AD73:AE73"/>
    <mergeCell ref="AF73:AG73"/>
    <mergeCell ref="AD69:AE6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BN93"/>
  <sheetViews>
    <sheetView zoomScale="85" zoomScaleNormal="85" workbookViewId="0">
      <selection activeCell="C25" sqref="C25:AH25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37" customWidth="1"/>
    <col min="31" max="33" width="2.6640625" style="137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22.88671875" style="17" customWidth="1"/>
    <col min="64" max="64" width="21.33203125" style="17" customWidth="1"/>
    <col min="65" max="65" width="23.5546875" style="17" customWidth="1"/>
    <col min="66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39"/>
      <c r="B3" s="139"/>
      <c r="C3" s="55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5"/>
      <c r="AE3" s="135"/>
      <c r="AF3" s="135"/>
      <c r="AG3" s="135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39"/>
      <c r="BD3" s="139"/>
      <c r="BE3" s="139"/>
      <c r="BF3" s="139"/>
      <c r="BG3" s="139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1651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1380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1313</v>
      </c>
      <c r="BL5" s="353" t="s">
        <v>764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1497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03" t="s">
        <v>16</v>
      </c>
      <c r="Z8" s="128"/>
      <c r="AA8" s="128"/>
      <c r="AB8" s="128"/>
      <c r="AC8" s="129"/>
      <c r="AD8" s="304">
        <v>100</v>
      </c>
      <c r="AE8" s="136"/>
      <c r="AF8" s="304">
        <v>0</v>
      </c>
      <c r="AG8" s="136"/>
      <c r="AH8" s="7" t="s">
        <v>1363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0" t="s">
        <v>31</v>
      </c>
      <c r="BL8" s="52" t="s">
        <v>953</v>
      </c>
    </row>
    <row r="9" spans="1:64">
      <c r="A9" s="681">
        <v>2</v>
      </c>
      <c r="B9" s="682"/>
      <c r="C9" s="59" t="str">
        <f t="shared" ref="C9:C52" si="0">VLOOKUP(L9,$BK$7:$BL$93,2,FALSE)</f>
        <v>父节点ID</v>
      </c>
      <c r="D9" s="139"/>
      <c r="E9" s="139"/>
      <c r="F9" s="139"/>
      <c r="G9" s="139"/>
      <c r="H9" s="139"/>
      <c r="I9" s="139"/>
      <c r="J9" s="139"/>
      <c r="K9" s="140"/>
      <c r="L9" s="331" t="s">
        <v>275</v>
      </c>
      <c r="M9" s="139"/>
      <c r="N9" s="139"/>
      <c r="O9" s="139"/>
      <c r="P9" s="139"/>
      <c r="Q9" s="139"/>
      <c r="R9" s="139"/>
      <c r="S9" s="139"/>
      <c r="T9" s="139"/>
      <c r="U9" s="683"/>
      <c r="V9" s="682"/>
      <c r="W9" s="684"/>
      <c r="X9" s="685"/>
      <c r="Y9" s="302" t="s">
        <v>16</v>
      </c>
      <c r="Z9" s="131"/>
      <c r="AA9" s="131"/>
      <c r="AB9" s="131"/>
      <c r="AC9" s="132"/>
      <c r="AD9" s="301">
        <v>100</v>
      </c>
      <c r="AE9" s="134"/>
      <c r="AF9" s="301">
        <v>0</v>
      </c>
      <c r="AG9" s="134"/>
      <c r="AH9" s="141"/>
      <c r="AI9" s="142"/>
      <c r="AJ9" s="139"/>
      <c r="AK9" s="139"/>
      <c r="AL9" s="139"/>
      <c r="AM9" s="139"/>
      <c r="AN9" s="139"/>
      <c r="AO9" s="139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40"/>
      <c r="BB9" s="139"/>
      <c r="BC9" s="139"/>
      <c r="BD9" s="139"/>
      <c r="BE9" s="139"/>
      <c r="BF9" s="139"/>
      <c r="BG9" s="43"/>
      <c r="BH9" s="36"/>
      <c r="BK9" s="121" t="s">
        <v>962</v>
      </c>
      <c r="BL9" s="52" t="s">
        <v>963</v>
      </c>
    </row>
    <row r="10" spans="1:64">
      <c r="A10" s="681">
        <v>3</v>
      </c>
      <c r="B10" s="682"/>
      <c r="C10" s="59" t="str">
        <f>VLOOKUP(L10,$BK$7:$BL$93,2,FALSE)</f>
        <v>树节点编号</v>
      </c>
      <c r="D10" s="142"/>
      <c r="E10" s="142"/>
      <c r="F10" s="142"/>
      <c r="G10" s="142"/>
      <c r="H10" s="142"/>
      <c r="I10" s="142"/>
      <c r="J10" s="142"/>
      <c r="K10" s="143"/>
      <c r="L10" s="1" t="s">
        <v>276</v>
      </c>
      <c r="M10" s="142"/>
      <c r="N10" s="142"/>
      <c r="O10" s="142"/>
      <c r="P10" s="142"/>
      <c r="Q10" s="142"/>
      <c r="R10" s="142"/>
      <c r="S10" s="142"/>
      <c r="T10" s="142"/>
      <c r="U10" s="692"/>
      <c r="V10" s="693"/>
      <c r="W10" s="694"/>
      <c r="X10" s="695"/>
      <c r="Y10" s="302" t="s">
        <v>16</v>
      </c>
      <c r="Z10" s="131"/>
      <c r="AA10" s="131"/>
      <c r="AB10" s="131"/>
      <c r="AC10" s="132"/>
      <c r="AD10" s="301">
        <v>64</v>
      </c>
      <c r="AE10" s="134"/>
      <c r="AF10" s="301">
        <v>0</v>
      </c>
      <c r="AG10" s="134"/>
      <c r="AH10" s="141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3"/>
      <c r="BB10" s="139"/>
      <c r="BC10" s="139"/>
      <c r="BD10" s="139"/>
      <c r="BE10" s="139"/>
      <c r="BF10" s="139"/>
      <c r="BG10" s="43"/>
      <c r="BH10" s="36"/>
      <c r="BK10" s="120" t="s">
        <v>964</v>
      </c>
      <c r="BL10" s="52" t="s">
        <v>965</v>
      </c>
    </row>
    <row r="11" spans="1:64">
      <c r="A11" s="681">
        <v>4</v>
      </c>
      <c r="B11" s="682"/>
      <c r="C11" s="59" t="str">
        <f t="shared" si="0"/>
        <v>责任中心</v>
      </c>
      <c r="D11" s="142"/>
      <c r="E11" s="142"/>
      <c r="F11" s="142"/>
      <c r="G11" s="142"/>
      <c r="H11" s="142"/>
      <c r="I11" s="142"/>
      <c r="J11" s="142"/>
      <c r="K11" s="143"/>
      <c r="L11" s="1" t="s">
        <v>28</v>
      </c>
      <c r="M11" s="142"/>
      <c r="N11" s="142"/>
      <c r="O11" s="142"/>
      <c r="P11" s="142"/>
      <c r="Q11" s="142"/>
      <c r="R11" s="142"/>
      <c r="S11" s="142"/>
      <c r="T11" s="142"/>
      <c r="U11" s="692"/>
      <c r="V11" s="693"/>
      <c r="W11" s="694"/>
      <c r="X11" s="695"/>
      <c r="Y11" s="302" t="s">
        <v>16</v>
      </c>
      <c r="Z11" s="131"/>
      <c r="AA11" s="131"/>
      <c r="AB11" s="131"/>
      <c r="AC11" s="132"/>
      <c r="AD11" s="301">
        <v>100</v>
      </c>
      <c r="AE11" s="134"/>
      <c r="AF11" s="301">
        <v>0</v>
      </c>
      <c r="AG11" s="134"/>
      <c r="AH11" s="141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39"/>
      <c r="AZ11" s="139"/>
      <c r="BA11" s="140"/>
      <c r="BB11" s="48"/>
      <c r="BC11" s="48"/>
      <c r="BD11" s="48"/>
      <c r="BE11" s="48"/>
      <c r="BF11" s="48"/>
      <c r="BG11" s="49"/>
      <c r="BK11" s="120" t="s">
        <v>966</v>
      </c>
      <c r="BL11" s="52" t="s">
        <v>967</v>
      </c>
    </row>
    <row r="12" spans="1:64">
      <c r="A12" s="681">
        <v>5</v>
      </c>
      <c r="B12" s="682"/>
      <c r="C12" s="386" t="s">
        <v>1521</v>
      </c>
      <c r="D12" s="390"/>
      <c r="E12" s="390"/>
      <c r="F12" s="390"/>
      <c r="G12" s="390"/>
      <c r="H12" s="390"/>
      <c r="I12" s="390"/>
      <c r="J12" s="390"/>
      <c r="K12" s="391"/>
      <c r="L12" s="1" t="s">
        <v>1370</v>
      </c>
      <c r="M12" s="142"/>
      <c r="N12" s="142"/>
      <c r="O12" s="142"/>
      <c r="P12" s="142"/>
      <c r="Q12" s="142"/>
      <c r="R12" s="142"/>
      <c r="S12" s="142"/>
      <c r="T12" s="142"/>
      <c r="U12" s="692"/>
      <c r="V12" s="693"/>
      <c r="W12" s="694"/>
      <c r="X12" s="695"/>
      <c r="Y12" s="302" t="s">
        <v>16</v>
      </c>
      <c r="Z12" s="131"/>
      <c r="AA12" s="131"/>
      <c r="AB12" s="131"/>
      <c r="AC12" s="132"/>
      <c r="AD12" s="301">
        <v>100</v>
      </c>
      <c r="AE12" s="134"/>
      <c r="AF12" s="301">
        <v>0</v>
      </c>
      <c r="AG12" s="134"/>
      <c r="AH12" s="141" t="s">
        <v>968</v>
      </c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40"/>
      <c r="BB12" s="139"/>
      <c r="BC12" s="139"/>
      <c r="BD12" s="139"/>
      <c r="BE12" s="139"/>
      <c r="BF12" s="139"/>
      <c r="BG12" s="43"/>
      <c r="BK12" s="120" t="s">
        <v>968</v>
      </c>
      <c r="BL12" s="52" t="s">
        <v>954</v>
      </c>
    </row>
    <row r="13" spans="1:64">
      <c r="A13" s="681">
        <v>6</v>
      </c>
      <c r="B13" s="682"/>
      <c r="C13" s="397" t="s">
        <v>1441</v>
      </c>
      <c r="D13" s="398"/>
      <c r="E13" s="398"/>
      <c r="F13" s="398"/>
      <c r="G13" s="398"/>
      <c r="H13" s="398"/>
      <c r="I13" s="398"/>
      <c r="J13" s="398"/>
      <c r="K13" s="399"/>
      <c r="L13" s="1" t="s">
        <v>1439</v>
      </c>
      <c r="M13" s="331"/>
      <c r="N13" s="331"/>
      <c r="O13" s="331"/>
      <c r="P13" s="331"/>
      <c r="Q13" s="331"/>
      <c r="R13" s="331"/>
      <c r="S13" s="331"/>
      <c r="T13" s="331"/>
      <c r="U13" s="692"/>
      <c r="V13" s="693"/>
      <c r="W13" s="694"/>
      <c r="X13" s="695"/>
      <c r="Y13" s="394" t="s">
        <v>16</v>
      </c>
      <c r="Z13" s="395"/>
      <c r="AA13" s="395"/>
      <c r="AB13" s="395"/>
      <c r="AC13" s="396"/>
      <c r="AD13" s="392">
        <v>100</v>
      </c>
      <c r="AE13" s="393"/>
      <c r="AF13" s="392">
        <v>0</v>
      </c>
      <c r="AG13" s="393"/>
      <c r="AH13" s="330" t="s">
        <v>1440</v>
      </c>
      <c r="AI13" s="334"/>
      <c r="AJ13" s="334"/>
      <c r="AK13" s="334"/>
      <c r="AL13" s="334"/>
      <c r="AM13" s="334"/>
      <c r="AN13" s="334"/>
      <c r="AO13" s="334"/>
      <c r="AP13" s="334"/>
      <c r="AQ13" s="334"/>
      <c r="AR13" s="334"/>
      <c r="AS13" s="334"/>
      <c r="AT13" s="334"/>
      <c r="AU13" s="334"/>
      <c r="AV13" s="334"/>
      <c r="AW13" s="334"/>
      <c r="AX13" s="334"/>
      <c r="AY13" s="334"/>
      <c r="AZ13" s="334"/>
      <c r="BA13" s="335"/>
      <c r="BB13" s="334"/>
      <c r="BC13" s="334"/>
      <c r="BD13" s="334"/>
      <c r="BE13" s="334"/>
      <c r="BF13" s="334"/>
      <c r="BG13" s="43"/>
      <c r="BK13" s="120" t="s">
        <v>837</v>
      </c>
      <c r="BL13" s="52" t="s">
        <v>838</v>
      </c>
    </row>
    <row r="14" spans="1:64">
      <c r="A14" s="681">
        <v>7</v>
      </c>
      <c r="B14" s="682"/>
      <c r="C14" s="59" t="str">
        <f t="shared" si="0"/>
        <v>清单类型</v>
      </c>
      <c r="D14" s="142"/>
      <c r="E14" s="142"/>
      <c r="F14" s="142"/>
      <c r="G14" s="142"/>
      <c r="H14" s="142"/>
      <c r="I14" s="142"/>
      <c r="J14" s="142"/>
      <c r="K14" s="143"/>
      <c r="L14" s="1" t="s">
        <v>278</v>
      </c>
      <c r="M14" s="142"/>
      <c r="N14" s="142"/>
      <c r="O14" s="142"/>
      <c r="P14" s="142"/>
      <c r="Q14" s="142"/>
      <c r="R14" s="142"/>
      <c r="S14" s="142"/>
      <c r="T14" s="142"/>
      <c r="U14" s="692"/>
      <c r="V14" s="693"/>
      <c r="W14" s="694"/>
      <c r="X14" s="695"/>
      <c r="Y14" s="302" t="s">
        <v>303</v>
      </c>
      <c r="Z14" s="131"/>
      <c r="AA14" s="131"/>
      <c r="AB14" s="131"/>
      <c r="AC14" s="132"/>
      <c r="AD14" s="301">
        <v>0</v>
      </c>
      <c r="AE14" s="134"/>
      <c r="AF14" s="301">
        <v>0</v>
      </c>
      <c r="AG14" s="134"/>
      <c r="AH14" s="141"/>
      <c r="AQ14" s="139"/>
      <c r="AR14" s="139"/>
      <c r="AS14" s="139"/>
      <c r="AT14" s="139"/>
      <c r="AU14" s="139"/>
      <c r="AV14" s="139"/>
      <c r="AW14" s="139"/>
      <c r="AX14" s="139"/>
      <c r="AY14" s="139"/>
      <c r="AZ14" s="139"/>
      <c r="BA14" s="140"/>
      <c r="BB14" s="139"/>
      <c r="BC14" s="139"/>
      <c r="BD14" s="139"/>
      <c r="BE14" s="139"/>
      <c r="BF14" s="139"/>
      <c r="BG14" s="43"/>
      <c r="BK14" s="120" t="s">
        <v>839</v>
      </c>
      <c r="BL14" s="52" t="s">
        <v>840</v>
      </c>
    </row>
    <row r="15" spans="1:64">
      <c r="A15" s="681">
        <v>8</v>
      </c>
      <c r="B15" s="682"/>
      <c r="C15" s="59" t="str">
        <f t="shared" si="0"/>
        <v>清单编号</v>
      </c>
      <c r="D15" s="142"/>
      <c r="E15" s="142"/>
      <c r="F15" s="142"/>
      <c r="G15" s="142"/>
      <c r="H15" s="142"/>
      <c r="I15" s="142"/>
      <c r="J15" s="142"/>
      <c r="K15" s="143"/>
      <c r="L15" s="1" t="s">
        <v>1496</v>
      </c>
      <c r="M15" s="142"/>
      <c r="N15" s="142"/>
      <c r="O15" s="142"/>
      <c r="P15" s="142"/>
      <c r="Q15" s="142"/>
      <c r="R15" s="142"/>
      <c r="S15" s="142"/>
      <c r="T15" s="142"/>
      <c r="U15" s="692"/>
      <c r="V15" s="693"/>
      <c r="W15" s="694"/>
      <c r="X15" s="695"/>
      <c r="Y15" s="302" t="s">
        <v>16</v>
      </c>
      <c r="Z15" s="131"/>
      <c r="AA15" s="131"/>
      <c r="AB15" s="131"/>
      <c r="AC15" s="132"/>
      <c r="AD15" s="301">
        <v>256</v>
      </c>
      <c r="AE15" s="134"/>
      <c r="AF15" s="301">
        <v>0</v>
      </c>
      <c r="AG15" s="134"/>
      <c r="AH15" s="141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139"/>
      <c r="AV15" s="139"/>
      <c r="AW15" s="139"/>
      <c r="AX15" s="139"/>
      <c r="AY15" s="139"/>
      <c r="AZ15" s="139"/>
      <c r="BA15" s="140"/>
      <c r="BB15" s="139"/>
      <c r="BC15" s="139"/>
      <c r="BD15" s="139"/>
      <c r="BE15" s="139"/>
      <c r="BF15" s="139"/>
      <c r="BG15" s="43"/>
      <c r="BK15" s="120" t="s">
        <v>841</v>
      </c>
      <c r="BL15" s="52" t="s">
        <v>842</v>
      </c>
    </row>
    <row r="16" spans="1:64">
      <c r="A16" s="681">
        <v>9</v>
      </c>
      <c r="B16" s="682"/>
      <c r="C16" s="59" t="str">
        <f t="shared" si="0"/>
        <v>清单名称</v>
      </c>
      <c r="D16" s="142"/>
      <c r="E16" s="142"/>
      <c r="F16" s="142"/>
      <c r="G16" s="142"/>
      <c r="H16" s="142"/>
      <c r="I16" s="142"/>
      <c r="J16" s="142"/>
      <c r="K16" s="143"/>
      <c r="L16" s="1" t="s">
        <v>280</v>
      </c>
      <c r="M16" s="142"/>
      <c r="N16" s="142"/>
      <c r="O16" s="142"/>
      <c r="P16" s="142"/>
      <c r="Q16" s="142"/>
      <c r="R16" s="142"/>
      <c r="S16" s="142"/>
      <c r="T16" s="142"/>
      <c r="U16" s="692"/>
      <c r="V16" s="693"/>
      <c r="W16" s="694"/>
      <c r="X16" s="695"/>
      <c r="Y16" s="302" t="s">
        <v>16</v>
      </c>
      <c r="Z16" s="131"/>
      <c r="AA16" s="131"/>
      <c r="AB16" s="131"/>
      <c r="AC16" s="132"/>
      <c r="AD16" s="301">
        <v>256</v>
      </c>
      <c r="AE16" s="134"/>
      <c r="AF16" s="301">
        <v>0</v>
      </c>
      <c r="AG16" s="134"/>
      <c r="AH16" s="141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40"/>
      <c r="BB16" s="139"/>
      <c r="BC16" s="139"/>
      <c r="BD16" s="139"/>
      <c r="BE16" s="139"/>
      <c r="BF16" s="139"/>
      <c r="BG16" s="43"/>
      <c r="BK16" s="120" t="s">
        <v>843</v>
      </c>
      <c r="BL16" s="52" t="s">
        <v>844</v>
      </c>
    </row>
    <row r="17" spans="1:66">
      <c r="A17" s="681">
        <v>10</v>
      </c>
      <c r="B17" s="682"/>
      <c r="C17" s="59" t="str">
        <f t="shared" si="0"/>
        <v>计量单位</v>
      </c>
      <c r="D17" s="142"/>
      <c r="E17" s="142"/>
      <c r="F17" s="142"/>
      <c r="G17" s="142"/>
      <c r="H17" s="142"/>
      <c r="I17" s="142"/>
      <c r="J17" s="142"/>
      <c r="K17" s="143"/>
      <c r="L17" s="1" t="s">
        <v>1498</v>
      </c>
      <c r="M17" s="142"/>
      <c r="N17" s="142"/>
      <c r="O17" s="142"/>
      <c r="P17" s="142"/>
      <c r="Q17" s="142"/>
      <c r="R17" s="142"/>
      <c r="S17" s="142"/>
      <c r="T17" s="142"/>
      <c r="U17" s="692"/>
      <c r="V17" s="693"/>
      <c r="W17" s="694"/>
      <c r="X17" s="695"/>
      <c r="Y17" s="302" t="s">
        <v>16</v>
      </c>
      <c r="Z17" s="131"/>
      <c r="AA17" s="131"/>
      <c r="AB17" s="131"/>
      <c r="AC17" s="132"/>
      <c r="AD17" s="301">
        <v>64</v>
      </c>
      <c r="AE17" s="134"/>
      <c r="AF17" s="301">
        <v>0</v>
      </c>
      <c r="AG17" s="134"/>
      <c r="AH17" s="141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139"/>
      <c r="AV17" s="139"/>
      <c r="AW17" s="139"/>
      <c r="AX17" s="139"/>
      <c r="AY17" s="139"/>
      <c r="AZ17" s="139"/>
      <c r="BA17" s="140"/>
      <c r="BB17" s="139"/>
      <c r="BC17" s="139"/>
      <c r="BD17" s="139"/>
      <c r="BE17" s="139"/>
      <c r="BF17" s="139"/>
      <c r="BG17" s="43"/>
      <c r="BK17" s="120" t="s">
        <v>845</v>
      </c>
      <c r="BL17" s="52" t="s">
        <v>846</v>
      </c>
    </row>
    <row r="18" spans="1:66">
      <c r="A18" s="681">
        <v>11</v>
      </c>
      <c r="B18" s="682"/>
      <c r="C18" s="457" t="str">
        <f t="shared" si="0"/>
        <v>合同单价</v>
      </c>
      <c r="D18" s="460"/>
      <c r="E18" s="460"/>
      <c r="F18" s="460"/>
      <c r="G18" s="460"/>
      <c r="H18" s="460"/>
      <c r="I18" s="460"/>
      <c r="J18" s="460"/>
      <c r="K18" s="461"/>
      <c r="L18" s="1" t="s">
        <v>845</v>
      </c>
      <c r="M18" s="139"/>
      <c r="N18" s="139"/>
      <c r="O18" s="139"/>
      <c r="P18" s="139"/>
      <c r="Q18" s="139"/>
      <c r="R18" s="139"/>
      <c r="S18" s="139"/>
      <c r="T18" s="139"/>
      <c r="U18" s="683"/>
      <c r="V18" s="682"/>
      <c r="W18" s="684"/>
      <c r="X18" s="685"/>
      <c r="Y18" s="355" t="s">
        <v>1309</v>
      </c>
      <c r="Z18" s="126"/>
      <c r="AA18" s="126"/>
      <c r="AB18" s="126"/>
      <c r="AC18" s="127"/>
      <c r="AD18" s="301">
        <v>19</v>
      </c>
      <c r="AE18" s="134"/>
      <c r="AF18" s="301">
        <v>6</v>
      </c>
      <c r="AG18" s="134"/>
      <c r="AH18" s="354" t="s">
        <v>198</v>
      </c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40"/>
      <c r="BB18" s="139"/>
      <c r="BC18" s="139"/>
      <c r="BD18" s="139"/>
      <c r="BE18" s="139"/>
      <c r="BF18" s="139"/>
      <c r="BG18" s="43"/>
      <c r="BK18" s="120" t="s">
        <v>847</v>
      </c>
      <c r="BL18" s="52" t="s">
        <v>848</v>
      </c>
    </row>
    <row r="19" spans="1:66">
      <c r="A19" s="681">
        <v>12</v>
      </c>
      <c r="B19" s="682"/>
      <c r="C19" s="457" t="str">
        <f t="shared" si="0"/>
        <v>合同数量</v>
      </c>
      <c r="D19" s="460"/>
      <c r="E19" s="460"/>
      <c r="F19" s="460"/>
      <c r="G19" s="460"/>
      <c r="H19" s="460"/>
      <c r="I19" s="460"/>
      <c r="J19" s="460"/>
      <c r="K19" s="461"/>
      <c r="L19" s="1" t="s">
        <v>1711</v>
      </c>
      <c r="M19" s="139"/>
      <c r="N19" s="139"/>
      <c r="O19" s="139"/>
      <c r="P19" s="139"/>
      <c r="Q19" s="139"/>
      <c r="R19" s="139"/>
      <c r="S19" s="139"/>
      <c r="T19" s="139"/>
      <c r="U19" s="683"/>
      <c r="V19" s="682"/>
      <c r="W19" s="684"/>
      <c r="X19" s="685"/>
      <c r="Y19" s="355" t="s">
        <v>1308</v>
      </c>
      <c r="Z19" s="126"/>
      <c r="AA19" s="126"/>
      <c r="AB19" s="126"/>
      <c r="AC19" s="127"/>
      <c r="AD19" s="301">
        <v>19</v>
      </c>
      <c r="AE19" s="134"/>
      <c r="AF19" s="301">
        <v>6</v>
      </c>
      <c r="AG19" s="134"/>
      <c r="AH19" s="354" t="s">
        <v>198</v>
      </c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40"/>
      <c r="BB19" s="139"/>
      <c r="BC19" s="139"/>
      <c r="BD19" s="139"/>
      <c r="BE19" s="139"/>
      <c r="BF19" s="139"/>
      <c r="BG19" s="43"/>
      <c r="BK19" s="120" t="s">
        <v>849</v>
      </c>
      <c r="BL19" s="52" t="s">
        <v>850</v>
      </c>
      <c r="BM19" s="3" t="s">
        <v>851</v>
      </c>
    </row>
    <row r="20" spans="1:66">
      <c r="A20" s="681">
        <v>13</v>
      </c>
      <c r="B20" s="682"/>
      <c r="C20" s="457" t="str">
        <f t="shared" si="0"/>
        <v>合同金额</v>
      </c>
      <c r="D20" s="460"/>
      <c r="E20" s="460"/>
      <c r="F20" s="460"/>
      <c r="G20" s="460"/>
      <c r="H20" s="460"/>
      <c r="I20" s="460"/>
      <c r="J20" s="460"/>
      <c r="K20" s="461"/>
      <c r="L20" s="1" t="s">
        <v>1727</v>
      </c>
      <c r="M20" s="139"/>
      <c r="N20" s="139"/>
      <c r="O20" s="139"/>
      <c r="P20" s="139"/>
      <c r="Q20" s="139"/>
      <c r="R20" s="139"/>
      <c r="S20" s="139"/>
      <c r="T20" s="139"/>
      <c r="U20" s="683"/>
      <c r="V20" s="682"/>
      <c r="W20" s="684"/>
      <c r="X20" s="685"/>
      <c r="Y20" s="355" t="s">
        <v>1309</v>
      </c>
      <c r="Z20" s="126"/>
      <c r="AA20" s="126"/>
      <c r="AB20" s="126"/>
      <c r="AC20" s="127"/>
      <c r="AD20" s="301">
        <v>19</v>
      </c>
      <c r="AE20" s="134"/>
      <c r="AF20" s="301">
        <v>6</v>
      </c>
      <c r="AG20" s="134"/>
      <c r="AH20" s="389" t="s">
        <v>1434</v>
      </c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140"/>
      <c r="BB20" s="139"/>
      <c r="BC20" s="139"/>
      <c r="BD20" s="139"/>
      <c r="BE20" s="139"/>
      <c r="BF20" s="139"/>
      <c r="BG20" s="43"/>
      <c r="BK20" s="120" t="s">
        <v>852</v>
      </c>
      <c r="BL20" s="52" t="s">
        <v>853</v>
      </c>
      <c r="BM20" s="3"/>
    </row>
    <row r="21" spans="1:66">
      <c r="A21" s="681">
        <v>14</v>
      </c>
      <c r="B21" s="682"/>
      <c r="C21" s="457" t="str">
        <f t="shared" si="0"/>
        <v>工程量</v>
      </c>
      <c r="D21" s="460"/>
      <c r="E21" s="460"/>
      <c r="F21" s="460"/>
      <c r="G21" s="460"/>
      <c r="H21" s="460"/>
      <c r="I21" s="460"/>
      <c r="J21" s="460"/>
      <c r="K21" s="461"/>
      <c r="L21" s="1" t="s">
        <v>852</v>
      </c>
      <c r="M21" s="139"/>
      <c r="N21" s="139"/>
      <c r="O21" s="139"/>
      <c r="P21" s="139"/>
      <c r="Q21" s="139"/>
      <c r="R21" s="139"/>
      <c r="S21" s="139"/>
      <c r="T21" s="139"/>
      <c r="U21" s="683"/>
      <c r="V21" s="682"/>
      <c r="W21" s="684"/>
      <c r="X21" s="685"/>
      <c r="Y21" s="355" t="s">
        <v>1309</v>
      </c>
      <c r="Z21" s="126"/>
      <c r="AA21" s="126"/>
      <c r="AB21" s="126"/>
      <c r="AC21" s="127"/>
      <c r="AD21" s="301">
        <v>19</v>
      </c>
      <c r="AE21" s="134"/>
      <c r="AF21" s="301">
        <v>6</v>
      </c>
      <c r="AG21" s="134"/>
      <c r="AH21" s="354" t="s">
        <v>198</v>
      </c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40"/>
      <c r="BB21" s="139"/>
      <c r="BC21" s="139"/>
      <c r="BD21" s="139"/>
      <c r="BE21" s="139"/>
      <c r="BF21" s="139"/>
      <c r="BG21" s="43"/>
      <c r="BK21" s="120" t="s">
        <v>854</v>
      </c>
      <c r="BL21" s="52" t="s">
        <v>969</v>
      </c>
    </row>
    <row r="22" spans="1:66">
      <c r="A22" s="681">
        <v>15</v>
      </c>
      <c r="B22" s="682"/>
      <c r="C22" s="457" t="str">
        <f t="shared" si="0"/>
        <v>计量单价</v>
      </c>
      <c r="D22" s="460"/>
      <c r="E22" s="460"/>
      <c r="F22" s="460"/>
      <c r="G22" s="460"/>
      <c r="H22" s="460"/>
      <c r="I22" s="460"/>
      <c r="J22" s="460"/>
      <c r="K22" s="461"/>
      <c r="L22" s="1" t="s">
        <v>1670</v>
      </c>
      <c r="M22" s="139"/>
      <c r="N22" s="139"/>
      <c r="O22" s="139"/>
      <c r="P22" s="139"/>
      <c r="Q22" s="139"/>
      <c r="R22" s="139"/>
      <c r="S22" s="139"/>
      <c r="T22" s="139"/>
      <c r="U22" s="683"/>
      <c r="V22" s="682"/>
      <c r="W22" s="684"/>
      <c r="X22" s="685"/>
      <c r="Y22" s="355" t="s">
        <v>1309</v>
      </c>
      <c r="Z22" s="126"/>
      <c r="AA22" s="126"/>
      <c r="AB22" s="126"/>
      <c r="AC22" s="127"/>
      <c r="AD22" s="301">
        <v>19</v>
      </c>
      <c r="AE22" s="134"/>
      <c r="AF22" s="301">
        <v>6</v>
      </c>
      <c r="AG22" s="134"/>
      <c r="AH22" s="354" t="s">
        <v>198</v>
      </c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40"/>
      <c r="BB22" s="139"/>
      <c r="BC22" s="139"/>
      <c r="BD22" s="139"/>
      <c r="BE22" s="139"/>
      <c r="BF22" s="139"/>
      <c r="BG22" s="43"/>
      <c r="BK22" s="120" t="s">
        <v>856</v>
      </c>
      <c r="BL22" s="52" t="s">
        <v>857</v>
      </c>
    </row>
    <row r="23" spans="1:66">
      <c r="A23" s="681">
        <v>16</v>
      </c>
      <c r="B23" s="682"/>
      <c r="C23" s="414" t="str">
        <f t="shared" si="0"/>
        <v>备注</v>
      </c>
      <c r="D23" s="415"/>
      <c r="E23" s="415"/>
      <c r="F23" s="415"/>
      <c r="G23" s="415"/>
      <c r="H23" s="415"/>
      <c r="I23" s="415"/>
      <c r="J23" s="415"/>
      <c r="K23" s="416"/>
      <c r="L23" s="36" t="s">
        <v>29</v>
      </c>
      <c r="M23" s="139"/>
      <c r="N23" s="139"/>
      <c r="O23" s="139"/>
      <c r="P23" s="139"/>
      <c r="Q23" s="139"/>
      <c r="R23" s="139"/>
      <c r="S23" s="139"/>
      <c r="T23" s="139"/>
      <c r="U23" s="683"/>
      <c r="V23" s="682"/>
      <c r="W23" s="684"/>
      <c r="X23" s="685"/>
      <c r="Y23" s="300" t="s">
        <v>16</v>
      </c>
      <c r="Z23" s="126"/>
      <c r="AA23" s="126"/>
      <c r="AB23" s="126"/>
      <c r="AC23" s="127"/>
      <c r="AD23" s="301">
        <v>256</v>
      </c>
      <c r="AE23" s="134"/>
      <c r="AF23" s="301">
        <v>0</v>
      </c>
      <c r="AG23" s="134"/>
      <c r="AH23" s="138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40"/>
      <c r="BB23" s="139"/>
      <c r="BC23" s="139"/>
      <c r="BD23" s="139"/>
      <c r="BE23" s="139"/>
      <c r="BF23" s="139"/>
      <c r="BG23" s="43"/>
      <c r="BK23" s="120" t="s">
        <v>858</v>
      </c>
      <c r="BL23" s="52" t="s">
        <v>859</v>
      </c>
    </row>
    <row r="24" spans="1:66">
      <c r="A24" s="681">
        <v>17</v>
      </c>
      <c r="B24" s="682"/>
      <c r="C24" s="59" t="str">
        <f t="shared" si="0"/>
        <v>是否删除</v>
      </c>
      <c r="D24" s="139"/>
      <c r="E24" s="139"/>
      <c r="F24" s="139"/>
      <c r="G24" s="139"/>
      <c r="H24" s="139"/>
      <c r="I24" s="139"/>
      <c r="J24" s="139"/>
      <c r="K24" s="140"/>
      <c r="L24" s="36" t="s">
        <v>284</v>
      </c>
      <c r="M24" s="139"/>
      <c r="N24" s="139"/>
      <c r="O24" s="139"/>
      <c r="P24" s="139"/>
      <c r="Q24" s="139"/>
      <c r="R24" s="139"/>
      <c r="S24" s="139"/>
      <c r="T24" s="139"/>
      <c r="U24" s="683"/>
      <c r="V24" s="682"/>
      <c r="W24" s="684"/>
      <c r="X24" s="685"/>
      <c r="Y24" s="300" t="s">
        <v>303</v>
      </c>
      <c r="Z24" s="126"/>
      <c r="AA24" s="126"/>
      <c r="AB24" s="126"/>
      <c r="AC24" s="127"/>
      <c r="AD24" s="301">
        <v>0</v>
      </c>
      <c r="AE24" s="134"/>
      <c r="AF24" s="301">
        <v>0</v>
      </c>
      <c r="AG24" s="134"/>
      <c r="AH24" s="138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40"/>
      <c r="BB24" s="139"/>
      <c r="BC24" s="139"/>
      <c r="BD24" s="139"/>
      <c r="BE24" s="139"/>
      <c r="BF24" s="139"/>
      <c r="BG24" s="43"/>
      <c r="BK24" s="120" t="s">
        <v>860</v>
      </c>
      <c r="BL24" s="120" t="s">
        <v>861</v>
      </c>
    </row>
    <row r="25" spans="1:66">
      <c r="A25" s="681">
        <v>18</v>
      </c>
      <c r="B25" s="682"/>
      <c r="C25" s="59" t="str">
        <f t="shared" si="0"/>
        <v>是否叶子节点</v>
      </c>
      <c r="D25" s="139"/>
      <c r="E25" s="139"/>
      <c r="F25" s="139"/>
      <c r="G25" s="139"/>
      <c r="H25" s="139"/>
      <c r="I25" s="139"/>
      <c r="J25" s="139"/>
      <c r="K25" s="140"/>
      <c r="L25" s="36" t="s">
        <v>285</v>
      </c>
      <c r="M25" s="139"/>
      <c r="N25" s="139"/>
      <c r="O25" s="139"/>
      <c r="P25" s="139"/>
      <c r="Q25" s="139"/>
      <c r="R25" s="139"/>
      <c r="S25" s="139"/>
      <c r="T25" s="139"/>
      <c r="U25" s="683"/>
      <c r="V25" s="682"/>
      <c r="W25" s="684"/>
      <c r="X25" s="685"/>
      <c r="Y25" s="300" t="s">
        <v>303</v>
      </c>
      <c r="Z25" s="126"/>
      <c r="AA25" s="126"/>
      <c r="AB25" s="126"/>
      <c r="AC25" s="127"/>
      <c r="AD25" s="301">
        <v>0</v>
      </c>
      <c r="AE25" s="134"/>
      <c r="AF25" s="301">
        <v>0</v>
      </c>
      <c r="AG25" s="134"/>
      <c r="AH25" s="138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40"/>
      <c r="BB25" s="139"/>
      <c r="BC25" s="139"/>
      <c r="BD25" s="139"/>
      <c r="BE25" s="139"/>
      <c r="BF25" s="139"/>
      <c r="BG25" s="43"/>
      <c r="BK25" s="121" t="s">
        <v>970</v>
      </c>
      <c r="BL25" s="52" t="s">
        <v>862</v>
      </c>
      <c r="BM25" s="3" t="s">
        <v>1424</v>
      </c>
    </row>
    <row r="26" spans="1:66">
      <c r="A26" s="681">
        <v>19</v>
      </c>
      <c r="B26" s="682"/>
      <c r="C26" s="457" t="str">
        <f t="shared" si="0"/>
        <v>变更状态</v>
      </c>
      <c r="D26" s="460"/>
      <c r="E26" s="460"/>
      <c r="F26" s="460"/>
      <c r="G26" s="460"/>
      <c r="H26" s="460"/>
      <c r="I26" s="460"/>
      <c r="J26" s="460"/>
      <c r="K26" s="461"/>
      <c r="L26" s="331" t="s">
        <v>286</v>
      </c>
      <c r="M26" s="139"/>
      <c r="N26" s="139"/>
      <c r="O26" s="139"/>
      <c r="P26" s="139"/>
      <c r="Q26" s="139"/>
      <c r="R26" s="139"/>
      <c r="S26" s="139"/>
      <c r="T26" s="139"/>
      <c r="U26" s="683"/>
      <c r="V26" s="682"/>
      <c r="W26" s="684"/>
      <c r="X26" s="685"/>
      <c r="Y26" s="302" t="s">
        <v>303</v>
      </c>
      <c r="Z26" s="131"/>
      <c r="AA26" s="131"/>
      <c r="AB26" s="131"/>
      <c r="AC26" s="132"/>
      <c r="AD26" s="301">
        <v>0</v>
      </c>
      <c r="AE26" s="134"/>
      <c r="AF26" s="301">
        <v>0</v>
      </c>
      <c r="AG26" s="134"/>
      <c r="AH26" s="141" t="s">
        <v>1435</v>
      </c>
      <c r="AI26" s="142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  <c r="AU26" s="139"/>
      <c r="AV26" s="139"/>
      <c r="AW26" s="139"/>
      <c r="AX26" s="139"/>
      <c r="AY26" s="139"/>
      <c r="AZ26" s="139"/>
      <c r="BA26" s="140"/>
      <c r="BB26" s="139"/>
      <c r="BC26" s="139"/>
      <c r="BD26" s="139"/>
      <c r="BE26" s="139"/>
      <c r="BF26" s="139"/>
      <c r="BG26" s="43"/>
      <c r="BH26" s="36"/>
      <c r="BK26" s="120" t="s">
        <v>955</v>
      </c>
      <c r="BL26" s="52" t="s">
        <v>863</v>
      </c>
      <c r="BM26" s="3" t="s">
        <v>864</v>
      </c>
    </row>
    <row r="27" spans="1:66">
      <c r="A27" s="681">
        <v>20</v>
      </c>
      <c r="B27" s="682"/>
      <c r="C27" s="59" t="str">
        <f t="shared" si="0"/>
        <v>是否可分配计量</v>
      </c>
      <c r="D27" s="142"/>
      <c r="E27" s="142"/>
      <c r="F27" s="142"/>
      <c r="G27" s="142"/>
      <c r="H27" s="142"/>
      <c r="I27" s="142"/>
      <c r="J27" s="142"/>
      <c r="K27" s="143"/>
      <c r="L27" s="1" t="s">
        <v>287</v>
      </c>
      <c r="M27" s="142"/>
      <c r="N27" s="142"/>
      <c r="O27" s="142"/>
      <c r="P27" s="142"/>
      <c r="Q27" s="142"/>
      <c r="R27" s="142"/>
      <c r="S27" s="142"/>
      <c r="T27" s="142"/>
      <c r="U27" s="692"/>
      <c r="V27" s="693"/>
      <c r="W27" s="694"/>
      <c r="X27" s="695"/>
      <c r="Y27" s="302" t="s">
        <v>303</v>
      </c>
      <c r="Z27" s="131"/>
      <c r="AA27" s="131"/>
      <c r="AB27" s="131"/>
      <c r="AC27" s="132"/>
      <c r="AD27" s="301">
        <v>0</v>
      </c>
      <c r="AE27" s="134"/>
      <c r="AF27" s="301">
        <v>0</v>
      </c>
      <c r="AG27" s="134"/>
      <c r="AH27" s="141" t="s">
        <v>1436</v>
      </c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3"/>
      <c r="BB27" s="139"/>
      <c r="BC27" s="139"/>
      <c r="BD27" s="139"/>
      <c r="BE27" s="139"/>
      <c r="BF27" s="139"/>
      <c r="BG27" s="43"/>
      <c r="BH27" s="36"/>
      <c r="BK27" s="120" t="s">
        <v>865</v>
      </c>
      <c r="BL27" s="52" t="s">
        <v>865</v>
      </c>
      <c r="BM27" s="3"/>
    </row>
    <row r="28" spans="1:66">
      <c r="A28" s="681">
        <v>21</v>
      </c>
      <c r="B28" s="682"/>
      <c r="C28" s="59" t="str">
        <f t="shared" si="0"/>
        <v>updateFlag</v>
      </c>
      <c r="D28" s="142"/>
      <c r="E28" s="142"/>
      <c r="F28" s="142"/>
      <c r="G28" s="142"/>
      <c r="H28" s="142"/>
      <c r="I28" s="142"/>
      <c r="J28" s="142"/>
      <c r="K28" s="143"/>
      <c r="L28" s="1" t="s">
        <v>288</v>
      </c>
      <c r="M28" s="142"/>
      <c r="N28" s="142"/>
      <c r="O28" s="142"/>
      <c r="P28" s="142"/>
      <c r="Q28" s="142"/>
      <c r="R28" s="142"/>
      <c r="S28" s="142"/>
      <c r="T28" s="142"/>
      <c r="U28" s="692"/>
      <c r="V28" s="693"/>
      <c r="W28" s="694"/>
      <c r="X28" s="695"/>
      <c r="Y28" s="302" t="s">
        <v>16</v>
      </c>
      <c r="Z28" s="131"/>
      <c r="AA28" s="131"/>
      <c r="AB28" s="131"/>
      <c r="AC28" s="132"/>
      <c r="AD28" s="301">
        <v>16</v>
      </c>
      <c r="AE28" s="134"/>
      <c r="AF28" s="301">
        <v>0</v>
      </c>
      <c r="AG28" s="134"/>
      <c r="AH28" s="141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40"/>
      <c r="BB28" s="48"/>
      <c r="BC28" s="48"/>
      <c r="BD28" s="48"/>
      <c r="BE28" s="48"/>
      <c r="BF28" s="48"/>
      <c r="BG28" s="49"/>
      <c r="BK28" s="120" t="s">
        <v>866</v>
      </c>
      <c r="BL28" s="52" t="s">
        <v>1239</v>
      </c>
    </row>
    <row r="29" spans="1:66">
      <c r="A29" s="681">
        <v>22</v>
      </c>
      <c r="B29" s="682"/>
      <c r="C29" s="59" t="str">
        <f t="shared" si="0"/>
        <v>废弃字段</v>
      </c>
      <c r="D29" s="142"/>
      <c r="E29" s="142"/>
      <c r="F29" s="142"/>
      <c r="G29" s="142"/>
      <c r="H29" s="142"/>
      <c r="I29" s="142"/>
      <c r="J29" s="142"/>
      <c r="K29" s="143"/>
      <c r="L29" s="1" t="s">
        <v>41</v>
      </c>
      <c r="M29" s="142"/>
      <c r="N29" s="142"/>
      <c r="O29" s="142"/>
      <c r="P29" s="142"/>
      <c r="Q29" s="142"/>
      <c r="R29" s="142"/>
      <c r="S29" s="142"/>
      <c r="T29" s="142"/>
      <c r="U29" s="692"/>
      <c r="V29" s="693"/>
      <c r="W29" s="694"/>
      <c r="X29" s="695"/>
      <c r="Y29" s="302" t="s">
        <v>16</v>
      </c>
      <c r="Z29" s="131"/>
      <c r="AA29" s="131"/>
      <c r="AB29" s="131"/>
      <c r="AC29" s="132"/>
      <c r="AD29" s="301">
        <v>1024</v>
      </c>
      <c r="AE29" s="134"/>
      <c r="AF29" s="301">
        <v>0</v>
      </c>
      <c r="AG29" s="134"/>
      <c r="AH29" s="141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40"/>
      <c r="BB29" s="139"/>
      <c r="BC29" s="139"/>
      <c r="BD29" s="139"/>
      <c r="BE29" s="139"/>
      <c r="BF29" s="139"/>
      <c r="BG29" s="43"/>
      <c r="BK29" s="120" t="s">
        <v>867</v>
      </c>
      <c r="BL29" s="120" t="s">
        <v>867</v>
      </c>
    </row>
    <row r="30" spans="1:66">
      <c r="A30" s="681">
        <v>23</v>
      </c>
      <c r="B30" s="682"/>
      <c r="C30" s="59" t="str">
        <f t="shared" si="0"/>
        <v>pp1</v>
      </c>
      <c r="D30" s="142"/>
      <c r="E30" s="142"/>
      <c r="F30" s="142"/>
      <c r="G30" s="142"/>
      <c r="H30" s="142"/>
      <c r="I30" s="142"/>
      <c r="J30" s="142"/>
      <c r="K30" s="143"/>
      <c r="L30" s="1" t="s">
        <v>36</v>
      </c>
      <c r="M30" s="142"/>
      <c r="N30" s="142"/>
      <c r="O30" s="142"/>
      <c r="P30" s="142"/>
      <c r="Q30" s="142"/>
      <c r="R30" s="142"/>
      <c r="S30" s="142"/>
      <c r="T30" s="142"/>
      <c r="U30" s="692"/>
      <c r="V30" s="693"/>
      <c r="W30" s="694"/>
      <c r="X30" s="695"/>
      <c r="Y30" s="302" t="s">
        <v>16</v>
      </c>
      <c r="Z30" s="131"/>
      <c r="AA30" s="131"/>
      <c r="AB30" s="131"/>
      <c r="AC30" s="132"/>
      <c r="AD30" s="301">
        <v>64</v>
      </c>
      <c r="AE30" s="134"/>
      <c r="AF30" s="301">
        <v>0</v>
      </c>
      <c r="AG30" s="134"/>
      <c r="AH30" s="141"/>
      <c r="AQ30" s="139"/>
      <c r="AR30" s="139"/>
      <c r="AS30" s="139"/>
      <c r="AT30" s="139"/>
      <c r="AU30" s="139"/>
      <c r="AV30" s="139"/>
      <c r="AW30" s="139"/>
      <c r="AX30" s="139"/>
      <c r="AY30" s="139"/>
      <c r="AZ30" s="139"/>
      <c r="BA30" s="140"/>
      <c r="BB30" s="139"/>
      <c r="BC30" s="139"/>
      <c r="BD30" s="139"/>
      <c r="BE30" s="139"/>
      <c r="BF30" s="139"/>
      <c r="BG30" s="43"/>
      <c r="BK30" s="120" t="s">
        <v>67</v>
      </c>
      <c r="BL30" s="120" t="s">
        <v>67</v>
      </c>
      <c r="BM30" s="1"/>
      <c r="BN30" s="340"/>
    </row>
    <row r="31" spans="1:66">
      <c r="A31" s="681">
        <v>24</v>
      </c>
      <c r="B31" s="682"/>
      <c r="C31" s="59" t="str">
        <f t="shared" si="0"/>
        <v>pp2</v>
      </c>
      <c r="D31" s="142"/>
      <c r="E31" s="142"/>
      <c r="F31" s="142"/>
      <c r="G31" s="142"/>
      <c r="H31" s="142"/>
      <c r="I31" s="142"/>
      <c r="J31" s="142"/>
      <c r="K31" s="143"/>
      <c r="L31" s="1" t="s">
        <v>67</v>
      </c>
      <c r="M31" s="142"/>
      <c r="N31" s="142"/>
      <c r="O31" s="142"/>
      <c r="P31" s="142"/>
      <c r="Q31" s="142"/>
      <c r="R31" s="142"/>
      <c r="S31" s="142"/>
      <c r="T31" s="142"/>
      <c r="U31" s="692"/>
      <c r="V31" s="693"/>
      <c r="W31" s="694"/>
      <c r="X31" s="695"/>
      <c r="Y31" s="302" t="s">
        <v>16</v>
      </c>
      <c r="Z31" s="131"/>
      <c r="AA31" s="131"/>
      <c r="AB31" s="131"/>
      <c r="AC31" s="132"/>
      <c r="AD31" s="301">
        <v>64</v>
      </c>
      <c r="AE31" s="134"/>
      <c r="AF31" s="301">
        <v>0</v>
      </c>
      <c r="AG31" s="134"/>
      <c r="AH31" s="141"/>
      <c r="AI31" s="139"/>
      <c r="AJ31" s="139"/>
      <c r="AK31" s="139"/>
      <c r="AL31" s="139"/>
      <c r="AM31" s="139"/>
      <c r="AN31" s="139"/>
      <c r="AO31" s="139"/>
      <c r="AP31" s="139"/>
      <c r="AQ31" s="139"/>
      <c r="AR31" s="139"/>
      <c r="AS31" s="139"/>
      <c r="AT31" s="139"/>
      <c r="AU31" s="139"/>
      <c r="AV31" s="139"/>
      <c r="AW31" s="139"/>
      <c r="AX31" s="139"/>
      <c r="AY31" s="139"/>
      <c r="AZ31" s="139"/>
      <c r="BA31" s="140"/>
      <c r="BB31" s="139"/>
      <c r="BC31" s="139"/>
      <c r="BD31" s="139"/>
      <c r="BE31" s="139"/>
      <c r="BF31" s="139"/>
      <c r="BG31" s="43"/>
      <c r="BK31" s="120" t="s">
        <v>68</v>
      </c>
      <c r="BL31" s="120" t="s">
        <v>68</v>
      </c>
      <c r="BM31" s="1"/>
      <c r="BN31" s="340"/>
    </row>
    <row r="32" spans="1:66">
      <c r="A32" s="681">
        <v>25</v>
      </c>
      <c r="B32" s="682"/>
      <c r="C32" s="59" t="str">
        <f t="shared" si="0"/>
        <v>pp3</v>
      </c>
      <c r="D32" s="142"/>
      <c r="E32" s="142"/>
      <c r="F32" s="142"/>
      <c r="G32" s="142"/>
      <c r="H32" s="142"/>
      <c r="I32" s="142"/>
      <c r="J32" s="142"/>
      <c r="K32" s="143"/>
      <c r="L32" s="1" t="s">
        <v>68</v>
      </c>
      <c r="M32" s="142"/>
      <c r="N32" s="142"/>
      <c r="O32" s="142"/>
      <c r="P32" s="142"/>
      <c r="Q32" s="142"/>
      <c r="R32" s="142"/>
      <c r="S32" s="142"/>
      <c r="T32" s="142"/>
      <c r="U32" s="692"/>
      <c r="V32" s="693"/>
      <c r="W32" s="694"/>
      <c r="X32" s="695"/>
      <c r="Y32" s="302" t="s">
        <v>16</v>
      </c>
      <c r="Z32" s="131"/>
      <c r="AA32" s="131"/>
      <c r="AB32" s="131"/>
      <c r="AC32" s="132"/>
      <c r="AD32" s="301">
        <v>64</v>
      </c>
      <c r="AE32" s="134"/>
      <c r="AF32" s="301">
        <v>0</v>
      </c>
      <c r="AG32" s="134"/>
      <c r="AH32" s="141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40"/>
      <c r="BB32" s="139"/>
      <c r="BC32" s="139"/>
      <c r="BD32" s="139"/>
      <c r="BE32" s="139"/>
      <c r="BF32" s="139"/>
      <c r="BG32" s="43"/>
      <c r="BK32" s="120" t="s">
        <v>44</v>
      </c>
      <c r="BL32" s="120" t="s">
        <v>44</v>
      </c>
      <c r="BM32" s="1"/>
      <c r="BN32" s="340"/>
    </row>
    <row r="33" spans="1:66">
      <c r="A33" s="681">
        <v>26</v>
      </c>
      <c r="B33" s="682"/>
      <c r="C33" s="59" t="str">
        <f t="shared" si="0"/>
        <v>pp4</v>
      </c>
      <c r="D33" s="142"/>
      <c r="E33" s="142"/>
      <c r="F33" s="142"/>
      <c r="G33" s="142"/>
      <c r="H33" s="142"/>
      <c r="I33" s="142"/>
      <c r="J33" s="142"/>
      <c r="K33" s="143"/>
      <c r="L33" s="1" t="s">
        <v>44</v>
      </c>
      <c r="M33" s="142"/>
      <c r="N33" s="142"/>
      <c r="O33" s="142"/>
      <c r="P33" s="142"/>
      <c r="Q33" s="142"/>
      <c r="R33" s="142"/>
      <c r="S33" s="142"/>
      <c r="T33" s="142"/>
      <c r="U33" s="692"/>
      <c r="V33" s="693"/>
      <c r="W33" s="694"/>
      <c r="X33" s="695"/>
      <c r="Y33" s="302" t="s">
        <v>16</v>
      </c>
      <c r="Z33" s="131"/>
      <c r="AA33" s="131"/>
      <c r="AB33" s="131"/>
      <c r="AC33" s="132"/>
      <c r="AD33" s="301">
        <v>64</v>
      </c>
      <c r="AE33" s="134"/>
      <c r="AF33" s="301">
        <v>0</v>
      </c>
      <c r="AG33" s="134"/>
      <c r="AH33" s="141"/>
      <c r="AI33" s="139"/>
      <c r="AJ33" s="139"/>
      <c r="AK33" s="139"/>
      <c r="AL33" s="139"/>
      <c r="AM33" s="139"/>
      <c r="AN33" s="139"/>
      <c r="AO33" s="139"/>
      <c r="AP33" s="139"/>
      <c r="AQ33" s="139"/>
      <c r="AR33" s="139"/>
      <c r="AS33" s="139"/>
      <c r="AT33" s="139"/>
      <c r="AU33" s="139"/>
      <c r="AV33" s="139"/>
      <c r="AW33" s="139"/>
      <c r="AX33" s="139"/>
      <c r="AY33" s="139"/>
      <c r="AZ33" s="139"/>
      <c r="BA33" s="140"/>
      <c r="BB33" s="139"/>
      <c r="BC33" s="139"/>
      <c r="BD33" s="139"/>
      <c r="BE33" s="139"/>
      <c r="BF33" s="139"/>
      <c r="BG33" s="43"/>
      <c r="BK33" s="101" t="s">
        <v>45</v>
      </c>
      <c r="BL33" s="101" t="s">
        <v>45</v>
      </c>
      <c r="BM33" s="1"/>
      <c r="BN33" s="340"/>
    </row>
    <row r="34" spans="1:66">
      <c r="A34" s="681">
        <v>27</v>
      </c>
      <c r="B34" s="682"/>
      <c r="C34" s="59" t="str">
        <f t="shared" si="0"/>
        <v>pp5</v>
      </c>
      <c r="D34" s="139"/>
      <c r="E34" s="139"/>
      <c r="F34" s="139"/>
      <c r="G34" s="139"/>
      <c r="H34" s="139"/>
      <c r="I34" s="139"/>
      <c r="J34" s="139"/>
      <c r="K34" s="140"/>
      <c r="L34" s="36" t="s">
        <v>45</v>
      </c>
      <c r="M34" s="139"/>
      <c r="N34" s="139"/>
      <c r="O34" s="139"/>
      <c r="P34" s="139"/>
      <c r="Q34" s="139"/>
      <c r="R34" s="139"/>
      <c r="S34" s="139"/>
      <c r="T34" s="139"/>
      <c r="U34" s="683"/>
      <c r="V34" s="682"/>
      <c r="W34" s="684"/>
      <c r="X34" s="685"/>
      <c r="Y34" s="300" t="s">
        <v>16</v>
      </c>
      <c r="Z34" s="126"/>
      <c r="AA34" s="126"/>
      <c r="AB34" s="126"/>
      <c r="AC34" s="127"/>
      <c r="AD34" s="301">
        <v>64</v>
      </c>
      <c r="AE34" s="134"/>
      <c r="AF34" s="301">
        <v>0</v>
      </c>
      <c r="AG34" s="134"/>
      <c r="AH34" s="138"/>
      <c r="AI34" s="139"/>
      <c r="AJ34" s="139"/>
      <c r="AK34" s="139"/>
      <c r="AL34" s="139"/>
      <c r="AM34" s="139"/>
      <c r="AN34" s="139"/>
      <c r="AO34" s="139"/>
      <c r="AP34" s="139"/>
      <c r="AQ34" s="139"/>
      <c r="AR34" s="139"/>
      <c r="AS34" s="139"/>
      <c r="AT34" s="139"/>
      <c r="AU34" s="139"/>
      <c r="AV34" s="139"/>
      <c r="AW34" s="139"/>
      <c r="AX34" s="139"/>
      <c r="AY34" s="139"/>
      <c r="AZ34" s="139"/>
      <c r="BA34" s="140"/>
      <c r="BB34" s="139"/>
      <c r="BC34" s="139"/>
      <c r="BD34" s="139"/>
      <c r="BE34" s="139"/>
      <c r="BF34" s="139"/>
      <c r="BG34" s="43"/>
      <c r="BK34" s="101" t="s">
        <v>38</v>
      </c>
      <c r="BL34" s="101" t="s">
        <v>38</v>
      </c>
      <c r="BM34" s="1"/>
      <c r="BN34" s="340"/>
    </row>
    <row r="35" spans="1:66">
      <c r="A35" s="681">
        <v>28</v>
      </c>
      <c r="B35" s="682"/>
      <c r="C35" s="59" t="str">
        <f t="shared" si="0"/>
        <v>pp6</v>
      </c>
      <c r="D35" s="139"/>
      <c r="E35" s="139"/>
      <c r="F35" s="139"/>
      <c r="G35" s="139"/>
      <c r="H35" s="139"/>
      <c r="I35" s="139"/>
      <c r="J35" s="139"/>
      <c r="K35" s="140"/>
      <c r="L35" s="36" t="s">
        <v>38</v>
      </c>
      <c r="M35" s="139"/>
      <c r="N35" s="139"/>
      <c r="O35" s="139"/>
      <c r="P35" s="139"/>
      <c r="Q35" s="139"/>
      <c r="R35" s="139"/>
      <c r="S35" s="139"/>
      <c r="T35" s="139"/>
      <c r="U35" s="683"/>
      <c r="V35" s="682"/>
      <c r="W35" s="684"/>
      <c r="X35" s="685"/>
      <c r="Y35" s="300" t="s">
        <v>16</v>
      </c>
      <c r="Z35" s="126"/>
      <c r="AA35" s="126"/>
      <c r="AB35" s="126"/>
      <c r="AC35" s="127"/>
      <c r="AD35" s="301">
        <v>256</v>
      </c>
      <c r="AE35" s="134"/>
      <c r="AF35" s="301">
        <v>0</v>
      </c>
      <c r="AG35" s="134"/>
      <c r="AH35" s="138"/>
      <c r="AI35" s="139"/>
      <c r="AJ35" s="139"/>
      <c r="AK35" s="139"/>
      <c r="AL35" s="139"/>
      <c r="AM35" s="139"/>
      <c r="AN35" s="139"/>
      <c r="AO35" s="139"/>
      <c r="AP35" s="139"/>
      <c r="AQ35" s="139"/>
      <c r="AR35" s="139"/>
      <c r="AS35" s="139"/>
      <c r="AT35" s="139"/>
      <c r="AU35" s="139"/>
      <c r="AV35" s="139"/>
      <c r="AW35" s="139"/>
      <c r="AX35" s="139"/>
      <c r="AY35" s="139"/>
      <c r="AZ35" s="139"/>
      <c r="BA35" s="140"/>
      <c r="BB35" s="139"/>
      <c r="BC35" s="139"/>
      <c r="BD35" s="139"/>
      <c r="BE35" s="139"/>
      <c r="BF35" s="139"/>
      <c r="BG35" s="43"/>
      <c r="BK35" s="101" t="s">
        <v>34</v>
      </c>
      <c r="BL35" s="101" t="s">
        <v>34</v>
      </c>
      <c r="BM35" s="1"/>
      <c r="BN35" s="340"/>
    </row>
    <row r="36" spans="1:66">
      <c r="A36" s="681">
        <v>29</v>
      </c>
      <c r="B36" s="682"/>
      <c r="C36" s="59" t="str">
        <f t="shared" si="0"/>
        <v>pp7</v>
      </c>
      <c r="D36" s="139"/>
      <c r="E36" s="139"/>
      <c r="F36" s="139"/>
      <c r="G36" s="139"/>
      <c r="H36" s="139"/>
      <c r="I36" s="139"/>
      <c r="J36" s="139"/>
      <c r="K36" s="140"/>
      <c r="L36" s="36" t="s">
        <v>34</v>
      </c>
      <c r="M36" s="139"/>
      <c r="N36" s="139"/>
      <c r="O36" s="139"/>
      <c r="P36" s="139"/>
      <c r="Q36" s="139"/>
      <c r="R36" s="139"/>
      <c r="S36" s="139"/>
      <c r="T36" s="139"/>
      <c r="U36" s="683"/>
      <c r="V36" s="682"/>
      <c r="W36" s="684"/>
      <c r="X36" s="685"/>
      <c r="Y36" s="300" t="s">
        <v>16</v>
      </c>
      <c r="Z36" s="126"/>
      <c r="AA36" s="126"/>
      <c r="AB36" s="126"/>
      <c r="AC36" s="127"/>
      <c r="AD36" s="301">
        <v>256</v>
      </c>
      <c r="AE36" s="134"/>
      <c r="AF36" s="301">
        <v>0</v>
      </c>
      <c r="AG36" s="134"/>
      <c r="AH36" s="138"/>
      <c r="AI36" s="139"/>
      <c r="AJ36" s="139"/>
      <c r="AK36" s="139"/>
      <c r="AL36" s="139"/>
      <c r="AM36" s="139"/>
      <c r="AN36" s="139"/>
      <c r="AO36" s="139"/>
      <c r="AP36" s="139"/>
      <c r="AQ36" s="139"/>
      <c r="AR36" s="139"/>
      <c r="AS36" s="139"/>
      <c r="AT36" s="139"/>
      <c r="AU36" s="139"/>
      <c r="AV36" s="139"/>
      <c r="AW36" s="139"/>
      <c r="AX36" s="139"/>
      <c r="AY36" s="139"/>
      <c r="AZ36" s="139"/>
      <c r="BA36" s="140"/>
      <c r="BB36" s="139"/>
      <c r="BC36" s="139"/>
      <c r="BD36" s="139"/>
      <c r="BE36" s="139"/>
      <c r="BF36" s="139"/>
      <c r="BG36" s="43"/>
      <c r="BK36" s="101" t="s">
        <v>37</v>
      </c>
      <c r="BL36" s="101" t="s">
        <v>37</v>
      </c>
      <c r="BM36" s="1"/>
      <c r="BN36" s="340"/>
    </row>
    <row r="37" spans="1:66">
      <c r="A37" s="681">
        <v>30</v>
      </c>
      <c r="B37" s="682"/>
      <c r="C37" s="59" t="str">
        <f t="shared" si="0"/>
        <v>pp8</v>
      </c>
      <c r="D37" s="139"/>
      <c r="E37" s="139"/>
      <c r="F37" s="139"/>
      <c r="G37" s="139"/>
      <c r="H37" s="139"/>
      <c r="I37" s="139"/>
      <c r="J37" s="139"/>
      <c r="K37" s="140"/>
      <c r="L37" s="36" t="s">
        <v>37</v>
      </c>
      <c r="M37" s="139"/>
      <c r="N37" s="139"/>
      <c r="O37" s="139"/>
      <c r="P37" s="139"/>
      <c r="Q37" s="139"/>
      <c r="R37" s="139"/>
      <c r="S37" s="139"/>
      <c r="T37" s="139"/>
      <c r="U37" s="683"/>
      <c r="V37" s="682"/>
      <c r="W37" s="684"/>
      <c r="X37" s="685"/>
      <c r="Y37" s="300" t="s">
        <v>16</v>
      </c>
      <c r="Z37" s="126"/>
      <c r="AA37" s="126"/>
      <c r="AB37" s="126"/>
      <c r="AC37" s="127"/>
      <c r="AD37" s="301">
        <v>256</v>
      </c>
      <c r="AE37" s="134"/>
      <c r="AF37" s="301">
        <v>0</v>
      </c>
      <c r="AG37" s="134"/>
      <c r="AH37" s="138"/>
      <c r="AI37" s="139"/>
      <c r="AJ37" s="139"/>
      <c r="AK37" s="139"/>
      <c r="AL37" s="139"/>
      <c r="AM37" s="139"/>
      <c r="AN37" s="139"/>
      <c r="AO37" s="139"/>
      <c r="AP37" s="139"/>
      <c r="AQ37" s="139"/>
      <c r="AR37" s="139"/>
      <c r="AS37" s="139"/>
      <c r="AT37" s="139"/>
      <c r="AU37" s="139"/>
      <c r="AV37" s="139"/>
      <c r="AW37" s="139"/>
      <c r="AX37" s="139"/>
      <c r="AY37" s="139"/>
      <c r="AZ37" s="139"/>
      <c r="BA37" s="140"/>
      <c r="BB37" s="139"/>
      <c r="BC37" s="139"/>
      <c r="BD37" s="139"/>
      <c r="BE37" s="139"/>
      <c r="BF37" s="139"/>
      <c r="BG37" s="43"/>
      <c r="BK37" s="101" t="s">
        <v>69</v>
      </c>
      <c r="BL37" s="101" t="s">
        <v>69</v>
      </c>
      <c r="BM37" s="1"/>
      <c r="BN37" s="340"/>
    </row>
    <row r="38" spans="1:66">
      <c r="A38" s="681">
        <v>31</v>
      </c>
      <c r="B38" s="682"/>
      <c r="C38" s="59" t="str">
        <f t="shared" si="0"/>
        <v>pp9</v>
      </c>
      <c r="D38" s="139"/>
      <c r="E38" s="139"/>
      <c r="F38" s="139"/>
      <c r="G38" s="139"/>
      <c r="H38" s="139"/>
      <c r="I38" s="139"/>
      <c r="J38" s="139"/>
      <c r="K38" s="140"/>
      <c r="L38" s="36" t="s">
        <v>69</v>
      </c>
      <c r="M38" s="139"/>
      <c r="N38" s="139"/>
      <c r="O38" s="139"/>
      <c r="P38" s="139"/>
      <c r="Q38" s="139"/>
      <c r="R38" s="139"/>
      <c r="S38" s="139"/>
      <c r="T38" s="139"/>
      <c r="U38" s="683"/>
      <c r="V38" s="682"/>
      <c r="W38" s="684"/>
      <c r="X38" s="685"/>
      <c r="Y38" s="300" t="s">
        <v>16</v>
      </c>
      <c r="Z38" s="126"/>
      <c r="AA38" s="126"/>
      <c r="AB38" s="126"/>
      <c r="AC38" s="127"/>
      <c r="AD38" s="301">
        <v>256</v>
      </c>
      <c r="AE38" s="134"/>
      <c r="AF38" s="301">
        <v>0</v>
      </c>
      <c r="AG38" s="134"/>
      <c r="AH38" s="138"/>
      <c r="AI38" s="139"/>
      <c r="AJ38" s="139"/>
      <c r="AK38" s="139"/>
      <c r="AL38" s="139"/>
      <c r="AM38" s="139"/>
      <c r="AN38" s="139"/>
      <c r="AO38" s="139"/>
      <c r="AP38" s="139"/>
      <c r="AQ38" s="139"/>
      <c r="AR38" s="139"/>
      <c r="AS38" s="139"/>
      <c r="AT38" s="139"/>
      <c r="AU38" s="139"/>
      <c r="AV38" s="139"/>
      <c r="AW38" s="139"/>
      <c r="AX38" s="139"/>
      <c r="AY38" s="139"/>
      <c r="AZ38" s="139"/>
      <c r="BA38" s="140"/>
      <c r="BB38" s="139"/>
      <c r="BC38" s="139"/>
      <c r="BD38" s="139"/>
      <c r="BE38" s="139"/>
      <c r="BF38" s="139"/>
      <c r="BG38" s="43"/>
      <c r="BK38" s="101" t="s">
        <v>70</v>
      </c>
      <c r="BL38" s="101" t="s">
        <v>70</v>
      </c>
      <c r="BM38" s="1"/>
      <c r="BN38" s="340"/>
    </row>
    <row r="39" spans="1:66">
      <c r="A39" s="681">
        <v>32</v>
      </c>
      <c r="B39" s="682"/>
      <c r="C39" s="59" t="str">
        <f t="shared" si="0"/>
        <v>pp10</v>
      </c>
      <c r="D39" s="139"/>
      <c r="E39" s="139"/>
      <c r="F39" s="139"/>
      <c r="G39" s="139"/>
      <c r="H39" s="139"/>
      <c r="I39" s="139"/>
      <c r="J39" s="139"/>
      <c r="K39" s="140"/>
      <c r="L39" s="36" t="s">
        <v>70</v>
      </c>
      <c r="M39" s="139"/>
      <c r="N39" s="139"/>
      <c r="O39" s="139"/>
      <c r="P39" s="139"/>
      <c r="Q39" s="139"/>
      <c r="R39" s="139"/>
      <c r="S39" s="139"/>
      <c r="T39" s="139"/>
      <c r="U39" s="683"/>
      <c r="V39" s="682"/>
      <c r="W39" s="684"/>
      <c r="X39" s="685"/>
      <c r="Y39" s="300" t="s">
        <v>16</v>
      </c>
      <c r="Z39" s="126"/>
      <c r="AA39" s="126"/>
      <c r="AB39" s="126"/>
      <c r="AC39" s="127"/>
      <c r="AD39" s="301">
        <v>256</v>
      </c>
      <c r="AE39" s="134"/>
      <c r="AF39" s="301">
        <v>0</v>
      </c>
      <c r="AG39" s="134"/>
      <c r="AH39" s="138"/>
      <c r="AI39" s="139"/>
      <c r="AJ39" s="139"/>
      <c r="AK39" s="139"/>
      <c r="AL39" s="139"/>
      <c r="AM39" s="139"/>
      <c r="AN39" s="139"/>
      <c r="AO39" s="139"/>
      <c r="AP39" s="139"/>
      <c r="AQ39" s="139"/>
      <c r="AR39" s="139"/>
      <c r="AS39" s="139"/>
      <c r="AT39" s="139"/>
      <c r="AU39" s="139"/>
      <c r="AV39" s="139"/>
      <c r="AW39" s="139"/>
      <c r="AX39" s="139"/>
      <c r="AY39" s="139"/>
      <c r="AZ39" s="139"/>
      <c r="BA39" s="140"/>
      <c r="BB39" s="139"/>
      <c r="BC39" s="139"/>
      <c r="BD39" s="139"/>
      <c r="BE39" s="139"/>
      <c r="BF39" s="139"/>
      <c r="BG39" s="43"/>
      <c r="BK39" s="120" t="s">
        <v>904</v>
      </c>
      <c r="BL39" s="52" t="s">
        <v>905</v>
      </c>
      <c r="BM39" s="1"/>
      <c r="BN39" s="340"/>
    </row>
    <row r="40" spans="1:66">
      <c r="A40" s="681">
        <v>33</v>
      </c>
      <c r="B40" s="682"/>
      <c r="C40" s="59" t="str">
        <f t="shared" si="0"/>
        <v>最后编辑时间</v>
      </c>
      <c r="D40" s="139"/>
      <c r="E40" s="139"/>
      <c r="F40" s="139"/>
      <c r="G40" s="139"/>
      <c r="H40" s="139"/>
      <c r="I40" s="139"/>
      <c r="J40" s="139"/>
      <c r="K40" s="140"/>
      <c r="L40" s="36" t="s">
        <v>30</v>
      </c>
      <c r="M40" s="139"/>
      <c r="N40" s="139"/>
      <c r="O40" s="139"/>
      <c r="P40" s="139"/>
      <c r="Q40" s="139"/>
      <c r="R40" s="139"/>
      <c r="S40" s="139"/>
      <c r="T40" s="139"/>
      <c r="U40" s="683"/>
      <c r="V40" s="682"/>
      <c r="W40" s="684"/>
      <c r="X40" s="685"/>
      <c r="Y40" s="300" t="s">
        <v>17</v>
      </c>
      <c r="Z40" s="126"/>
      <c r="AA40" s="126"/>
      <c r="AB40" s="126"/>
      <c r="AC40" s="127"/>
      <c r="AD40" s="301"/>
      <c r="AE40" s="134"/>
      <c r="AF40" s="301"/>
      <c r="AG40" s="134"/>
      <c r="AH40" s="330" t="s">
        <v>1317</v>
      </c>
      <c r="AI40" s="139"/>
      <c r="AJ40" s="139"/>
      <c r="AK40" s="139"/>
      <c r="AL40" s="139"/>
      <c r="AM40" s="139"/>
      <c r="AN40" s="139"/>
      <c r="AO40" s="139"/>
      <c r="AP40" s="139"/>
      <c r="AQ40" s="139"/>
      <c r="AR40" s="139"/>
      <c r="AS40" s="139"/>
      <c r="AT40" s="139"/>
      <c r="AU40" s="139"/>
      <c r="AV40" s="139"/>
      <c r="AW40" s="139"/>
      <c r="AX40" s="139"/>
      <c r="AY40" s="139"/>
      <c r="AZ40" s="139"/>
      <c r="BA40" s="140"/>
      <c r="BB40" s="139"/>
      <c r="BC40" s="139"/>
      <c r="BD40" s="139"/>
      <c r="BE40" s="139"/>
      <c r="BF40" s="139"/>
      <c r="BG40" s="43"/>
      <c r="BK40" s="120" t="s">
        <v>871</v>
      </c>
      <c r="BL40" s="120" t="s">
        <v>872</v>
      </c>
      <c r="BM40" s="1"/>
      <c r="BN40" s="340"/>
    </row>
    <row r="41" spans="1:66">
      <c r="A41" s="681">
        <v>34</v>
      </c>
      <c r="B41" s="682"/>
      <c r="C41" s="59" t="str">
        <f t="shared" si="0"/>
        <v>核定数量</v>
      </c>
      <c r="D41" s="139"/>
      <c r="E41" s="139"/>
      <c r="F41" s="139"/>
      <c r="G41" s="139"/>
      <c r="H41" s="139"/>
      <c r="I41" s="139"/>
      <c r="J41" s="139"/>
      <c r="K41" s="140"/>
      <c r="L41" s="36" t="s">
        <v>289</v>
      </c>
      <c r="M41" s="139"/>
      <c r="N41" s="139"/>
      <c r="O41" s="139"/>
      <c r="P41" s="139"/>
      <c r="Q41" s="139"/>
      <c r="R41" s="139"/>
      <c r="S41" s="139"/>
      <c r="T41" s="139"/>
      <c r="U41" s="683"/>
      <c r="V41" s="682"/>
      <c r="W41" s="684"/>
      <c r="X41" s="685"/>
      <c r="Y41" s="355" t="s">
        <v>1308</v>
      </c>
      <c r="Z41" s="126"/>
      <c r="AA41" s="126"/>
      <c r="AB41" s="126"/>
      <c r="AC41" s="127"/>
      <c r="AD41" s="301">
        <v>19</v>
      </c>
      <c r="AE41" s="134"/>
      <c r="AF41" s="301">
        <v>6</v>
      </c>
      <c r="AG41" s="134"/>
      <c r="AH41" s="354" t="s">
        <v>198</v>
      </c>
      <c r="AI41" s="139"/>
      <c r="AJ41" s="139"/>
      <c r="AK41" s="139"/>
      <c r="AL41" s="139"/>
      <c r="AM41" s="139"/>
      <c r="AN41" s="139"/>
      <c r="AO41" s="139"/>
      <c r="AP41" s="139"/>
      <c r="AQ41" s="139"/>
      <c r="AR41" s="139"/>
      <c r="AS41" s="139"/>
      <c r="AT41" s="139"/>
      <c r="AU41" s="139"/>
      <c r="AV41" s="139"/>
      <c r="AW41" s="139"/>
      <c r="AX41" s="139"/>
      <c r="AY41" s="139"/>
      <c r="AZ41" s="139"/>
      <c r="BA41" s="140"/>
      <c r="BB41" s="139"/>
      <c r="BC41" s="139"/>
      <c r="BD41" s="139"/>
      <c r="BE41" s="139"/>
      <c r="BF41" s="139"/>
      <c r="BG41" s="43"/>
      <c r="BK41" s="121" t="s">
        <v>873</v>
      </c>
      <c r="BL41" s="52" t="s">
        <v>874</v>
      </c>
      <c r="BM41" s="1"/>
      <c r="BN41" s="340"/>
    </row>
    <row r="42" spans="1:66">
      <c r="A42" s="681">
        <v>35</v>
      </c>
      <c r="B42" s="682"/>
      <c r="C42" s="59" t="str">
        <f t="shared" si="0"/>
        <v>预计变更后数量</v>
      </c>
      <c r="D42" s="334"/>
      <c r="E42" s="334"/>
      <c r="F42" s="334"/>
      <c r="G42" s="334"/>
      <c r="H42" s="334"/>
      <c r="I42" s="334"/>
      <c r="J42" s="334"/>
      <c r="K42" s="335"/>
      <c r="L42" s="331" t="s">
        <v>290</v>
      </c>
      <c r="M42" s="139"/>
      <c r="N42" s="139"/>
      <c r="O42" s="139"/>
      <c r="P42" s="139"/>
      <c r="Q42" s="139"/>
      <c r="R42" s="139"/>
      <c r="S42" s="139"/>
      <c r="T42" s="139"/>
      <c r="U42" s="683"/>
      <c r="V42" s="682"/>
      <c r="W42" s="684"/>
      <c r="X42" s="685"/>
      <c r="Y42" s="302" t="s">
        <v>1309</v>
      </c>
      <c r="Z42" s="131"/>
      <c r="AA42" s="131"/>
      <c r="AB42" s="131"/>
      <c r="AC42" s="132"/>
      <c r="AD42" s="301">
        <v>19</v>
      </c>
      <c r="AE42" s="134"/>
      <c r="AF42" s="301">
        <v>6</v>
      </c>
      <c r="AG42" s="134"/>
      <c r="AH42" s="355" t="s">
        <v>198</v>
      </c>
      <c r="AI42" s="142"/>
      <c r="AJ42" s="139"/>
      <c r="AK42" s="139"/>
      <c r="AL42" s="139"/>
      <c r="AM42" s="139"/>
      <c r="AN42" s="139"/>
      <c r="AO42" s="139"/>
      <c r="AP42" s="139"/>
      <c r="AQ42" s="139"/>
      <c r="AR42" s="139"/>
      <c r="AS42" s="139"/>
      <c r="AT42" s="139"/>
      <c r="AU42" s="139"/>
      <c r="AV42" s="139"/>
      <c r="AW42" s="139"/>
      <c r="AX42" s="139"/>
      <c r="AY42" s="139"/>
      <c r="AZ42" s="139"/>
      <c r="BA42" s="140"/>
      <c r="BB42" s="139"/>
      <c r="BC42" s="139"/>
      <c r="BD42" s="139"/>
      <c r="BE42" s="139"/>
      <c r="BF42" s="139"/>
      <c r="BG42" s="43"/>
      <c r="BH42" s="36"/>
      <c r="BK42" s="120" t="s">
        <v>876</v>
      </c>
      <c r="BL42" s="52" t="s">
        <v>875</v>
      </c>
      <c r="BM42" s="1"/>
      <c r="BN42" s="340"/>
    </row>
    <row r="43" spans="1:66">
      <c r="A43" s="681">
        <v>36</v>
      </c>
      <c r="B43" s="682"/>
      <c r="C43" s="59" t="str">
        <f t="shared" si="0"/>
        <v>预计变更后单价</v>
      </c>
      <c r="D43" s="142"/>
      <c r="E43" s="142"/>
      <c r="F43" s="142"/>
      <c r="G43" s="142"/>
      <c r="H43" s="142"/>
      <c r="I43" s="142"/>
      <c r="J43" s="142"/>
      <c r="K43" s="143"/>
      <c r="L43" s="1" t="s">
        <v>291</v>
      </c>
      <c r="M43" s="142"/>
      <c r="N43" s="142"/>
      <c r="O43" s="142"/>
      <c r="P43" s="142"/>
      <c r="Q43" s="142"/>
      <c r="R43" s="142"/>
      <c r="S43" s="142"/>
      <c r="T43" s="142"/>
      <c r="U43" s="692"/>
      <c r="V43" s="693"/>
      <c r="W43" s="694"/>
      <c r="X43" s="695"/>
      <c r="Y43" s="302" t="s">
        <v>1316</v>
      </c>
      <c r="Z43" s="131"/>
      <c r="AA43" s="131"/>
      <c r="AB43" s="131"/>
      <c r="AC43" s="132"/>
      <c r="AD43" s="301">
        <v>19</v>
      </c>
      <c r="AE43" s="134"/>
      <c r="AF43" s="301">
        <v>6</v>
      </c>
      <c r="AG43" s="134"/>
      <c r="AH43" s="355" t="s">
        <v>198</v>
      </c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3"/>
      <c r="BB43" s="139"/>
      <c r="BC43" s="139"/>
      <c r="BD43" s="139"/>
      <c r="BE43" s="139"/>
      <c r="BF43" s="139"/>
      <c r="BG43" s="43"/>
      <c r="BH43" s="36"/>
      <c r="BK43" s="120" t="s">
        <v>1429</v>
      </c>
      <c r="BL43" s="52" t="s">
        <v>838</v>
      </c>
      <c r="BM43" s="1" t="s">
        <v>971</v>
      </c>
      <c r="BN43" s="340"/>
    </row>
    <row r="44" spans="1:66">
      <c r="A44" s="681">
        <v>37</v>
      </c>
      <c r="B44" s="682"/>
      <c r="C44" s="59" t="str">
        <f t="shared" si="0"/>
        <v>清单类型</v>
      </c>
      <c r="D44" s="142"/>
      <c r="E44" s="142"/>
      <c r="F44" s="142"/>
      <c r="G44" s="142"/>
      <c r="H44" s="142"/>
      <c r="I44" s="142"/>
      <c r="J44" s="142"/>
      <c r="K44" s="143"/>
      <c r="L44" s="1" t="s">
        <v>292</v>
      </c>
      <c r="M44" s="142"/>
      <c r="N44" s="142"/>
      <c r="O44" s="142"/>
      <c r="P44" s="142"/>
      <c r="Q44" s="142"/>
      <c r="R44" s="142"/>
      <c r="S44" s="142"/>
      <c r="T44" s="142"/>
      <c r="U44" s="692"/>
      <c r="V44" s="693"/>
      <c r="W44" s="694"/>
      <c r="X44" s="695"/>
      <c r="Y44" s="302" t="s">
        <v>16</v>
      </c>
      <c r="Z44" s="131"/>
      <c r="AA44" s="131"/>
      <c r="AB44" s="131"/>
      <c r="AC44" s="132"/>
      <c r="AD44" s="301">
        <v>16</v>
      </c>
      <c r="AE44" s="134"/>
      <c r="AF44" s="301">
        <v>0</v>
      </c>
      <c r="AG44" s="134"/>
      <c r="AH44" s="141" t="s">
        <v>1432</v>
      </c>
      <c r="AI44" s="139"/>
      <c r="AJ44" s="139"/>
      <c r="AK44" s="139"/>
      <c r="AL44" s="139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  <c r="AX44" s="139"/>
      <c r="AY44" s="139"/>
      <c r="AZ44" s="139"/>
      <c r="BA44" s="140"/>
      <c r="BB44" s="48"/>
      <c r="BC44" s="48"/>
      <c r="BD44" s="48"/>
      <c r="BE44" s="48"/>
      <c r="BF44" s="48"/>
      <c r="BG44" s="49"/>
      <c r="BK44" s="120" t="s">
        <v>879</v>
      </c>
      <c r="BL44" s="52" t="s">
        <v>880</v>
      </c>
      <c r="BM44" s="1"/>
      <c r="BN44" s="340"/>
    </row>
    <row r="45" spans="1:66">
      <c r="A45" s="681">
        <v>38</v>
      </c>
      <c r="B45" s="682"/>
      <c r="C45" s="59" t="str">
        <f t="shared" si="0"/>
        <v>用于判断是否要重算预算单价</v>
      </c>
      <c r="D45" s="142"/>
      <c r="E45" s="142"/>
      <c r="F45" s="142"/>
      <c r="G45" s="142"/>
      <c r="H45" s="142"/>
      <c r="I45" s="142"/>
      <c r="J45" s="142"/>
      <c r="K45" s="143"/>
      <c r="L45" s="1" t="s">
        <v>293</v>
      </c>
      <c r="M45" s="142"/>
      <c r="N45" s="142"/>
      <c r="O45" s="142"/>
      <c r="P45" s="142"/>
      <c r="Q45" s="142"/>
      <c r="R45" s="142"/>
      <c r="S45" s="142"/>
      <c r="T45" s="142"/>
      <c r="U45" s="692"/>
      <c r="V45" s="693"/>
      <c r="W45" s="694"/>
      <c r="X45" s="695"/>
      <c r="Y45" s="302" t="s">
        <v>16</v>
      </c>
      <c r="Z45" s="131"/>
      <c r="AA45" s="131"/>
      <c r="AB45" s="131"/>
      <c r="AC45" s="132"/>
      <c r="AD45" s="301">
        <v>16</v>
      </c>
      <c r="AE45" s="134"/>
      <c r="AF45" s="301">
        <v>0</v>
      </c>
      <c r="AG45" s="134"/>
      <c r="AH45" s="141"/>
      <c r="AI45" s="139"/>
      <c r="AJ45" s="139"/>
      <c r="AK45" s="139"/>
      <c r="AL45" s="139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  <c r="AX45" s="139"/>
      <c r="AY45" s="139"/>
      <c r="AZ45" s="139"/>
      <c r="BA45" s="140"/>
      <c r="BB45" s="139"/>
      <c r="BC45" s="139"/>
      <c r="BD45" s="139"/>
      <c r="BE45" s="139"/>
      <c r="BF45" s="139"/>
      <c r="BG45" s="43"/>
      <c r="BK45" s="120" t="s">
        <v>881</v>
      </c>
      <c r="BL45" s="52" t="s">
        <v>882</v>
      </c>
      <c r="BM45" s="1"/>
      <c r="BN45" s="340"/>
    </row>
    <row r="46" spans="1:66">
      <c r="A46" s="681">
        <v>39</v>
      </c>
      <c r="B46" s="682"/>
      <c r="C46" s="59" t="str">
        <f t="shared" si="0"/>
        <v>old contract qty</v>
      </c>
      <c r="D46" s="142"/>
      <c r="E46" s="142"/>
      <c r="F46" s="142"/>
      <c r="G46" s="142"/>
      <c r="H46" s="142"/>
      <c r="I46" s="142"/>
      <c r="J46" s="142"/>
      <c r="K46" s="143"/>
      <c r="L46" s="1" t="s">
        <v>294</v>
      </c>
      <c r="M46" s="142"/>
      <c r="N46" s="142"/>
      <c r="O46" s="142"/>
      <c r="P46" s="142"/>
      <c r="Q46" s="142"/>
      <c r="R46" s="142"/>
      <c r="S46" s="142"/>
      <c r="T46" s="142"/>
      <c r="U46" s="692"/>
      <c r="V46" s="693"/>
      <c r="W46" s="694"/>
      <c r="X46" s="695"/>
      <c r="Y46" s="302" t="s">
        <v>1308</v>
      </c>
      <c r="Z46" s="131"/>
      <c r="AA46" s="131"/>
      <c r="AB46" s="131"/>
      <c r="AC46" s="132"/>
      <c r="AD46" s="301">
        <v>19</v>
      </c>
      <c r="AE46" s="134"/>
      <c r="AF46" s="301">
        <v>6</v>
      </c>
      <c r="AG46" s="134"/>
      <c r="AH46" s="141" t="s">
        <v>1314</v>
      </c>
      <c r="AQ46" s="139"/>
      <c r="AR46" s="139"/>
      <c r="AS46" s="139"/>
      <c r="AT46" s="139"/>
      <c r="AU46" s="139"/>
      <c r="AV46" s="139"/>
      <c r="AW46" s="139"/>
      <c r="AX46" s="139"/>
      <c r="AY46" s="139"/>
      <c r="AZ46" s="139"/>
      <c r="BA46" s="140"/>
      <c r="BB46" s="139"/>
      <c r="BC46" s="139"/>
      <c r="BD46" s="139"/>
      <c r="BE46" s="139"/>
      <c r="BF46" s="139"/>
      <c r="BG46" s="43"/>
      <c r="BK46" s="120" t="s">
        <v>883</v>
      </c>
      <c r="BL46" s="52" t="s">
        <v>884</v>
      </c>
      <c r="BM46" s="1" t="s">
        <v>885</v>
      </c>
      <c r="BN46" s="340"/>
    </row>
    <row r="47" spans="1:66">
      <c r="A47" s="681">
        <v>40</v>
      </c>
      <c r="B47" s="682"/>
      <c r="C47" s="59" t="str">
        <f t="shared" si="0"/>
        <v>是否局下达</v>
      </c>
      <c r="D47" s="142"/>
      <c r="E47" s="142"/>
      <c r="F47" s="142"/>
      <c r="G47" s="142"/>
      <c r="H47" s="142"/>
      <c r="I47" s="142"/>
      <c r="J47" s="142"/>
      <c r="K47" s="143"/>
      <c r="L47" s="1" t="s">
        <v>295</v>
      </c>
      <c r="M47" s="142"/>
      <c r="N47" s="142"/>
      <c r="O47" s="142"/>
      <c r="P47" s="142"/>
      <c r="Q47" s="142"/>
      <c r="R47" s="142"/>
      <c r="S47" s="142"/>
      <c r="T47" s="142"/>
      <c r="U47" s="692"/>
      <c r="V47" s="693"/>
      <c r="W47" s="694"/>
      <c r="X47" s="695"/>
      <c r="Y47" s="302" t="s">
        <v>16</v>
      </c>
      <c r="Z47" s="131"/>
      <c r="AA47" s="131"/>
      <c r="AB47" s="131"/>
      <c r="AC47" s="132"/>
      <c r="AD47" s="301">
        <v>2</v>
      </c>
      <c r="AE47" s="134"/>
      <c r="AF47" s="301">
        <v>0</v>
      </c>
      <c r="AG47" s="134"/>
      <c r="AH47" s="141" t="s">
        <v>1433</v>
      </c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139"/>
      <c r="AZ47" s="139"/>
      <c r="BA47" s="140"/>
      <c r="BB47" s="139"/>
      <c r="BC47" s="139"/>
      <c r="BD47" s="139"/>
      <c r="BE47" s="139"/>
      <c r="BF47" s="139"/>
      <c r="BG47" s="43"/>
      <c r="BK47" s="120" t="s">
        <v>956</v>
      </c>
      <c r="BL47" s="52" t="s">
        <v>960</v>
      </c>
      <c r="BM47" s="1"/>
      <c r="BN47" s="340"/>
    </row>
    <row r="48" spans="1:66">
      <c r="A48" s="681">
        <v>41</v>
      </c>
      <c r="B48" s="682"/>
      <c r="C48" s="457" t="str">
        <f t="shared" si="0"/>
        <v>原合同不含税合同单价</v>
      </c>
      <c r="D48" s="458"/>
      <c r="E48" s="458"/>
      <c r="F48" s="458"/>
      <c r="G48" s="458"/>
      <c r="H48" s="458"/>
      <c r="I48" s="458"/>
      <c r="J48" s="458"/>
      <c r="K48" s="459"/>
      <c r="L48" s="1" t="s">
        <v>956</v>
      </c>
      <c r="M48" s="142"/>
      <c r="N48" s="142"/>
      <c r="O48" s="142"/>
      <c r="P48" s="142"/>
      <c r="Q48" s="142"/>
      <c r="R48" s="142"/>
      <c r="S48" s="142"/>
      <c r="T48" s="142"/>
      <c r="U48" s="692"/>
      <c r="V48" s="693"/>
      <c r="W48" s="694"/>
      <c r="X48" s="695"/>
      <c r="Y48" s="302" t="s">
        <v>1309</v>
      </c>
      <c r="Z48" s="131"/>
      <c r="AA48" s="131"/>
      <c r="AB48" s="131"/>
      <c r="AC48" s="132"/>
      <c r="AD48" s="301">
        <v>19</v>
      </c>
      <c r="AE48" s="134"/>
      <c r="AF48" s="301">
        <v>6</v>
      </c>
      <c r="AG48" s="134"/>
      <c r="AH48" s="355" t="s">
        <v>198</v>
      </c>
      <c r="AI48" s="139"/>
      <c r="AJ48" s="139"/>
      <c r="AK48" s="139"/>
      <c r="AL48" s="139"/>
      <c r="AM48" s="139"/>
      <c r="AN48" s="139"/>
      <c r="AO48" s="139"/>
      <c r="AP48" s="139"/>
      <c r="AQ48" s="139"/>
      <c r="AR48" s="139"/>
      <c r="AS48" s="139"/>
      <c r="AT48" s="139"/>
      <c r="AU48" s="139"/>
      <c r="AV48" s="139"/>
      <c r="AW48" s="139"/>
      <c r="AX48" s="139"/>
      <c r="AY48" s="139"/>
      <c r="AZ48" s="139"/>
      <c r="BA48" s="140"/>
      <c r="BB48" s="139"/>
      <c r="BC48" s="139"/>
      <c r="BD48" s="139"/>
      <c r="BE48" s="139"/>
      <c r="BF48" s="139"/>
      <c r="BG48" s="43"/>
      <c r="BK48" s="120" t="s">
        <v>894</v>
      </c>
      <c r="BL48" s="52" t="s">
        <v>959</v>
      </c>
      <c r="BM48" s="341"/>
      <c r="BN48" s="341"/>
    </row>
    <row r="49" spans="1:66">
      <c r="A49" s="681">
        <v>42</v>
      </c>
      <c r="B49" s="682"/>
      <c r="C49" s="457" t="str">
        <f t="shared" si="0"/>
        <v>变更后不含税合同单价</v>
      </c>
      <c r="D49" s="458"/>
      <c r="E49" s="458"/>
      <c r="F49" s="458"/>
      <c r="G49" s="458"/>
      <c r="H49" s="458"/>
      <c r="I49" s="458"/>
      <c r="J49" s="458"/>
      <c r="K49" s="459"/>
      <c r="L49" s="1" t="s">
        <v>1664</v>
      </c>
      <c r="M49" s="142"/>
      <c r="N49" s="142"/>
      <c r="O49" s="142"/>
      <c r="P49" s="142"/>
      <c r="Q49" s="142"/>
      <c r="R49" s="142"/>
      <c r="S49" s="142"/>
      <c r="T49" s="142"/>
      <c r="U49" s="692"/>
      <c r="V49" s="693"/>
      <c r="W49" s="694"/>
      <c r="X49" s="695"/>
      <c r="Y49" s="302" t="s">
        <v>1315</v>
      </c>
      <c r="Z49" s="131"/>
      <c r="AA49" s="131"/>
      <c r="AB49" s="131"/>
      <c r="AC49" s="132"/>
      <c r="AD49" s="301">
        <v>19</v>
      </c>
      <c r="AE49" s="134"/>
      <c r="AF49" s="301">
        <v>6</v>
      </c>
      <c r="AG49" s="134"/>
      <c r="AH49" s="355" t="s">
        <v>198</v>
      </c>
      <c r="AI49" s="139"/>
      <c r="AJ49" s="139"/>
      <c r="AK49" s="139"/>
      <c r="AL49" s="139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  <c r="AX49" s="139"/>
      <c r="AY49" s="139"/>
      <c r="AZ49" s="139"/>
      <c r="BA49" s="140"/>
      <c r="BB49" s="139"/>
      <c r="BC49" s="139"/>
      <c r="BD49" s="139"/>
      <c r="BE49" s="139"/>
      <c r="BF49" s="139"/>
      <c r="BG49" s="43"/>
      <c r="BK49" s="120" t="s">
        <v>957</v>
      </c>
      <c r="BL49" s="52" t="s">
        <v>961</v>
      </c>
    </row>
    <row r="50" spans="1:66">
      <c r="A50" s="681">
        <v>43</v>
      </c>
      <c r="B50" s="682"/>
      <c r="C50" s="457" t="str">
        <f t="shared" si="0"/>
        <v>原合同不含税合同金额</v>
      </c>
      <c r="D50" s="460"/>
      <c r="E50" s="460"/>
      <c r="F50" s="460"/>
      <c r="G50" s="460"/>
      <c r="H50" s="460"/>
      <c r="I50" s="460"/>
      <c r="J50" s="460"/>
      <c r="K50" s="461"/>
      <c r="L50" s="1" t="s">
        <v>1729</v>
      </c>
      <c r="M50" s="139"/>
      <c r="N50" s="139"/>
      <c r="O50" s="139"/>
      <c r="P50" s="139"/>
      <c r="Q50" s="139"/>
      <c r="R50" s="139"/>
      <c r="S50" s="139"/>
      <c r="T50" s="139"/>
      <c r="U50" s="683"/>
      <c r="V50" s="682"/>
      <c r="W50" s="684"/>
      <c r="X50" s="685"/>
      <c r="Y50" s="355" t="s">
        <v>1315</v>
      </c>
      <c r="Z50" s="126"/>
      <c r="AA50" s="126"/>
      <c r="AB50" s="126"/>
      <c r="AC50" s="127"/>
      <c r="AD50" s="301">
        <v>19</v>
      </c>
      <c r="AE50" s="134"/>
      <c r="AF50" s="301">
        <v>6</v>
      </c>
      <c r="AG50" s="134"/>
      <c r="AH50" s="389" t="s">
        <v>1431</v>
      </c>
      <c r="AI50" s="139"/>
      <c r="AJ50" s="139"/>
      <c r="AK50" s="139"/>
      <c r="AL50" s="139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  <c r="AX50" s="139"/>
      <c r="AY50" s="139"/>
      <c r="AZ50" s="139"/>
      <c r="BA50" s="140"/>
      <c r="BB50" s="139"/>
      <c r="BC50" s="139"/>
      <c r="BD50" s="139"/>
      <c r="BE50" s="139"/>
      <c r="BF50" s="139"/>
      <c r="BG50" s="43"/>
      <c r="BK50" s="120" t="s">
        <v>897</v>
      </c>
      <c r="BL50" s="52" t="s">
        <v>958</v>
      </c>
    </row>
    <row r="51" spans="1:66">
      <c r="A51" s="681">
        <v>44</v>
      </c>
      <c r="B51" s="682"/>
      <c r="C51" s="457" t="str">
        <f>VLOOKUP(L51,$BK$7:$BL$93,2,FALSE)</f>
        <v>变更后不含税金额</v>
      </c>
      <c r="D51" s="460"/>
      <c r="E51" s="460"/>
      <c r="F51" s="460"/>
      <c r="G51" s="460"/>
      <c r="H51" s="460"/>
      <c r="I51" s="460"/>
      <c r="J51" s="460"/>
      <c r="K51" s="461"/>
      <c r="L51" s="1" t="s">
        <v>1665</v>
      </c>
      <c r="M51" s="139"/>
      <c r="N51" s="139"/>
      <c r="O51" s="139"/>
      <c r="P51" s="139"/>
      <c r="Q51" s="139"/>
      <c r="R51" s="139"/>
      <c r="S51" s="139"/>
      <c r="T51" s="139"/>
      <c r="U51" s="683"/>
      <c r="V51" s="682"/>
      <c r="W51" s="684"/>
      <c r="X51" s="685"/>
      <c r="Y51" s="355" t="s">
        <v>1309</v>
      </c>
      <c r="Z51" s="126"/>
      <c r="AA51" s="126"/>
      <c r="AB51" s="126"/>
      <c r="AC51" s="127"/>
      <c r="AD51" s="301">
        <v>19</v>
      </c>
      <c r="AE51" s="134"/>
      <c r="AF51" s="301">
        <v>6</v>
      </c>
      <c r="AG51" s="134"/>
      <c r="AH51" s="354" t="s">
        <v>198</v>
      </c>
      <c r="AI51" s="139"/>
      <c r="AJ51" s="139"/>
      <c r="AK51" s="139"/>
      <c r="AL51" s="139"/>
      <c r="AM51" s="139"/>
      <c r="AN51" s="139"/>
      <c r="AO51" s="139"/>
      <c r="AP51" s="139"/>
      <c r="AQ51" s="139"/>
      <c r="AR51" s="139"/>
      <c r="AS51" s="139"/>
      <c r="AT51" s="139"/>
      <c r="AU51" s="139"/>
      <c r="AV51" s="139"/>
      <c r="AW51" s="139"/>
      <c r="AX51" s="139"/>
      <c r="AY51" s="139"/>
      <c r="AZ51" s="139"/>
      <c r="BA51" s="140"/>
      <c r="BB51" s="139"/>
      <c r="BC51" s="139"/>
      <c r="BD51" s="139"/>
      <c r="BE51" s="139"/>
      <c r="BF51" s="139"/>
      <c r="BG51" s="43"/>
      <c r="BK51" s="120" t="s">
        <v>895</v>
      </c>
      <c r="BL51" s="52" t="s">
        <v>896</v>
      </c>
    </row>
    <row r="52" spans="1:66">
      <c r="A52" s="681">
        <v>45</v>
      </c>
      <c r="B52" s="682"/>
      <c r="C52" s="59" t="str">
        <f t="shared" si="0"/>
        <v>税率</v>
      </c>
      <c r="D52" s="139"/>
      <c r="E52" s="139"/>
      <c r="F52" s="139"/>
      <c r="G52" s="139"/>
      <c r="H52" s="139"/>
      <c r="I52" s="139"/>
      <c r="J52" s="139"/>
      <c r="K52" s="140"/>
      <c r="L52" s="36" t="s">
        <v>99</v>
      </c>
      <c r="M52" s="139"/>
      <c r="N52" s="139"/>
      <c r="O52" s="139"/>
      <c r="P52" s="139"/>
      <c r="Q52" s="139"/>
      <c r="R52" s="139"/>
      <c r="S52" s="139"/>
      <c r="T52" s="139"/>
      <c r="U52" s="683"/>
      <c r="V52" s="682"/>
      <c r="W52" s="684"/>
      <c r="X52" s="685"/>
      <c r="Y52" s="300" t="s">
        <v>16</v>
      </c>
      <c r="Z52" s="126"/>
      <c r="AA52" s="126"/>
      <c r="AB52" s="126"/>
      <c r="AC52" s="127"/>
      <c r="AD52" s="301">
        <v>16</v>
      </c>
      <c r="AE52" s="134"/>
      <c r="AF52" s="301">
        <v>0</v>
      </c>
      <c r="AG52" s="134"/>
      <c r="AH52" s="138"/>
      <c r="AI52" s="139"/>
      <c r="AJ52" s="139"/>
      <c r="AK52" s="139"/>
      <c r="AL52" s="139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  <c r="AX52" s="139"/>
      <c r="AY52" s="139"/>
      <c r="AZ52" s="139"/>
      <c r="BA52" s="140"/>
      <c r="BB52" s="139"/>
      <c r="BC52" s="139"/>
      <c r="BD52" s="139"/>
      <c r="BE52" s="139"/>
      <c r="BF52" s="139"/>
      <c r="BG52" s="43"/>
      <c r="BK52" s="120"/>
      <c r="BL52" s="52"/>
    </row>
    <row r="53" spans="1:66">
      <c r="A53" s="681">
        <v>46</v>
      </c>
      <c r="B53" s="682"/>
      <c r="C53" s="472" t="s">
        <v>1598</v>
      </c>
      <c r="D53" s="460"/>
      <c r="E53" s="460"/>
      <c r="F53" s="460"/>
      <c r="G53" s="460"/>
      <c r="H53" s="460"/>
      <c r="I53" s="460"/>
      <c r="J53" s="460"/>
      <c r="K53" s="461"/>
      <c r="L53" s="1" t="s">
        <v>1672</v>
      </c>
      <c r="M53" s="334"/>
      <c r="N53" s="334"/>
      <c r="O53" s="334"/>
      <c r="P53" s="334"/>
      <c r="Q53" s="334"/>
      <c r="R53" s="334"/>
      <c r="S53" s="334"/>
      <c r="T53" s="334"/>
      <c r="U53" s="683"/>
      <c r="V53" s="682"/>
      <c r="W53" s="684"/>
      <c r="X53" s="685"/>
      <c r="Y53" s="471" t="s">
        <v>1258</v>
      </c>
      <c r="Z53" s="467"/>
      <c r="AA53" s="467"/>
      <c r="AB53" s="467"/>
      <c r="AC53" s="468"/>
      <c r="AD53" s="469">
        <v>19</v>
      </c>
      <c r="AE53" s="470"/>
      <c r="AF53" s="469">
        <v>6</v>
      </c>
      <c r="AG53" s="470"/>
      <c r="AH53" s="231" t="s">
        <v>1596</v>
      </c>
      <c r="AI53" s="230"/>
      <c r="AJ53" s="230"/>
      <c r="AK53" s="230"/>
      <c r="AL53" s="230"/>
      <c r="AM53" s="334"/>
      <c r="AN53" s="334"/>
      <c r="AO53" s="334"/>
      <c r="AP53" s="334"/>
      <c r="AQ53" s="334"/>
      <c r="AR53" s="334"/>
      <c r="AS53" s="334"/>
      <c r="AT53" s="334"/>
      <c r="AU53" s="334"/>
      <c r="AV53" s="334"/>
      <c r="AW53" s="334"/>
      <c r="AX53" s="334"/>
      <c r="AY53" s="334"/>
      <c r="AZ53" s="334"/>
      <c r="BA53" s="335"/>
      <c r="BB53" s="334"/>
      <c r="BC53" s="334"/>
      <c r="BD53" s="334"/>
      <c r="BE53" s="334"/>
      <c r="BF53" s="334"/>
      <c r="BG53" s="43"/>
      <c r="BK53" s="120"/>
      <c r="BL53" s="52"/>
    </row>
    <row r="54" spans="1:66">
      <c r="A54" s="681">
        <v>47</v>
      </c>
      <c r="B54" s="682"/>
      <c r="C54" s="466" t="s">
        <v>1594</v>
      </c>
      <c r="D54" s="334"/>
      <c r="E54" s="334"/>
      <c r="F54" s="334"/>
      <c r="G54" s="334"/>
      <c r="H54" s="334"/>
      <c r="I54" s="334"/>
      <c r="J54" s="334"/>
      <c r="K54" s="335"/>
      <c r="L54" s="36" t="s">
        <v>301</v>
      </c>
      <c r="M54" s="334"/>
      <c r="N54" s="334"/>
      <c r="O54" s="334"/>
      <c r="P54" s="334"/>
      <c r="Q54" s="334"/>
      <c r="R54" s="334"/>
      <c r="S54" s="334"/>
      <c r="T54" s="334"/>
      <c r="U54" s="683"/>
      <c r="V54" s="682"/>
      <c r="W54" s="684"/>
      <c r="X54" s="685"/>
      <c r="Y54" s="463" t="s">
        <v>16</v>
      </c>
      <c r="Z54" s="463"/>
      <c r="AA54" s="463"/>
      <c r="AB54" s="463"/>
      <c r="AC54" s="463"/>
      <c r="AD54" s="464">
        <v>100</v>
      </c>
      <c r="AE54" s="465"/>
      <c r="AF54" s="464">
        <v>0</v>
      </c>
      <c r="AG54" s="465"/>
      <c r="AH54" s="231" t="s">
        <v>1596</v>
      </c>
      <c r="AI54" s="230"/>
      <c r="AJ54" s="230"/>
      <c r="AK54" s="230"/>
      <c r="AL54" s="230"/>
      <c r="AM54" s="334"/>
      <c r="AN54" s="334"/>
      <c r="AO54" s="334"/>
      <c r="AP54" s="334"/>
      <c r="AQ54" s="334"/>
      <c r="AR54" s="334"/>
      <c r="AS54" s="334"/>
      <c r="AT54" s="334"/>
      <c r="AU54" s="334"/>
      <c r="AV54" s="334"/>
      <c r="AW54" s="334"/>
      <c r="AX54" s="334"/>
      <c r="AY54" s="334"/>
      <c r="AZ54" s="334"/>
      <c r="BA54" s="335"/>
      <c r="BB54" s="334"/>
      <c r="BC54" s="334"/>
      <c r="BD54" s="334"/>
      <c r="BE54" s="334"/>
      <c r="BF54" s="334"/>
      <c r="BG54" s="43"/>
      <c r="BK54" s="120"/>
      <c r="BL54" s="52"/>
    </row>
    <row r="55" spans="1:66">
      <c r="A55" s="681">
        <v>48</v>
      </c>
      <c r="B55" s="682"/>
      <c r="C55" s="466" t="s">
        <v>1595</v>
      </c>
      <c r="D55" s="334"/>
      <c r="E55" s="334"/>
      <c r="F55" s="334"/>
      <c r="G55" s="334"/>
      <c r="H55" s="334"/>
      <c r="I55" s="334"/>
      <c r="J55" s="334"/>
      <c r="K55" s="335"/>
      <c r="L55" s="36" t="s">
        <v>302</v>
      </c>
      <c r="M55" s="334"/>
      <c r="N55" s="334"/>
      <c r="O55" s="334"/>
      <c r="P55" s="334"/>
      <c r="Q55" s="334"/>
      <c r="R55" s="334"/>
      <c r="S55" s="334"/>
      <c r="T55" s="334"/>
      <c r="U55" s="683"/>
      <c r="V55" s="682"/>
      <c r="W55" s="684"/>
      <c r="X55" s="685"/>
      <c r="Y55" s="463" t="s">
        <v>16</v>
      </c>
      <c r="Z55" s="463"/>
      <c r="AA55" s="463"/>
      <c r="AB55" s="463"/>
      <c r="AC55" s="463"/>
      <c r="AD55" s="464">
        <v>512</v>
      </c>
      <c r="AE55" s="465"/>
      <c r="AF55" s="464">
        <v>0</v>
      </c>
      <c r="AG55" s="465"/>
      <c r="AH55" s="231" t="s">
        <v>1597</v>
      </c>
      <c r="AI55" s="230"/>
      <c r="AJ55" s="230"/>
      <c r="AK55" s="230"/>
      <c r="AL55" s="230"/>
      <c r="AM55" s="334"/>
      <c r="AN55" s="334"/>
      <c r="AO55" s="334"/>
      <c r="AP55" s="334"/>
      <c r="AQ55" s="334"/>
      <c r="AR55" s="334"/>
      <c r="AS55" s="334"/>
      <c r="AT55" s="334"/>
      <c r="AU55" s="334"/>
      <c r="AV55" s="334"/>
      <c r="AW55" s="334"/>
      <c r="AX55" s="334"/>
      <c r="AY55" s="334"/>
      <c r="AZ55" s="334"/>
      <c r="BA55" s="335"/>
      <c r="BB55" s="334"/>
      <c r="BC55" s="334"/>
      <c r="BD55" s="334"/>
      <c r="BE55" s="334"/>
      <c r="BF55" s="334"/>
      <c r="BG55" s="43"/>
      <c r="BK55" s="120"/>
      <c r="BL55" s="52"/>
    </row>
    <row r="56" spans="1:66">
      <c r="A56" s="681">
        <v>49</v>
      </c>
      <c r="B56" s="682"/>
      <c r="C56" s="376" t="s">
        <v>49</v>
      </c>
      <c r="D56" s="377"/>
      <c r="E56" s="377"/>
      <c r="F56" s="377"/>
      <c r="G56" s="377"/>
      <c r="H56" s="377"/>
      <c r="I56" s="377"/>
      <c r="J56" s="377"/>
      <c r="K56" s="378"/>
      <c r="L56" s="379" t="s">
        <v>1332</v>
      </c>
      <c r="M56" s="379"/>
      <c r="N56" s="379"/>
      <c r="O56" s="379"/>
      <c r="P56" s="379"/>
      <c r="Q56" s="379"/>
      <c r="R56" s="379"/>
      <c r="S56" s="379"/>
      <c r="T56" s="379"/>
      <c r="U56" s="760"/>
      <c r="V56" s="761"/>
      <c r="W56" s="756"/>
      <c r="X56" s="757"/>
      <c r="Y56" s="380" t="s">
        <v>1333</v>
      </c>
      <c r="Z56" s="379"/>
      <c r="AA56" s="379"/>
      <c r="AB56" s="379"/>
      <c r="AC56" s="379"/>
      <c r="AD56" s="758">
        <v>0</v>
      </c>
      <c r="AE56" s="759"/>
      <c r="AF56" s="754"/>
      <c r="AG56" s="755"/>
      <c r="AH56" s="381"/>
      <c r="AI56" s="379"/>
      <c r="AJ56" s="379"/>
      <c r="AK56" s="334"/>
      <c r="AL56" s="334"/>
      <c r="AM56" s="334"/>
      <c r="AN56" s="334"/>
      <c r="AO56" s="334"/>
      <c r="AP56" s="334"/>
      <c r="AQ56" s="334"/>
      <c r="AR56" s="334"/>
      <c r="AS56" s="334"/>
      <c r="AT56" s="334"/>
      <c r="AU56" s="334"/>
      <c r="AV56" s="334"/>
      <c r="AW56" s="334"/>
      <c r="AX56" s="334"/>
      <c r="AY56" s="334"/>
      <c r="AZ56" s="334"/>
      <c r="BA56" s="335"/>
      <c r="BB56" s="334"/>
      <c r="BC56" s="334"/>
      <c r="BD56" s="334"/>
      <c r="BE56" s="334"/>
      <c r="BF56" s="334"/>
      <c r="BG56" s="43"/>
      <c r="BK56" s="101"/>
      <c r="BL56" s="101"/>
      <c r="BM56" s="1"/>
      <c r="BN56" s="340"/>
    </row>
    <row r="57" spans="1:66">
      <c r="A57" s="681">
        <v>50</v>
      </c>
      <c r="B57" s="682"/>
      <c r="C57" s="376" t="s">
        <v>49</v>
      </c>
      <c r="D57" s="377"/>
      <c r="E57" s="377"/>
      <c r="F57" s="377"/>
      <c r="G57" s="377"/>
      <c r="H57" s="377"/>
      <c r="I57" s="377"/>
      <c r="J57" s="377"/>
      <c r="K57" s="378"/>
      <c r="L57" s="379" t="s">
        <v>1334</v>
      </c>
      <c r="M57" s="379"/>
      <c r="N57" s="379"/>
      <c r="O57" s="379"/>
      <c r="P57" s="379"/>
      <c r="Q57" s="379"/>
      <c r="R57" s="379"/>
      <c r="S57" s="379"/>
      <c r="T57" s="379"/>
      <c r="U57" s="760"/>
      <c r="V57" s="761"/>
      <c r="W57" s="756"/>
      <c r="X57" s="757"/>
      <c r="Y57" s="380" t="s">
        <v>1333</v>
      </c>
      <c r="Z57" s="379"/>
      <c r="AA57" s="379"/>
      <c r="AB57" s="379"/>
      <c r="AC57" s="379"/>
      <c r="AD57" s="758">
        <v>0</v>
      </c>
      <c r="AE57" s="759"/>
      <c r="AF57" s="754"/>
      <c r="AG57" s="755"/>
      <c r="AH57" s="381"/>
      <c r="AI57" s="379"/>
      <c r="AJ57" s="379"/>
      <c r="AK57" s="334"/>
      <c r="AL57" s="334"/>
      <c r="AM57" s="334"/>
      <c r="AN57" s="334"/>
      <c r="AO57" s="334"/>
      <c r="AP57" s="334"/>
      <c r="AQ57" s="334"/>
      <c r="AR57" s="334"/>
      <c r="AS57" s="334"/>
      <c r="AT57" s="334"/>
      <c r="AU57" s="334"/>
      <c r="AV57" s="334"/>
      <c r="AW57" s="334"/>
      <c r="AX57" s="334"/>
      <c r="AY57" s="334"/>
      <c r="AZ57" s="334"/>
      <c r="BA57" s="335"/>
      <c r="BB57" s="334"/>
      <c r="BC57" s="334"/>
      <c r="BD57" s="334"/>
      <c r="BE57" s="334"/>
      <c r="BF57" s="334"/>
      <c r="BG57" s="43"/>
      <c r="BK57" s="101"/>
      <c r="BL57" s="101"/>
      <c r="BM57" s="1"/>
      <c r="BN57" s="340"/>
    </row>
    <row r="58" spans="1:66">
      <c r="A58" s="681">
        <v>51</v>
      </c>
      <c r="B58" s="682"/>
      <c r="C58" s="376" t="s">
        <v>49</v>
      </c>
      <c r="D58" s="377"/>
      <c r="E58" s="377"/>
      <c r="F58" s="377"/>
      <c r="G58" s="377"/>
      <c r="H58" s="377"/>
      <c r="I58" s="377"/>
      <c r="J58" s="377"/>
      <c r="K58" s="378"/>
      <c r="L58" s="379" t="s">
        <v>1335</v>
      </c>
      <c r="M58" s="379"/>
      <c r="N58" s="379"/>
      <c r="O58" s="379"/>
      <c r="P58" s="379"/>
      <c r="Q58" s="379"/>
      <c r="R58" s="379"/>
      <c r="S58" s="379"/>
      <c r="T58" s="379"/>
      <c r="U58" s="760"/>
      <c r="V58" s="761"/>
      <c r="W58" s="756"/>
      <c r="X58" s="757"/>
      <c r="Y58" s="380" t="s">
        <v>1333</v>
      </c>
      <c r="Z58" s="379"/>
      <c r="AA58" s="379"/>
      <c r="AB58" s="379"/>
      <c r="AC58" s="379"/>
      <c r="AD58" s="758">
        <v>0</v>
      </c>
      <c r="AE58" s="759"/>
      <c r="AF58" s="754"/>
      <c r="AG58" s="755"/>
      <c r="AH58" s="381"/>
      <c r="AI58" s="379"/>
      <c r="AJ58" s="379"/>
      <c r="AK58" s="334"/>
      <c r="AL58" s="334"/>
      <c r="AM58" s="334"/>
      <c r="AN58" s="334"/>
      <c r="AO58" s="334"/>
      <c r="AP58" s="334"/>
      <c r="AQ58" s="334"/>
      <c r="AR58" s="334"/>
      <c r="AS58" s="334"/>
      <c r="AT58" s="334"/>
      <c r="AU58" s="334"/>
      <c r="AV58" s="334"/>
      <c r="AW58" s="334"/>
      <c r="AX58" s="334"/>
      <c r="AY58" s="334"/>
      <c r="AZ58" s="334"/>
      <c r="BA58" s="335"/>
      <c r="BB58" s="334"/>
      <c r="BC58" s="334"/>
      <c r="BD58" s="334"/>
      <c r="BE58" s="334"/>
      <c r="BF58" s="334"/>
      <c r="BG58" s="43"/>
      <c r="BK58" s="101"/>
      <c r="BL58" s="101"/>
      <c r="BM58" s="1"/>
      <c r="BN58" s="340"/>
    </row>
    <row r="59" spans="1:66">
      <c r="A59" s="681">
        <v>52</v>
      </c>
      <c r="B59" s="682"/>
      <c r="C59" s="376" t="s">
        <v>49</v>
      </c>
      <c r="D59" s="377"/>
      <c r="E59" s="377"/>
      <c r="F59" s="377"/>
      <c r="G59" s="377"/>
      <c r="H59" s="377"/>
      <c r="I59" s="377"/>
      <c r="J59" s="377"/>
      <c r="K59" s="378"/>
      <c r="L59" s="379" t="s">
        <v>1336</v>
      </c>
      <c r="M59" s="379"/>
      <c r="N59" s="379"/>
      <c r="O59" s="379"/>
      <c r="P59" s="379"/>
      <c r="Q59" s="379"/>
      <c r="R59" s="379"/>
      <c r="S59" s="379"/>
      <c r="T59" s="379"/>
      <c r="U59" s="760"/>
      <c r="V59" s="761"/>
      <c r="W59" s="756"/>
      <c r="X59" s="757"/>
      <c r="Y59" s="380" t="s">
        <v>1333</v>
      </c>
      <c r="Z59" s="379"/>
      <c r="AA59" s="379"/>
      <c r="AB59" s="379"/>
      <c r="AC59" s="379"/>
      <c r="AD59" s="758">
        <v>0</v>
      </c>
      <c r="AE59" s="759"/>
      <c r="AF59" s="754"/>
      <c r="AG59" s="755"/>
      <c r="AH59" s="381"/>
      <c r="AI59" s="379"/>
      <c r="AJ59" s="379"/>
      <c r="AK59" s="334"/>
      <c r="AL59" s="334"/>
      <c r="AM59" s="334"/>
      <c r="AN59" s="334"/>
      <c r="AO59" s="334"/>
      <c r="AP59" s="334"/>
      <c r="AQ59" s="334"/>
      <c r="AR59" s="334"/>
      <c r="AS59" s="334"/>
      <c r="AT59" s="334"/>
      <c r="AU59" s="334"/>
      <c r="AV59" s="334"/>
      <c r="AW59" s="334"/>
      <c r="AX59" s="334"/>
      <c r="AY59" s="334"/>
      <c r="AZ59" s="334"/>
      <c r="BA59" s="335"/>
      <c r="BB59" s="334"/>
      <c r="BC59" s="334"/>
      <c r="BD59" s="334"/>
      <c r="BE59" s="334"/>
      <c r="BF59" s="334"/>
      <c r="BG59" s="43"/>
      <c r="BK59" s="101"/>
      <c r="BL59" s="101"/>
      <c r="BM59" s="1"/>
      <c r="BN59" s="340"/>
    </row>
    <row r="60" spans="1:66">
      <c r="A60" s="681">
        <v>53</v>
      </c>
      <c r="B60" s="682"/>
      <c r="C60" s="376" t="s">
        <v>49</v>
      </c>
      <c r="D60" s="377"/>
      <c r="E60" s="377"/>
      <c r="F60" s="377"/>
      <c r="G60" s="377"/>
      <c r="H60" s="377"/>
      <c r="I60" s="377"/>
      <c r="J60" s="377"/>
      <c r="K60" s="378"/>
      <c r="L60" s="379" t="s">
        <v>1348</v>
      </c>
      <c r="M60" s="379"/>
      <c r="N60" s="379"/>
      <c r="O60" s="379"/>
      <c r="P60" s="379"/>
      <c r="Q60" s="379"/>
      <c r="R60" s="379"/>
      <c r="S60" s="379"/>
      <c r="T60" s="379"/>
      <c r="U60" s="760"/>
      <c r="V60" s="761"/>
      <c r="W60" s="756"/>
      <c r="X60" s="757"/>
      <c r="Y60" s="380" t="s">
        <v>1333</v>
      </c>
      <c r="Z60" s="379"/>
      <c r="AA60" s="379"/>
      <c r="AB60" s="379"/>
      <c r="AC60" s="379"/>
      <c r="AD60" s="758">
        <v>0</v>
      </c>
      <c r="AE60" s="759"/>
      <c r="AF60" s="754"/>
      <c r="AG60" s="755"/>
      <c r="AH60" s="381"/>
      <c r="AI60" s="379"/>
      <c r="AJ60" s="379"/>
      <c r="AK60" s="334"/>
      <c r="AL60" s="334"/>
      <c r="AM60" s="334"/>
      <c r="AN60" s="334"/>
      <c r="AO60" s="334"/>
      <c r="AP60" s="334"/>
      <c r="AQ60" s="334"/>
      <c r="AR60" s="334"/>
      <c r="AS60" s="334"/>
      <c r="AT60" s="334"/>
      <c r="AU60" s="334"/>
      <c r="AV60" s="334"/>
      <c r="AW60" s="334"/>
      <c r="AX60" s="334"/>
      <c r="AY60" s="334"/>
      <c r="AZ60" s="334"/>
      <c r="BA60" s="335"/>
      <c r="BB60" s="334"/>
      <c r="BC60" s="334"/>
      <c r="BD60" s="334"/>
      <c r="BE60" s="334"/>
      <c r="BF60" s="334"/>
      <c r="BG60" s="43"/>
      <c r="BK60" s="101"/>
      <c r="BL60" s="101"/>
      <c r="BM60" s="1"/>
      <c r="BN60" s="340"/>
    </row>
    <row r="61" spans="1:66">
      <c r="A61" s="681">
        <v>54</v>
      </c>
      <c r="B61" s="682"/>
      <c r="C61" s="376" t="s">
        <v>49</v>
      </c>
      <c r="D61" s="377"/>
      <c r="E61" s="377"/>
      <c r="F61" s="377"/>
      <c r="G61" s="377"/>
      <c r="H61" s="377"/>
      <c r="I61" s="377"/>
      <c r="J61" s="377"/>
      <c r="K61" s="378"/>
      <c r="L61" s="379" t="s">
        <v>1349</v>
      </c>
      <c r="M61" s="379"/>
      <c r="N61" s="379"/>
      <c r="O61" s="379"/>
      <c r="P61" s="379"/>
      <c r="Q61" s="379"/>
      <c r="R61" s="379"/>
      <c r="S61" s="379"/>
      <c r="T61" s="379"/>
      <c r="U61" s="760"/>
      <c r="V61" s="761"/>
      <c r="W61" s="756"/>
      <c r="X61" s="757"/>
      <c r="Y61" s="380" t="s">
        <v>1333</v>
      </c>
      <c r="Z61" s="379"/>
      <c r="AA61" s="379"/>
      <c r="AB61" s="379"/>
      <c r="AC61" s="379"/>
      <c r="AD61" s="758">
        <v>0</v>
      </c>
      <c r="AE61" s="759"/>
      <c r="AF61" s="754"/>
      <c r="AG61" s="755"/>
      <c r="AH61" s="382"/>
      <c r="AI61" s="383"/>
      <c r="AJ61" s="383"/>
      <c r="AK61" s="334"/>
      <c r="AL61" s="334"/>
      <c r="AM61" s="334"/>
      <c r="AN61" s="334"/>
      <c r="AO61" s="334"/>
      <c r="AP61" s="334"/>
      <c r="AQ61" s="334"/>
      <c r="AR61" s="334"/>
      <c r="AS61" s="334"/>
      <c r="AT61" s="334"/>
      <c r="AU61" s="334"/>
      <c r="AV61" s="334"/>
      <c r="AW61" s="334"/>
      <c r="AX61" s="334"/>
      <c r="AY61" s="334"/>
      <c r="AZ61" s="334"/>
      <c r="BA61" s="335"/>
      <c r="BB61" s="334"/>
      <c r="BC61" s="334"/>
      <c r="BD61" s="334"/>
      <c r="BE61" s="334"/>
      <c r="BF61" s="334"/>
      <c r="BG61" s="43"/>
      <c r="BK61" s="120"/>
      <c r="BL61" s="52"/>
      <c r="BM61" s="1"/>
      <c r="BN61" s="340"/>
    </row>
    <row r="62" spans="1:66">
      <c r="A62" s="681">
        <v>55</v>
      </c>
      <c r="B62" s="682"/>
      <c r="C62" s="376" t="s">
        <v>49</v>
      </c>
      <c r="D62" s="377"/>
      <c r="E62" s="377"/>
      <c r="F62" s="377"/>
      <c r="G62" s="377"/>
      <c r="H62" s="377"/>
      <c r="I62" s="377"/>
      <c r="J62" s="377"/>
      <c r="K62" s="378"/>
      <c r="L62" s="379" t="s">
        <v>1350</v>
      </c>
      <c r="M62" s="379"/>
      <c r="N62" s="379"/>
      <c r="O62" s="379"/>
      <c r="P62" s="379"/>
      <c r="Q62" s="379"/>
      <c r="R62" s="379"/>
      <c r="S62" s="379"/>
      <c r="T62" s="379"/>
      <c r="U62" s="760"/>
      <c r="V62" s="761"/>
      <c r="W62" s="756"/>
      <c r="X62" s="757"/>
      <c r="Y62" s="380" t="s">
        <v>1333</v>
      </c>
      <c r="Z62" s="379"/>
      <c r="AA62" s="379"/>
      <c r="AB62" s="379"/>
      <c r="AC62" s="379"/>
      <c r="AD62" s="758">
        <v>0</v>
      </c>
      <c r="AE62" s="759"/>
      <c r="AF62" s="754"/>
      <c r="AG62" s="755"/>
      <c r="AH62" s="382"/>
      <c r="AI62" s="383"/>
      <c r="AJ62" s="383"/>
      <c r="AK62" s="334"/>
      <c r="AL62" s="334"/>
      <c r="AM62" s="334"/>
      <c r="AN62" s="334"/>
      <c r="AO62" s="334"/>
      <c r="AP62" s="334"/>
      <c r="AQ62" s="334"/>
      <c r="AR62" s="334"/>
      <c r="AS62" s="334"/>
      <c r="AT62" s="334"/>
      <c r="AU62" s="334"/>
      <c r="AV62" s="334"/>
      <c r="AW62" s="334"/>
      <c r="AX62" s="334"/>
      <c r="AY62" s="334"/>
      <c r="AZ62" s="334"/>
      <c r="BA62" s="335"/>
      <c r="BB62" s="334"/>
      <c r="BC62" s="334"/>
      <c r="BD62" s="334"/>
      <c r="BE62" s="334"/>
      <c r="BF62" s="334"/>
      <c r="BG62" s="43"/>
      <c r="BK62" s="120"/>
      <c r="BL62" s="120"/>
      <c r="BM62" s="1"/>
      <c r="BN62" s="340"/>
    </row>
    <row r="63" spans="1:66">
      <c r="A63" s="681">
        <v>56</v>
      </c>
      <c r="B63" s="682"/>
      <c r="C63" s="376" t="s">
        <v>49</v>
      </c>
      <c r="D63" s="377"/>
      <c r="E63" s="377"/>
      <c r="F63" s="377"/>
      <c r="G63" s="377"/>
      <c r="H63" s="377"/>
      <c r="I63" s="377"/>
      <c r="J63" s="377"/>
      <c r="K63" s="378"/>
      <c r="L63" s="379" t="s">
        <v>1351</v>
      </c>
      <c r="M63" s="379"/>
      <c r="N63" s="379"/>
      <c r="O63" s="379"/>
      <c r="P63" s="379"/>
      <c r="Q63" s="379"/>
      <c r="R63" s="379"/>
      <c r="S63" s="379"/>
      <c r="T63" s="379"/>
      <c r="U63" s="760"/>
      <c r="V63" s="761"/>
      <c r="W63" s="756"/>
      <c r="X63" s="757"/>
      <c r="Y63" s="380" t="s">
        <v>1333</v>
      </c>
      <c r="Z63" s="379"/>
      <c r="AA63" s="379"/>
      <c r="AB63" s="379"/>
      <c r="AC63" s="379"/>
      <c r="AD63" s="758">
        <v>0</v>
      </c>
      <c r="AE63" s="759"/>
      <c r="AF63" s="754"/>
      <c r="AG63" s="755"/>
      <c r="AH63" s="382"/>
      <c r="AI63" s="383"/>
      <c r="AJ63" s="383"/>
      <c r="AK63" s="334"/>
      <c r="AL63" s="334"/>
      <c r="AM63" s="334"/>
      <c r="AN63" s="334"/>
      <c r="AO63" s="334"/>
      <c r="AP63" s="334"/>
      <c r="AQ63" s="334"/>
      <c r="AR63" s="334"/>
      <c r="AS63" s="334"/>
      <c r="AT63" s="334"/>
      <c r="AU63" s="334"/>
      <c r="AV63" s="334"/>
      <c r="AW63" s="334"/>
      <c r="AX63" s="334"/>
      <c r="AY63" s="334"/>
      <c r="AZ63" s="334"/>
      <c r="BA63" s="335"/>
      <c r="BB63" s="334"/>
      <c r="BC63" s="334"/>
      <c r="BD63" s="334"/>
      <c r="BE63" s="334"/>
      <c r="BF63" s="334"/>
      <c r="BG63" s="43"/>
      <c r="BH63" s="36"/>
      <c r="BK63" s="121"/>
      <c r="BL63" s="52"/>
      <c r="BM63" s="1"/>
      <c r="BN63" s="340"/>
    </row>
    <row r="64" spans="1:66">
      <c r="A64" s="681">
        <v>57</v>
      </c>
      <c r="B64" s="682"/>
      <c r="C64" s="376" t="s">
        <v>49</v>
      </c>
      <c r="D64" s="377"/>
      <c r="E64" s="377"/>
      <c r="F64" s="377"/>
      <c r="G64" s="377"/>
      <c r="H64" s="377"/>
      <c r="I64" s="377"/>
      <c r="J64" s="377"/>
      <c r="K64" s="378"/>
      <c r="L64" s="379" t="s">
        <v>1352</v>
      </c>
      <c r="M64" s="379"/>
      <c r="N64" s="379"/>
      <c r="O64" s="379"/>
      <c r="P64" s="379"/>
      <c r="Q64" s="379"/>
      <c r="R64" s="379"/>
      <c r="S64" s="379"/>
      <c r="T64" s="379"/>
      <c r="U64" s="760"/>
      <c r="V64" s="761"/>
      <c r="W64" s="756"/>
      <c r="X64" s="757"/>
      <c r="Y64" s="380" t="s">
        <v>1333</v>
      </c>
      <c r="Z64" s="379"/>
      <c r="AA64" s="379"/>
      <c r="AB64" s="379"/>
      <c r="AC64" s="379"/>
      <c r="AD64" s="758">
        <v>0</v>
      </c>
      <c r="AE64" s="759"/>
      <c r="AF64" s="754"/>
      <c r="AG64" s="755"/>
      <c r="AH64" s="382"/>
      <c r="AI64" s="383"/>
      <c r="AJ64" s="383"/>
      <c r="AK64" s="334"/>
      <c r="AL64" s="334"/>
      <c r="AM64" s="334"/>
      <c r="AN64" s="334"/>
      <c r="AO64" s="334"/>
      <c r="AP64" s="334"/>
      <c r="AQ64" s="334"/>
      <c r="AR64" s="331"/>
      <c r="AS64" s="331"/>
      <c r="AT64" s="331"/>
      <c r="AU64" s="331"/>
      <c r="AV64" s="331"/>
      <c r="AW64" s="331"/>
      <c r="AX64" s="331"/>
      <c r="AY64" s="331"/>
      <c r="AZ64" s="331"/>
      <c r="BA64" s="332"/>
      <c r="BB64" s="334"/>
      <c r="BC64" s="334"/>
      <c r="BD64" s="334"/>
      <c r="BE64" s="334"/>
      <c r="BF64" s="334"/>
      <c r="BG64" s="43"/>
      <c r="BH64" s="36"/>
      <c r="BK64" s="120"/>
      <c r="BL64" s="52"/>
      <c r="BM64" s="1"/>
      <c r="BN64" s="340"/>
    </row>
    <row r="65" spans="1:66">
      <c r="A65" s="681">
        <v>58</v>
      </c>
      <c r="B65" s="682"/>
      <c r="C65" s="376" t="s">
        <v>49</v>
      </c>
      <c r="D65" s="377"/>
      <c r="E65" s="377"/>
      <c r="F65" s="377"/>
      <c r="G65" s="377"/>
      <c r="H65" s="377"/>
      <c r="I65" s="377"/>
      <c r="J65" s="377"/>
      <c r="K65" s="378"/>
      <c r="L65" s="379" t="s">
        <v>1353</v>
      </c>
      <c r="M65" s="379"/>
      <c r="N65" s="379"/>
      <c r="O65" s="379"/>
      <c r="P65" s="379"/>
      <c r="Q65" s="379"/>
      <c r="R65" s="379"/>
      <c r="S65" s="379"/>
      <c r="T65" s="379"/>
      <c r="U65" s="760"/>
      <c r="V65" s="761"/>
      <c r="W65" s="756"/>
      <c r="X65" s="757"/>
      <c r="Y65" s="380" t="s">
        <v>1333</v>
      </c>
      <c r="Z65" s="379"/>
      <c r="AA65" s="379"/>
      <c r="AB65" s="379"/>
      <c r="AC65" s="379"/>
      <c r="AD65" s="758">
        <v>0</v>
      </c>
      <c r="AE65" s="759"/>
      <c r="AF65" s="754"/>
      <c r="AG65" s="755"/>
      <c r="AH65" s="381"/>
      <c r="AI65" s="379"/>
      <c r="AJ65" s="379"/>
      <c r="AK65" s="334"/>
      <c r="AL65" s="334"/>
      <c r="AM65" s="334"/>
      <c r="AN65" s="334"/>
      <c r="AO65" s="334"/>
      <c r="AP65" s="334"/>
      <c r="AQ65" s="334"/>
      <c r="AR65" s="334"/>
      <c r="AS65" s="334"/>
      <c r="AT65" s="334"/>
      <c r="AU65" s="334"/>
      <c r="AV65" s="334"/>
      <c r="AW65" s="334"/>
      <c r="AX65" s="334"/>
      <c r="AY65" s="334"/>
      <c r="AZ65" s="334"/>
      <c r="BA65" s="335"/>
      <c r="BB65" s="48"/>
      <c r="BC65" s="48"/>
      <c r="BD65" s="48"/>
      <c r="BE65" s="48"/>
      <c r="BF65" s="48"/>
      <c r="BG65" s="49"/>
      <c r="BK65" s="120"/>
      <c r="BL65" s="52"/>
      <c r="BM65" s="1"/>
      <c r="BN65" s="340"/>
    </row>
    <row r="66" spans="1:66">
      <c r="A66" s="681">
        <v>59</v>
      </c>
      <c r="B66" s="682"/>
      <c r="C66" s="376" t="s">
        <v>1337</v>
      </c>
      <c r="D66" s="377"/>
      <c r="E66" s="377"/>
      <c r="F66" s="377"/>
      <c r="G66" s="377"/>
      <c r="H66" s="377"/>
      <c r="I66" s="377"/>
      <c r="J66" s="377"/>
      <c r="K66" s="378"/>
      <c r="L66" s="379" t="s">
        <v>1338</v>
      </c>
      <c r="M66" s="379"/>
      <c r="N66" s="379"/>
      <c r="O66" s="379"/>
      <c r="P66" s="379"/>
      <c r="Q66" s="379"/>
      <c r="R66" s="379"/>
      <c r="S66" s="379"/>
      <c r="T66" s="379"/>
      <c r="U66" s="760"/>
      <c r="V66" s="761"/>
      <c r="W66" s="756"/>
      <c r="X66" s="757"/>
      <c r="Y66" s="380" t="s">
        <v>199</v>
      </c>
      <c r="Z66" s="379"/>
      <c r="AA66" s="379"/>
      <c r="AB66" s="379"/>
      <c r="AC66" s="379"/>
      <c r="AD66" s="758">
        <v>32</v>
      </c>
      <c r="AE66" s="759"/>
      <c r="AF66" s="754"/>
      <c r="AG66" s="755"/>
      <c r="AH66" s="382" t="s">
        <v>1337</v>
      </c>
      <c r="AI66" s="383"/>
      <c r="AJ66" s="383"/>
      <c r="AK66" s="334"/>
      <c r="AL66" s="334"/>
      <c r="AM66" s="334"/>
      <c r="AN66" s="334"/>
      <c r="AO66" s="334"/>
      <c r="AP66" s="334"/>
      <c r="AQ66" s="334"/>
      <c r="AR66" s="334"/>
      <c r="AS66" s="334"/>
      <c r="AT66" s="334"/>
      <c r="AU66" s="334"/>
      <c r="AV66" s="334"/>
      <c r="AW66" s="334"/>
      <c r="AX66" s="334"/>
      <c r="AY66" s="334"/>
      <c r="AZ66" s="334"/>
      <c r="BA66" s="335"/>
      <c r="BB66" s="334"/>
      <c r="BC66" s="334"/>
      <c r="BD66" s="334"/>
      <c r="BE66" s="334"/>
      <c r="BF66" s="334"/>
      <c r="BG66" s="43"/>
      <c r="BK66" s="120"/>
      <c r="BL66" s="52"/>
      <c r="BM66" s="1"/>
      <c r="BN66" s="340"/>
    </row>
    <row r="67" spans="1:66">
      <c r="A67" s="681">
        <v>60</v>
      </c>
      <c r="B67" s="682"/>
      <c r="C67" s="376" t="s">
        <v>1339</v>
      </c>
      <c r="D67" s="377"/>
      <c r="E67" s="377"/>
      <c r="F67" s="377"/>
      <c r="G67" s="377"/>
      <c r="H67" s="377"/>
      <c r="I67" s="377"/>
      <c r="J67" s="377"/>
      <c r="K67" s="378"/>
      <c r="L67" s="379" t="s">
        <v>1340</v>
      </c>
      <c r="M67" s="379"/>
      <c r="N67" s="379"/>
      <c r="O67" s="379"/>
      <c r="P67" s="379"/>
      <c r="Q67" s="379"/>
      <c r="R67" s="379"/>
      <c r="S67" s="379"/>
      <c r="T67" s="379"/>
      <c r="U67" s="760"/>
      <c r="V67" s="761"/>
      <c r="W67" s="756"/>
      <c r="X67" s="757"/>
      <c r="Y67" s="380" t="s">
        <v>199</v>
      </c>
      <c r="Z67" s="379"/>
      <c r="AA67" s="379"/>
      <c r="AB67" s="379"/>
      <c r="AC67" s="379"/>
      <c r="AD67" s="758">
        <v>32</v>
      </c>
      <c r="AE67" s="759"/>
      <c r="AF67" s="754"/>
      <c r="AG67" s="755"/>
      <c r="AH67" s="382" t="s">
        <v>1341</v>
      </c>
      <c r="AI67" s="383"/>
      <c r="AJ67" s="383"/>
      <c r="AK67" s="334"/>
      <c r="AL67" s="334"/>
      <c r="AM67" s="334"/>
      <c r="AN67" s="334"/>
      <c r="AO67" s="334"/>
      <c r="AP67" s="331"/>
      <c r="AQ67" s="331"/>
      <c r="AR67" s="334"/>
      <c r="AS67" s="334"/>
      <c r="AT67" s="334"/>
      <c r="AU67" s="334"/>
      <c r="AV67" s="334"/>
      <c r="AW67" s="334"/>
      <c r="AX67" s="334"/>
      <c r="AY67" s="334"/>
      <c r="AZ67" s="334"/>
      <c r="BA67" s="335"/>
      <c r="BB67" s="334"/>
      <c r="BC67" s="334"/>
      <c r="BD67" s="334"/>
      <c r="BE67" s="334"/>
      <c r="BF67" s="334"/>
      <c r="BG67" s="43"/>
      <c r="BK67" s="120"/>
      <c r="BL67" s="52"/>
      <c r="BM67" s="1"/>
      <c r="BN67" s="340"/>
    </row>
    <row r="68" spans="1:66">
      <c r="A68" s="681">
        <v>61</v>
      </c>
      <c r="B68" s="682"/>
      <c r="C68" s="376" t="s">
        <v>1342</v>
      </c>
      <c r="D68" s="377"/>
      <c r="E68" s="377"/>
      <c r="F68" s="377"/>
      <c r="G68" s="377"/>
      <c r="H68" s="377"/>
      <c r="I68" s="377"/>
      <c r="J68" s="377"/>
      <c r="K68" s="378"/>
      <c r="L68" s="379" t="s">
        <v>1343</v>
      </c>
      <c r="M68" s="379"/>
      <c r="N68" s="379"/>
      <c r="O68" s="379"/>
      <c r="P68" s="379"/>
      <c r="Q68" s="379"/>
      <c r="R68" s="379"/>
      <c r="S68" s="379"/>
      <c r="T68" s="379"/>
      <c r="U68" s="760"/>
      <c r="V68" s="761"/>
      <c r="W68" s="756"/>
      <c r="X68" s="757"/>
      <c r="Y68" s="380" t="s">
        <v>199</v>
      </c>
      <c r="Z68" s="379"/>
      <c r="AA68" s="379"/>
      <c r="AB68" s="379"/>
      <c r="AC68" s="379"/>
      <c r="AD68" s="758">
        <v>2</v>
      </c>
      <c r="AE68" s="759"/>
      <c r="AF68" s="754"/>
      <c r="AG68" s="755"/>
      <c r="AH68" s="382" t="s">
        <v>1344</v>
      </c>
      <c r="AI68" s="383"/>
      <c r="AJ68" s="383"/>
      <c r="AK68" s="334"/>
      <c r="AP68" s="334"/>
      <c r="AQ68" s="334"/>
      <c r="AR68" s="334"/>
      <c r="AS68" s="334"/>
      <c r="AT68" s="334"/>
      <c r="AU68" s="334"/>
      <c r="AV68" s="334"/>
      <c r="AW68" s="334"/>
      <c r="AX68" s="334"/>
      <c r="AY68" s="334"/>
      <c r="AZ68" s="334"/>
      <c r="BA68" s="335"/>
      <c r="BB68" s="334"/>
      <c r="BC68" s="334"/>
      <c r="BD68" s="334"/>
      <c r="BE68" s="334"/>
      <c r="BF68" s="334"/>
      <c r="BG68" s="43"/>
      <c r="BK68" s="120"/>
      <c r="BL68" s="52"/>
      <c r="BM68" s="1"/>
      <c r="BN68" s="340"/>
    </row>
    <row r="69" spans="1:66">
      <c r="A69" s="681">
        <v>62</v>
      </c>
      <c r="B69" s="682"/>
      <c r="C69" s="376" t="s">
        <v>1345</v>
      </c>
      <c r="D69" s="377"/>
      <c r="E69" s="377"/>
      <c r="F69" s="377"/>
      <c r="G69" s="377"/>
      <c r="H69" s="377"/>
      <c r="I69" s="377"/>
      <c r="J69" s="377"/>
      <c r="K69" s="378"/>
      <c r="L69" s="379" t="s">
        <v>1346</v>
      </c>
      <c r="M69" s="379"/>
      <c r="N69" s="379"/>
      <c r="O69" s="379"/>
      <c r="P69" s="379"/>
      <c r="Q69" s="379"/>
      <c r="R69" s="379"/>
      <c r="S69" s="379"/>
      <c r="T69" s="379"/>
      <c r="U69" s="760"/>
      <c r="V69" s="761"/>
      <c r="W69" s="756"/>
      <c r="X69" s="757"/>
      <c r="Y69" s="380" t="s">
        <v>199</v>
      </c>
      <c r="Z69" s="379"/>
      <c r="AA69" s="379"/>
      <c r="AB69" s="379"/>
      <c r="AC69" s="379"/>
      <c r="AD69" s="758">
        <v>2</v>
      </c>
      <c r="AE69" s="759"/>
      <c r="AF69" s="754"/>
      <c r="AG69" s="755"/>
      <c r="AH69" s="382" t="s">
        <v>1347</v>
      </c>
      <c r="AI69" s="383"/>
      <c r="AJ69" s="383"/>
      <c r="AK69" s="334"/>
      <c r="AL69" s="334"/>
      <c r="AM69" s="334"/>
      <c r="AN69" s="334"/>
      <c r="AO69" s="334"/>
      <c r="AP69" s="334"/>
      <c r="AQ69" s="334"/>
      <c r="AR69" s="334"/>
      <c r="AS69" s="334"/>
      <c r="AT69" s="334"/>
      <c r="AU69" s="334"/>
      <c r="AV69" s="334"/>
      <c r="AW69" s="334"/>
      <c r="AX69" s="334"/>
      <c r="AY69" s="334"/>
      <c r="AZ69" s="334"/>
      <c r="BA69" s="335"/>
      <c r="BB69" s="334"/>
      <c r="BC69" s="334"/>
      <c r="BD69" s="334"/>
      <c r="BE69" s="334"/>
      <c r="BF69" s="334"/>
      <c r="BG69" s="43"/>
      <c r="BK69" s="120"/>
      <c r="BL69" s="52"/>
      <c r="BM69" s="341"/>
      <c r="BN69" s="341"/>
    </row>
    <row r="70" spans="1:66">
      <c r="A70" s="681"/>
      <c r="B70" s="682"/>
      <c r="C70" s="59"/>
      <c r="D70" s="331"/>
      <c r="E70" s="331"/>
      <c r="F70" s="331"/>
      <c r="G70" s="331"/>
      <c r="H70" s="331"/>
      <c r="I70" s="331"/>
      <c r="J70" s="331"/>
      <c r="K70" s="332"/>
      <c r="L70" s="1"/>
      <c r="M70" s="331"/>
      <c r="N70" s="331"/>
      <c r="O70" s="331"/>
      <c r="P70" s="331"/>
      <c r="Q70" s="331"/>
      <c r="R70" s="331"/>
      <c r="S70" s="331"/>
      <c r="T70" s="331"/>
      <c r="U70" s="692"/>
      <c r="V70" s="693"/>
      <c r="W70" s="694"/>
      <c r="X70" s="695"/>
      <c r="Y70" s="371"/>
      <c r="Z70" s="372"/>
      <c r="AA70" s="372"/>
      <c r="AB70" s="372"/>
      <c r="AC70" s="373"/>
      <c r="AD70" s="368"/>
      <c r="AE70" s="369"/>
      <c r="AF70" s="368"/>
      <c r="AG70" s="369"/>
      <c r="AH70" s="371"/>
      <c r="AI70" s="334"/>
      <c r="AJ70" s="334"/>
      <c r="AK70" s="334"/>
      <c r="AL70" s="334"/>
      <c r="AM70" s="334"/>
      <c r="AN70" s="334"/>
      <c r="AO70" s="334"/>
      <c r="AP70" s="334"/>
      <c r="AQ70" s="334"/>
      <c r="AR70" s="334"/>
      <c r="AS70" s="334"/>
      <c r="AT70" s="334"/>
      <c r="AU70" s="334"/>
      <c r="AV70" s="334"/>
      <c r="AW70" s="334"/>
      <c r="AX70" s="334"/>
      <c r="AY70" s="334"/>
      <c r="AZ70" s="334"/>
      <c r="BA70" s="335"/>
      <c r="BB70" s="334"/>
      <c r="BC70" s="334"/>
      <c r="BD70" s="334"/>
      <c r="BE70" s="334"/>
      <c r="BF70" s="334"/>
      <c r="BG70" s="43"/>
      <c r="BK70" s="120"/>
      <c r="BL70" s="52"/>
    </row>
    <row r="71" spans="1:66">
      <c r="A71" s="681"/>
      <c r="B71" s="682"/>
      <c r="C71" s="59"/>
      <c r="D71" s="334"/>
      <c r="E71" s="334"/>
      <c r="F71" s="334"/>
      <c r="G71" s="334"/>
      <c r="H71" s="334"/>
      <c r="I71" s="334"/>
      <c r="J71" s="334"/>
      <c r="K71" s="335"/>
      <c r="L71" s="36"/>
      <c r="M71" s="334"/>
      <c r="N71" s="334"/>
      <c r="O71" s="334"/>
      <c r="P71" s="334"/>
      <c r="Q71" s="334"/>
      <c r="R71" s="334"/>
      <c r="S71" s="334"/>
      <c r="T71" s="334"/>
      <c r="U71" s="683"/>
      <c r="V71" s="682"/>
      <c r="W71" s="684"/>
      <c r="X71" s="685"/>
      <c r="Y71" s="371"/>
      <c r="Z71" s="366"/>
      <c r="AA71" s="366"/>
      <c r="AB71" s="366"/>
      <c r="AC71" s="367"/>
      <c r="AD71" s="368"/>
      <c r="AE71" s="369"/>
      <c r="AF71" s="368"/>
      <c r="AG71" s="369"/>
      <c r="AH71" s="365"/>
      <c r="AI71" s="334"/>
      <c r="AJ71" s="334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5"/>
      <c r="BB71" s="334"/>
      <c r="BC71" s="334"/>
      <c r="BD71" s="334"/>
      <c r="BE71" s="334"/>
      <c r="BF71" s="334"/>
      <c r="BG71" s="43"/>
      <c r="BK71" s="120"/>
      <c r="BL71" s="52"/>
    </row>
    <row r="72" spans="1:66">
      <c r="A72" s="681"/>
      <c r="B72" s="682"/>
      <c r="C72" s="59"/>
      <c r="D72" s="334"/>
      <c r="E72" s="334"/>
      <c r="F72" s="334"/>
      <c r="G72" s="334"/>
      <c r="H72" s="334"/>
      <c r="I72" s="334"/>
      <c r="J72" s="334"/>
      <c r="K72" s="335"/>
      <c r="L72" s="36"/>
      <c r="M72" s="334"/>
      <c r="N72" s="334"/>
      <c r="O72" s="334"/>
      <c r="P72" s="334"/>
      <c r="Q72" s="334"/>
      <c r="R72" s="334"/>
      <c r="S72" s="334"/>
      <c r="T72" s="334"/>
      <c r="U72" s="683"/>
      <c r="V72" s="682"/>
      <c r="W72" s="684"/>
      <c r="X72" s="685"/>
      <c r="Y72" s="371"/>
      <c r="Z72" s="366"/>
      <c r="AA72" s="366"/>
      <c r="AB72" s="366"/>
      <c r="AC72" s="367"/>
      <c r="AD72" s="368"/>
      <c r="AE72" s="369"/>
      <c r="AF72" s="368"/>
      <c r="AG72" s="369"/>
      <c r="AH72" s="365"/>
      <c r="AI72" s="334"/>
      <c r="AJ72" s="334"/>
      <c r="AK72" s="334"/>
      <c r="AL72" s="334"/>
      <c r="AM72" s="334"/>
      <c r="AN72" s="334"/>
      <c r="AO72" s="334"/>
      <c r="AP72" s="334"/>
      <c r="AQ72" s="334"/>
      <c r="AR72" s="334"/>
      <c r="AS72" s="334"/>
      <c r="AT72" s="334"/>
      <c r="AU72" s="334"/>
      <c r="AV72" s="334"/>
      <c r="AW72" s="334"/>
      <c r="AX72" s="334"/>
      <c r="AY72" s="334"/>
      <c r="AZ72" s="334"/>
      <c r="BA72" s="335"/>
      <c r="BB72" s="334"/>
      <c r="BC72" s="334"/>
      <c r="BD72" s="334"/>
      <c r="BE72" s="334"/>
      <c r="BF72" s="334"/>
      <c r="BG72" s="43"/>
      <c r="BK72" s="120"/>
      <c r="BL72" s="52"/>
    </row>
    <row r="73" spans="1:66">
      <c r="A73" s="681"/>
      <c r="B73" s="682"/>
      <c r="C73" s="59"/>
      <c r="D73" s="139"/>
      <c r="E73" s="139"/>
      <c r="F73" s="139"/>
      <c r="G73" s="139"/>
      <c r="H73" s="139"/>
      <c r="I73" s="139"/>
      <c r="J73" s="139"/>
      <c r="K73" s="140"/>
      <c r="L73" s="36"/>
      <c r="M73" s="139"/>
      <c r="N73" s="139"/>
      <c r="O73" s="139"/>
      <c r="P73" s="139"/>
      <c r="Q73" s="139"/>
      <c r="R73" s="139"/>
      <c r="S73" s="139"/>
      <c r="T73" s="139"/>
      <c r="U73" s="683"/>
      <c r="V73" s="682"/>
      <c r="W73" s="684"/>
      <c r="X73" s="685"/>
      <c r="Y73" s="125"/>
      <c r="Z73" s="126"/>
      <c r="AA73" s="126"/>
      <c r="AB73" s="126"/>
      <c r="AC73" s="127"/>
      <c r="AD73" s="133"/>
      <c r="AE73" s="134"/>
      <c r="AF73" s="133"/>
      <c r="AG73" s="134"/>
      <c r="AH73" s="138"/>
      <c r="AI73" s="139"/>
      <c r="AJ73" s="139"/>
      <c r="AK73" s="139"/>
      <c r="AL73" s="139"/>
      <c r="AM73" s="139"/>
      <c r="AN73" s="139"/>
      <c r="AO73" s="139"/>
      <c r="AP73" s="139"/>
      <c r="AQ73" s="139"/>
      <c r="AR73" s="139"/>
      <c r="AS73" s="139"/>
      <c r="AT73" s="139"/>
      <c r="AU73" s="139"/>
      <c r="AV73" s="139"/>
      <c r="AW73" s="139"/>
      <c r="AX73" s="139"/>
      <c r="AY73" s="139"/>
      <c r="AZ73" s="139"/>
      <c r="BA73" s="140"/>
      <c r="BB73" s="139"/>
      <c r="BC73" s="139"/>
      <c r="BD73" s="139"/>
      <c r="BE73" s="139"/>
      <c r="BF73" s="139"/>
      <c r="BG73" s="43"/>
      <c r="BK73" s="51"/>
      <c r="BL73" s="51"/>
    </row>
    <row r="74" spans="1:66">
      <c r="A74" s="681"/>
      <c r="B74" s="682"/>
      <c r="C74" s="59"/>
      <c r="D74" s="142"/>
      <c r="E74" s="142"/>
      <c r="F74" s="142"/>
      <c r="G74" s="142"/>
      <c r="H74" s="142"/>
      <c r="I74" s="142"/>
      <c r="J74" s="142"/>
      <c r="K74" s="143"/>
      <c r="L74" s="1"/>
      <c r="M74" s="142"/>
      <c r="N74" s="142"/>
      <c r="O74" s="142"/>
      <c r="P74" s="142"/>
      <c r="Q74" s="142"/>
      <c r="R74" s="142"/>
      <c r="S74" s="142"/>
      <c r="T74" s="142"/>
      <c r="U74" s="692"/>
      <c r="V74" s="693"/>
      <c r="W74" s="694"/>
      <c r="X74" s="695"/>
      <c r="Y74" s="130"/>
      <c r="Z74" s="131"/>
      <c r="AA74" s="131"/>
      <c r="AB74" s="131"/>
      <c r="AC74" s="132"/>
      <c r="AD74" s="133"/>
      <c r="AE74" s="134"/>
      <c r="AF74" s="133"/>
      <c r="AG74" s="134"/>
      <c r="AH74" s="141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40"/>
      <c r="BB74" s="139"/>
      <c r="BC74" s="139"/>
      <c r="BD74" s="139"/>
      <c r="BE74" s="139"/>
      <c r="BF74" s="139"/>
      <c r="BG74" s="43"/>
      <c r="BK74" s="51"/>
      <c r="BL74" s="51"/>
    </row>
    <row r="75" spans="1:66">
      <c r="A75" s="681"/>
      <c r="B75" s="682"/>
      <c r="C75" s="59"/>
      <c r="D75" s="139"/>
      <c r="E75" s="139"/>
      <c r="F75" s="139"/>
      <c r="G75" s="139"/>
      <c r="H75" s="139"/>
      <c r="I75" s="139"/>
      <c r="J75" s="139"/>
      <c r="K75" s="140"/>
      <c r="L75" s="36"/>
      <c r="M75" s="139"/>
      <c r="N75" s="139"/>
      <c r="O75" s="139"/>
      <c r="P75" s="139"/>
      <c r="Q75" s="139"/>
      <c r="R75" s="139"/>
      <c r="S75" s="139"/>
      <c r="T75" s="139"/>
      <c r="U75" s="683"/>
      <c r="V75" s="682"/>
      <c r="W75" s="684"/>
      <c r="X75" s="685"/>
      <c r="Y75" s="125"/>
      <c r="Z75" s="126"/>
      <c r="AA75" s="126"/>
      <c r="AB75" s="126"/>
      <c r="AC75" s="127"/>
      <c r="AD75" s="133"/>
      <c r="AE75" s="134"/>
      <c r="AF75" s="133"/>
      <c r="AG75" s="134"/>
      <c r="AH75" s="138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40"/>
      <c r="BB75" s="139"/>
      <c r="BC75" s="139"/>
      <c r="BD75" s="139"/>
      <c r="BE75" s="139"/>
      <c r="BF75" s="139"/>
      <c r="BG75" s="43"/>
      <c r="BK75" s="101"/>
      <c r="BL75" s="101"/>
    </row>
    <row r="76" spans="1:66">
      <c r="A76" s="681"/>
      <c r="B76" s="682"/>
      <c r="C76" s="59"/>
      <c r="D76" s="139"/>
      <c r="E76" s="139"/>
      <c r="F76" s="139"/>
      <c r="G76" s="139"/>
      <c r="H76" s="139"/>
      <c r="I76" s="139"/>
      <c r="J76" s="139"/>
      <c r="K76" s="140"/>
      <c r="L76" s="36"/>
      <c r="M76" s="139"/>
      <c r="N76" s="139"/>
      <c r="O76" s="139"/>
      <c r="P76" s="139"/>
      <c r="Q76" s="139"/>
      <c r="R76" s="139"/>
      <c r="S76" s="139"/>
      <c r="T76" s="139"/>
      <c r="U76" s="683"/>
      <c r="V76" s="682"/>
      <c r="W76" s="684"/>
      <c r="X76" s="685"/>
      <c r="Y76" s="125"/>
      <c r="Z76" s="126"/>
      <c r="AA76" s="126"/>
      <c r="AB76" s="126"/>
      <c r="AC76" s="127"/>
      <c r="AD76" s="133"/>
      <c r="AE76" s="134"/>
      <c r="AF76" s="133"/>
      <c r="AG76" s="134"/>
      <c r="AH76" s="138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40"/>
      <c r="BB76" s="139"/>
      <c r="BC76" s="139"/>
      <c r="BD76" s="139"/>
      <c r="BE76" s="139"/>
      <c r="BF76" s="139"/>
      <c r="BG76" s="43"/>
      <c r="BK76" s="101"/>
      <c r="BL76" s="101"/>
    </row>
    <row r="77" spans="1:66">
      <c r="A77" s="681"/>
      <c r="B77" s="682"/>
      <c r="C77" s="59"/>
      <c r="D77" s="139"/>
      <c r="E77" s="139"/>
      <c r="F77" s="139"/>
      <c r="G77" s="139"/>
      <c r="H77" s="139"/>
      <c r="I77" s="139"/>
      <c r="J77" s="139"/>
      <c r="K77" s="140"/>
      <c r="L77" s="36"/>
      <c r="M77" s="139"/>
      <c r="N77" s="139"/>
      <c r="O77" s="139"/>
      <c r="P77" s="139"/>
      <c r="Q77" s="139"/>
      <c r="R77" s="139"/>
      <c r="S77" s="139"/>
      <c r="T77" s="139"/>
      <c r="U77" s="683"/>
      <c r="V77" s="682"/>
      <c r="W77" s="684"/>
      <c r="X77" s="685"/>
      <c r="Y77" s="125"/>
      <c r="Z77" s="126"/>
      <c r="AA77" s="126"/>
      <c r="AB77" s="126"/>
      <c r="AC77" s="127"/>
      <c r="AD77" s="133"/>
      <c r="AE77" s="134"/>
      <c r="AF77" s="133"/>
      <c r="AG77" s="134"/>
      <c r="AH77" s="138"/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39"/>
      <c r="AV77" s="139"/>
      <c r="AW77" s="139"/>
      <c r="AX77" s="139"/>
      <c r="AY77" s="139"/>
      <c r="AZ77" s="139"/>
      <c r="BA77" s="140"/>
      <c r="BB77" s="139"/>
      <c r="BC77" s="139"/>
      <c r="BD77" s="139"/>
      <c r="BE77" s="139"/>
      <c r="BF77" s="139"/>
      <c r="BG77" s="43"/>
      <c r="BK77" s="101"/>
      <c r="BL77" s="101"/>
    </row>
    <row r="78" spans="1:66">
      <c r="A78" s="681"/>
      <c r="B78" s="682"/>
      <c r="C78" s="59"/>
      <c r="D78" s="139"/>
      <c r="E78" s="139"/>
      <c r="F78" s="139"/>
      <c r="G78" s="139"/>
      <c r="H78" s="139"/>
      <c r="I78" s="139"/>
      <c r="J78" s="139"/>
      <c r="K78" s="140"/>
      <c r="L78" s="36"/>
      <c r="M78" s="139"/>
      <c r="N78" s="139"/>
      <c r="O78" s="139"/>
      <c r="P78" s="139"/>
      <c r="Q78" s="139"/>
      <c r="R78" s="139"/>
      <c r="S78" s="139"/>
      <c r="T78" s="139"/>
      <c r="U78" s="683"/>
      <c r="V78" s="682"/>
      <c r="W78" s="684"/>
      <c r="X78" s="685"/>
      <c r="Y78" s="125"/>
      <c r="Z78" s="126"/>
      <c r="AA78" s="126"/>
      <c r="AB78" s="126"/>
      <c r="AC78" s="127"/>
      <c r="AD78" s="133"/>
      <c r="AE78" s="134"/>
      <c r="AF78" s="133"/>
      <c r="AG78" s="134"/>
      <c r="AH78" s="138"/>
      <c r="AI78" s="139"/>
      <c r="AJ78" s="139"/>
      <c r="AK78" s="139"/>
      <c r="AL78" s="139"/>
      <c r="AM78" s="139"/>
      <c r="AN78" s="139"/>
      <c r="AO78" s="139"/>
      <c r="AP78" s="139"/>
      <c r="AQ78" s="139"/>
      <c r="AR78" s="139"/>
      <c r="AS78" s="139"/>
      <c r="AT78" s="139"/>
      <c r="AU78" s="139"/>
      <c r="AV78" s="139"/>
      <c r="AW78" s="139"/>
      <c r="AX78" s="139"/>
      <c r="AY78" s="139"/>
      <c r="AZ78" s="139"/>
      <c r="BA78" s="140"/>
      <c r="BB78" s="139"/>
      <c r="BC78" s="139"/>
      <c r="BD78" s="139"/>
      <c r="BE78" s="139"/>
      <c r="BF78" s="139"/>
      <c r="BG78" s="43"/>
      <c r="BK78" s="101"/>
      <c r="BL78" s="101"/>
    </row>
    <row r="79" spans="1:66">
      <c r="A79" s="681"/>
      <c r="B79" s="682"/>
      <c r="C79" s="59"/>
      <c r="D79" s="139"/>
      <c r="E79" s="139"/>
      <c r="F79" s="139"/>
      <c r="G79" s="139"/>
      <c r="H79" s="139"/>
      <c r="I79" s="139"/>
      <c r="J79" s="139"/>
      <c r="K79" s="140"/>
      <c r="L79" s="36"/>
      <c r="M79" s="139"/>
      <c r="N79" s="139"/>
      <c r="O79" s="139"/>
      <c r="P79" s="139"/>
      <c r="Q79" s="139"/>
      <c r="R79" s="139"/>
      <c r="S79" s="139"/>
      <c r="T79" s="139"/>
      <c r="U79" s="683"/>
      <c r="V79" s="682"/>
      <c r="W79" s="684"/>
      <c r="X79" s="685"/>
      <c r="Y79" s="125"/>
      <c r="Z79" s="126"/>
      <c r="AA79" s="126"/>
      <c r="AB79" s="126"/>
      <c r="AC79" s="127"/>
      <c r="AD79" s="133"/>
      <c r="AE79" s="134"/>
      <c r="AF79" s="133"/>
      <c r="AG79" s="134"/>
      <c r="AH79" s="138"/>
      <c r="AI79" s="139"/>
      <c r="AJ79" s="139"/>
      <c r="AK79" s="139"/>
      <c r="AL79" s="139"/>
      <c r="AM79" s="139"/>
      <c r="AN79" s="139"/>
      <c r="AO79" s="139"/>
      <c r="AP79" s="139"/>
      <c r="AQ79" s="139"/>
      <c r="AR79" s="139"/>
      <c r="AS79" s="139"/>
      <c r="AT79" s="139"/>
      <c r="AU79" s="139"/>
      <c r="AV79" s="139"/>
      <c r="AW79" s="139"/>
      <c r="AX79" s="139"/>
      <c r="AY79" s="139"/>
      <c r="AZ79" s="139"/>
      <c r="BA79" s="140"/>
      <c r="BB79" s="139"/>
      <c r="BC79" s="139"/>
      <c r="BD79" s="139"/>
      <c r="BE79" s="139"/>
      <c r="BF79" s="139"/>
      <c r="BG79" s="43"/>
      <c r="BK79" s="120"/>
      <c r="BL79" s="101"/>
    </row>
    <row r="80" spans="1:66">
      <c r="A80" s="681"/>
      <c r="B80" s="682"/>
      <c r="C80" s="59"/>
      <c r="D80" s="142"/>
      <c r="E80" s="142"/>
      <c r="F80" s="142"/>
      <c r="G80" s="142"/>
      <c r="H80" s="142"/>
      <c r="I80" s="142"/>
      <c r="J80" s="142"/>
      <c r="K80" s="143"/>
      <c r="L80" s="1"/>
      <c r="M80" s="142"/>
      <c r="N80" s="142"/>
      <c r="O80" s="142"/>
      <c r="P80" s="142"/>
      <c r="Q80" s="142"/>
      <c r="R80" s="142"/>
      <c r="S80" s="142"/>
      <c r="T80" s="142"/>
      <c r="U80" s="692"/>
      <c r="V80" s="693"/>
      <c r="W80" s="694"/>
      <c r="X80" s="695"/>
      <c r="Y80" s="130"/>
      <c r="Z80" s="131"/>
      <c r="AA80" s="131"/>
      <c r="AB80" s="131"/>
      <c r="AC80" s="132"/>
      <c r="AD80" s="133"/>
      <c r="AE80" s="134"/>
      <c r="AF80" s="133"/>
      <c r="AG80" s="134"/>
      <c r="AH80" s="141"/>
      <c r="AI80" s="139"/>
      <c r="AJ80" s="139"/>
      <c r="AK80" s="139"/>
      <c r="AL80" s="139"/>
      <c r="AM80" s="139"/>
      <c r="AN80" s="139"/>
      <c r="AO80" s="139"/>
      <c r="AP80" s="139"/>
      <c r="AQ80" s="139"/>
      <c r="AR80" s="139"/>
      <c r="AS80" s="139"/>
      <c r="AT80" s="139"/>
      <c r="AU80" s="139"/>
      <c r="AV80" s="139"/>
      <c r="AW80" s="139"/>
      <c r="AX80" s="139"/>
      <c r="AY80" s="139"/>
      <c r="AZ80" s="139"/>
      <c r="BA80" s="140"/>
      <c r="BB80" s="139"/>
      <c r="BC80" s="139"/>
      <c r="BD80" s="139"/>
      <c r="BE80" s="139"/>
      <c r="BF80" s="139"/>
      <c r="BG80" s="43"/>
      <c r="BK80" s="120"/>
      <c r="BL80" s="120"/>
    </row>
    <row r="81" spans="1:64" ht="16.2" thickBot="1">
      <c r="A81" s="145"/>
      <c r="B81" s="145"/>
      <c r="C81" s="144"/>
      <c r="D81" s="145"/>
      <c r="E81" s="145"/>
      <c r="F81" s="145"/>
      <c r="G81" s="145"/>
      <c r="H81" s="145"/>
      <c r="I81" s="145"/>
      <c r="J81" s="145"/>
      <c r="K81" s="146"/>
      <c r="L81" s="145"/>
      <c r="M81" s="145"/>
      <c r="N81" s="145"/>
      <c r="O81" s="145"/>
      <c r="P81" s="145"/>
      <c r="Q81" s="145"/>
      <c r="R81" s="145"/>
      <c r="S81" s="145"/>
      <c r="T81" s="145"/>
      <c r="U81" s="677"/>
      <c r="V81" s="678"/>
      <c r="W81" s="677"/>
      <c r="X81" s="678"/>
      <c r="Y81" s="144"/>
      <c r="Z81" s="145"/>
      <c r="AA81" s="145"/>
      <c r="AB81" s="145"/>
      <c r="AC81" s="146"/>
      <c r="AD81" s="679"/>
      <c r="AE81" s="680"/>
      <c r="AF81" s="679"/>
      <c r="AG81" s="680"/>
      <c r="AH81" s="144"/>
      <c r="AI81" s="145"/>
      <c r="AJ81" s="145"/>
      <c r="AK81" s="145"/>
      <c r="AL81" s="145"/>
      <c r="AM81" s="145"/>
      <c r="AN81" s="145"/>
      <c r="AO81" s="145"/>
      <c r="AP81" s="145"/>
      <c r="AQ81" s="145"/>
      <c r="AR81" s="145"/>
      <c r="AS81" s="145"/>
      <c r="AT81" s="145"/>
      <c r="AU81" s="145"/>
      <c r="AV81" s="145"/>
      <c r="AW81" s="145"/>
      <c r="AX81" s="145"/>
      <c r="AY81" s="145"/>
      <c r="AZ81" s="145"/>
      <c r="BA81" s="146"/>
      <c r="BK81" s="101"/>
      <c r="BL81" s="101"/>
    </row>
    <row r="82" spans="1:64">
      <c r="BK82" s="101"/>
      <c r="BL82" s="51"/>
    </row>
    <row r="83" spans="1:64">
      <c r="BK83" s="120"/>
      <c r="BL83" s="51"/>
    </row>
    <row r="84" spans="1:64">
      <c r="BK84" s="101"/>
      <c r="BL84" s="51"/>
    </row>
    <row r="85" spans="1:64">
      <c r="BK85" s="101"/>
      <c r="BL85" s="51"/>
    </row>
    <row r="86" spans="1:64">
      <c r="BK86" s="51"/>
      <c r="BL86" s="51"/>
    </row>
    <row r="87" spans="1:64">
      <c r="BK87" s="51"/>
      <c r="BL87" s="51"/>
    </row>
    <row r="88" spans="1:64">
      <c r="BK88" s="51"/>
      <c r="BL88" s="51"/>
    </row>
    <row r="89" spans="1:64">
      <c r="BK89" s="51"/>
      <c r="BL89" s="51"/>
    </row>
    <row r="90" spans="1:64">
      <c r="BK90" s="51"/>
      <c r="BL90" s="51"/>
    </row>
    <row r="91" spans="1:64">
      <c r="BK91" s="51"/>
      <c r="BL91" s="51"/>
    </row>
    <row r="92" spans="1:64">
      <c r="BK92" s="51"/>
      <c r="BL92" s="51"/>
    </row>
    <row r="93" spans="1:64">
      <c r="BK93" s="51"/>
      <c r="BL93" s="51"/>
    </row>
  </sheetData>
  <mergeCells count="268">
    <mergeCell ref="A13:B13"/>
    <mergeCell ref="U13:V13"/>
    <mergeCell ref="W13:X13"/>
    <mergeCell ref="A70:B70"/>
    <mergeCell ref="U70:V70"/>
    <mergeCell ref="W70:X70"/>
    <mergeCell ref="A71:B71"/>
    <mergeCell ref="U71:V71"/>
    <mergeCell ref="W71:X71"/>
    <mergeCell ref="A64:B64"/>
    <mergeCell ref="U64:V64"/>
    <mergeCell ref="W64:X64"/>
    <mergeCell ref="A65:B65"/>
    <mergeCell ref="U65:V65"/>
    <mergeCell ref="W65:X65"/>
    <mergeCell ref="A66:B66"/>
    <mergeCell ref="U66:V66"/>
    <mergeCell ref="W66:X66"/>
    <mergeCell ref="A61:B61"/>
    <mergeCell ref="U61:V61"/>
    <mergeCell ref="W61:X61"/>
    <mergeCell ref="A62:B62"/>
    <mergeCell ref="U62:V62"/>
    <mergeCell ref="W62:X62"/>
    <mergeCell ref="A72:B72"/>
    <mergeCell ref="U72:V72"/>
    <mergeCell ref="W72:X72"/>
    <mergeCell ref="A67:B67"/>
    <mergeCell ref="U67:V67"/>
    <mergeCell ref="W67:X67"/>
    <mergeCell ref="A68:B68"/>
    <mergeCell ref="U68:V68"/>
    <mergeCell ref="W68:X68"/>
    <mergeCell ref="A69:B69"/>
    <mergeCell ref="U69:V69"/>
    <mergeCell ref="W69:X69"/>
    <mergeCell ref="A63:B63"/>
    <mergeCell ref="U63:V63"/>
    <mergeCell ref="W63:X63"/>
    <mergeCell ref="A74:B74"/>
    <mergeCell ref="U74:V74"/>
    <mergeCell ref="W74:X74"/>
    <mergeCell ref="A52:B52"/>
    <mergeCell ref="U52:V52"/>
    <mergeCell ref="W52:X52"/>
    <mergeCell ref="A73:B73"/>
    <mergeCell ref="U73:V73"/>
    <mergeCell ref="W73:X73"/>
    <mergeCell ref="A56:B56"/>
    <mergeCell ref="U56:V56"/>
    <mergeCell ref="W56:X56"/>
    <mergeCell ref="A57:B57"/>
    <mergeCell ref="U57:V57"/>
    <mergeCell ref="W57:X57"/>
    <mergeCell ref="A58:B58"/>
    <mergeCell ref="U58:V58"/>
    <mergeCell ref="W58:X58"/>
    <mergeCell ref="A59:B59"/>
    <mergeCell ref="U59:V59"/>
    <mergeCell ref="W59:X59"/>
    <mergeCell ref="A60:B60"/>
    <mergeCell ref="U60:V60"/>
    <mergeCell ref="W60:X60"/>
    <mergeCell ref="A47:B47"/>
    <mergeCell ref="U47:V47"/>
    <mergeCell ref="W47:X47"/>
    <mergeCell ref="A48:B48"/>
    <mergeCell ref="U48:V48"/>
    <mergeCell ref="W48:X48"/>
    <mergeCell ref="A54:B54"/>
    <mergeCell ref="A55:B55"/>
    <mergeCell ref="U54:V54"/>
    <mergeCell ref="U55:V55"/>
    <mergeCell ref="W54:X54"/>
    <mergeCell ref="W55:X55"/>
    <mergeCell ref="A53:B53"/>
    <mergeCell ref="U53:V53"/>
    <mergeCell ref="W53:X53"/>
    <mergeCell ref="A45:B45"/>
    <mergeCell ref="U45:V45"/>
    <mergeCell ref="W45:X45"/>
    <mergeCell ref="A46:B46"/>
    <mergeCell ref="U46:V46"/>
    <mergeCell ref="W46:X46"/>
    <mergeCell ref="A51:B51"/>
    <mergeCell ref="U51:V51"/>
    <mergeCell ref="W51:X51"/>
    <mergeCell ref="A49:B49"/>
    <mergeCell ref="U49:V49"/>
    <mergeCell ref="W49:X49"/>
    <mergeCell ref="A50:B50"/>
    <mergeCell ref="U50:V50"/>
    <mergeCell ref="W50:X50"/>
    <mergeCell ref="A32:B32"/>
    <mergeCell ref="U32:V32"/>
    <mergeCell ref="W32:X32"/>
    <mergeCell ref="A33:B33"/>
    <mergeCell ref="U33:V33"/>
    <mergeCell ref="W33:X33"/>
    <mergeCell ref="A30:B30"/>
    <mergeCell ref="U30:V30"/>
    <mergeCell ref="W30:X30"/>
    <mergeCell ref="A31:B31"/>
    <mergeCell ref="U31:V31"/>
    <mergeCell ref="W31:X31"/>
    <mergeCell ref="A28:B28"/>
    <mergeCell ref="U28:V28"/>
    <mergeCell ref="W28:X28"/>
    <mergeCell ref="A29:B29"/>
    <mergeCell ref="U29:V29"/>
    <mergeCell ref="W29:X29"/>
    <mergeCell ref="A26:B26"/>
    <mergeCell ref="U26:V26"/>
    <mergeCell ref="W26:X26"/>
    <mergeCell ref="A27:B27"/>
    <mergeCell ref="U27:V27"/>
    <mergeCell ref="W27:X27"/>
    <mergeCell ref="A43:B43"/>
    <mergeCell ref="U43:V43"/>
    <mergeCell ref="W43:X43"/>
    <mergeCell ref="A44:B44"/>
    <mergeCell ref="U44:V44"/>
    <mergeCell ref="W44:X44"/>
    <mergeCell ref="A41:B41"/>
    <mergeCell ref="U41:V41"/>
    <mergeCell ref="W41:X41"/>
    <mergeCell ref="A42:B42"/>
    <mergeCell ref="U42:V42"/>
    <mergeCell ref="W42:X42"/>
    <mergeCell ref="A39:B39"/>
    <mergeCell ref="U39:V39"/>
    <mergeCell ref="W39:X39"/>
    <mergeCell ref="A40:B40"/>
    <mergeCell ref="U40:V40"/>
    <mergeCell ref="W40:X40"/>
    <mergeCell ref="A37:B37"/>
    <mergeCell ref="U37:V37"/>
    <mergeCell ref="W37:X37"/>
    <mergeCell ref="A38:B38"/>
    <mergeCell ref="U38:V38"/>
    <mergeCell ref="W38:X38"/>
    <mergeCell ref="U34:V34"/>
    <mergeCell ref="W34:X34"/>
    <mergeCell ref="A35:B35"/>
    <mergeCell ref="U35:V35"/>
    <mergeCell ref="W35:X35"/>
    <mergeCell ref="A36:B36"/>
    <mergeCell ref="U36:V36"/>
    <mergeCell ref="W36:X36"/>
    <mergeCell ref="A34:B34"/>
    <mergeCell ref="U81:V81"/>
    <mergeCell ref="W81:X81"/>
    <mergeCell ref="AD81:AE81"/>
    <mergeCell ref="AF81:AG81"/>
    <mergeCell ref="A79:B79"/>
    <mergeCell ref="U79:V79"/>
    <mergeCell ref="W79:X79"/>
    <mergeCell ref="A80:B80"/>
    <mergeCell ref="U80:V80"/>
    <mergeCell ref="W80:X80"/>
    <mergeCell ref="A77:B77"/>
    <mergeCell ref="U77:V77"/>
    <mergeCell ref="W77:X77"/>
    <mergeCell ref="A78:B78"/>
    <mergeCell ref="U78:V78"/>
    <mergeCell ref="W78:X78"/>
    <mergeCell ref="A75:B75"/>
    <mergeCell ref="U75:V75"/>
    <mergeCell ref="W75:X75"/>
    <mergeCell ref="A76:B76"/>
    <mergeCell ref="U76:V76"/>
    <mergeCell ref="W76:X76"/>
    <mergeCell ref="A24:B24"/>
    <mergeCell ref="U24:V24"/>
    <mergeCell ref="W24:X24"/>
    <mergeCell ref="A25:B25"/>
    <mergeCell ref="U25:V25"/>
    <mergeCell ref="W25:X25"/>
    <mergeCell ref="A22:B22"/>
    <mergeCell ref="U22:V22"/>
    <mergeCell ref="W22:X22"/>
    <mergeCell ref="A23:B23"/>
    <mergeCell ref="U23:V23"/>
    <mergeCell ref="W23:X23"/>
    <mergeCell ref="A20:B20"/>
    <mergeCell ref="U20:V20"/>
    <mergeCell ref="W20:X20"/>
    <mergeCell ref="A21:B21"/>
    <mergeCell ref="U21:V21"/>
    <mergeCell ref="W21:X21"/>
    <mergeCell ref="A18:B18"/>
    <mergeCell ref="U18:V18"/>
    <mergeCell ref="W18:X18"/>
    <mergeCell ref="A19:B19"/>
    <mergeCell ref="U19:V19"/>
    <mergeCell ref="W19:X19"/>
    <mergeCell ref="A16:B16"/>
    <mergeCell ref="U16:V16"/>
    <mergeCell ref="W16:X16"/>
    <mergeCell ref="A17:B17"/>
    <mergeCell ref="U17:V17"/>
    <mergeCell ref="W17:X17"/>
    <mergeCell ref="A14:B14"/>
    <mergeCell ref="U14:V14"/>
    <mergeCell ref="W14:X14"/>
    <mergeCell ref="A15:B15"/>
    <mergeCell ref="U15:V15"/>
    <mergeCell ref="W15:X15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W10:X10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D6:AE7"/>
    <mergeCell ref="AF6:AG7"/>
    <mergeCell ref="AH6:BA7"/>
    <mergeCell ref="BB6:BG7"/>
    <mergeCell ref="AD56:AE56"/>
    <mergeCell ref="AF56:AG56"/>
    <mergeCell ref="AD57:AE57"/>
    <mergeCell ref="AF57:AG57"/>
    <mergeCell ref="AD58:AE58"/>
    <mergeCell ref="AF58:AG58"/>
    <mergeCell ref="AD59:AE59"/>
    <mergeCell ref="AF59:AG59"/>
    <mergeCell ref="AD60:AE60"/>
    <mergeCell ref="AF60:AG60"/>
    <mergeCell ref="AD66:AE66"/>
    <mergeCell ref="AF66:AG66"/>
    <mergeCell ref="AD67:AE67"/>
    <mergeCell ref="AF67:AG67"/>
    <mergeCell ref="AD68:AE68"/>
    <mergeCell ref="AF68:AG68"/>
    <mergeCell ref="AD69:AE69"/>
    <mergeCell ref="AF69:AG69"/>
    <mergeCell ref="AD61:AE61"/>
    <mergeCell ref="AF61:AG61"/>
    <mergeCell ref="AD62:AE62"/>
    <mergeCell ref="AF62:AG62"/>
    <mergeCell ref="AD63:AE63"/>
    <mergeCell ref="AF63:AG63"/>
    <mergeCell ref="AD64:AE64"/>
    <mergeCell ref="AF64:AG64"/>
    <mergeCell ref="AD65:AE65"/>
    <mergeCell ref="AF65:AG6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L60"/>
  <sheetViews>
    <sheetView topLeftCell="A7" zoomScale="85" zoomScaleNormal="85" workbookViewId="0">
      <selection activeCell="C21" sqref="C21:K22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19" customWidth="1"/>
    <col min="31" max="33" width="2.6640625" style="119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16"/>
      <c r="B3" s="116"/>
      <c r="C3" s="55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07"/>
      <c r="AE3" s="107"/>
      <c r="AF3" s="107"/>
      <c r="AG3" s="107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1359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1381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1318</v>
      </c>
      <c r="BL5" s="353" t="s">
        <v>1551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1395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03" t="s">
        <v>16</v>
      </c>
      <c r="Z8" s="111"/>
      <c r="AA8" s="111"/>
      <c r="AB8" s="111"/>
      <c r="AC8" s="112"/>
      <c r="AD8" s="304">
        <v>100</v>
      </c>
      <c r="AE8" s="110"/>
      <c r="AF8" s="304">
        <v>0</v>
      </c>
      <c r="AG8" s="110"/>
      <c r="AH8" s="7" t="s">
        <v>1369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 t="s">
        <v>316</v>
      </c>
      <c r="BL8" s="51" t="s">
        <v>316</v>
      </c>
    </row>
    <row r="9" spans="1:64">
      <c r="A9" s="681">
        <v>2</v>
      </c>
      <c r="B9" s="682"/>
      <c r="C9" s="386" t="s">
        <v>1522</v>
      </c>
      <c r="D9" s="387"/>
      <c r="E9" s="387"/>
      <c r="F9" s="387"/>
      <c r="G9" s="387"/>
      <c r="H9" s="387"/>
      <c r="I9" s="387"/>
      <c r="J9" s="387"/>
      <c r="K9" s="388"/>
      <c r="L9" s="305" t="s">
        <v>1391</v>
      </c>
      <c r="M9" s="116"/>
      <c r="N9" s="116"/>
      <c r="O9" s="116"/>
      <c r="P9" s="116"/>
      <c r="Q9" s="116"/>
      <c r="R9" s="116"/>
      <c r="S9" s="116"/>
      <c r="T9" s="116"/>
      <c r="U9" s="683"/>
      <c r="V9" s="682"/>
      <c r="W9" s="684"/>
      <c r="X9" s="685"/>
      <c r="Y9" s="302" t="s">
        <v>16</v>
      </c>
      <c r="Z9" s="108"/>
      <c r="AA9" s="108"/>
      <c r="AB9" s="108"/>
      <c r="AC9" s="109"/>
      <c r="AD9" s="301">
        <v>256</v>
      </c>
      <c r="AE9" s="103"/>
      <c r="AF9" s="301">
        <v>0</v>
      </c>
      <c r="AG9" s="103"/>
      <c r="AH9" s="114" t="s">
        <v>835</v>
      </c>
      <c r="AI9" s="113"/>
      <c r="AJ9" s="116"/>
      <c r="AK9" s="116"/>
      <c r="AL9" s="116"/>
      <c r="AM9" s="116"/>
      <c r="AN9" s="116"/>
      <c r="AO9" s="116"/>
      <c r="AP9" s="116"/>
      <c r="AQ9" s="331"/>
      <c r="AR9" s="116"/>
      <c r="AS9" s="116"/>
      <c r="AT9" s="116"/>
      <c r="AU9" s="116"/>
      <c r="AV9" s="116"/>
      <c r="AW9" s="116"/>
      <c r="AX9" s="116"/>
      <c r="AY9" s="116"/>
      <c r="AZ9" s="116"/>
      <c r="BA9" s="118"/>
      <c r="BB9" s="116"/>
      <c r="BC9" s="116"/>
      <c r="BD9" s="116"/>
      <c r="BE9" s="116"/>
      <c r="BF9" s="116"/>
      <c r="BG9" s="43"/>
      <c r="BH9" s="36"/>
      <c r="BK9" s="51" t="s">
        <v>319</v>
      </c>
      <c r="BL9" s="52" t="s">
        <v>328</v>
      </c>
    </row>
    <row r="10" spans="1:64">
      <c r="A10" s="681">
        <v>3</v>
      </c>
      <c r="B10" s="682"/>
      <c r="C10" s="386" t="s">
        <v>1524</v>
      </c>
      <c r="D10" s="390"/>
      <c r="E10" s="390"/>
      <c r="F10" s="390"/>
      <c r="G10" s="390"/>
      <c r="H10" s="390"/>
      <c r="I10" s="390"/>
      <c r="J10" s="390"/>
      <c r="K10" s="391"/>
      <c r="L10" s="1" t="s">
        <v>1392</v>
      </c>
      <c r="M10" s="113"/>
      <c r="N10" s="113"/>
      <c r="O10" s="113"/>
      <c r="P10" s="113"/>
      <c r="Q10" s="113"/>
      <c r="R10" s="113"/>
      <c r="S10" s="113"/>
      <c r="T10" s="113"/>
      <c r="U10" s="692"/>
      <c r="V10" s="693"/>
      <c r="W10" s="694"/>
      <c r="X10" s="695"/>
      <c r="Y10" s="302" t="s">
        <v>16</v>
      </c>
      <c r="Z10" s="108"/>
      <c r="AA10" s="108"/>
      <c r="AB10" s="108"/>
      <c r="AC10" s="109"/>
      <c r="AD10" s="301">
        <v>256</v>
      </c>
      <c r="AE10" s="103"/>
      <c r="AF10" s="301">
        <v>0</v>
      </c>
      <c r="AG10" s="103"/>
      <c r="AH10" s="59" t="s">
        <v>1523</v>
      </c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  <c r="BA10" s="115"/>
      <c r="BB10" s="116"/>
      <c r="BC10" s="116"/>
      <c r="BD10" s="116"/>
      <c r="BE10" s="116"/>
      <c r="BF10" s="116"/>
      <c r="BG10" s="43"/>
      <c r="BH10" s="36"/>
      <c r="BK10" s="52" t="s">
        <v>300</v>
      </c>
      <c r="BL10" s="51" t="s">
        <v>329</v>
      </c>
    </row>
    <row r="11" spans="1:64">
      <c r="A11" s="681">
        <v>4</v>
      </c>
      <c r="B11" s="682"/>
      <c r="C11" s="386" t="s">
        <v>1526</v>
      </c>
      <c r="D11" s="390"/>
      <c r="E11" s="390"/>
      <c r="F11" s="390"/>
      <c r="G11" s="390"/>
      <c r="H11" s="390"/>
      <c r="I11" s="390"/>
      <c r="J11" s="390"/>
      <c r="K11" s="391"/>
      <c r="L11" s="1" t="s">
        <v>1525</v>
      </c>
      <c r="M11" s="113"/>
      <c r="N11" s="113"/>
      <c r="O11" s="113"/>
      <c r="P11" s="113"/>
      <c r="Q11" s="113"/>
      <c r="R11" s="113"/>
      <c r="S11" s="113"/>
      <c r="T11" s="113"/>
      <c r="U11" s="692"/>
      <c r="V11" s="693"/>
      <c r="W11" s="694"/>
      <c r="X11" s="695"/>
      <c r="Y11" s="302" t="s">
        <v>16</v>
      </c>
      <c r="Z11" s="108"/>
      <c r="AA11" s="108"/>
      <c r="AB11" s="108"/>
      <c r="AC11" s="109"/>
      <c r="AD11" s="301">
        <v>256</v>
      </c>
      <c r="AE11" s="103"/>
      <c r="AF11" s="301">
        <v>0</v>
      </c>
      <c r="AG11" s="103"/>
      <c r="AH11" s="114" t="s">
        <v>910</v>
      </c>
      <c r="AI11" s="116"/>
      <c r="AJ11" s="116"/>
      <c r="AK11" s="116"/>
      <c r="AL11" s="116"/>
      <c r="AM11" s="116"/>
      <c r="AN11" s="116"/>
      <c r="AO11" s="331" t="s">
        <v>1394</v>
      </c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8"/>
      <c r="BB11" s="48"/>
      <c r="BC11" s="48"/>
      <c r="BD11" s="48"/>
      <c r="BE11" s="48"/>
      <c r="BF11" s="48"/>
      <c r="BG11" s="49"/>
      <c r="BK11" s="51" t="s">
        <v>318</v>
      </c>
      <c r="BL11" s="51" t="s">
        <v>330</v>
      </c>
    </row>
    <row r="12" spans="1:64">
      <c r="A12" s="681">
        <v>5</v>
      </c>
      <c r="B12" s="682"/>
      <c r="C12" s="386" t="s">
        <v>1528</v>
      </c>
      <c r="D12" s="390"/>
      <c r="E12" s="390"/>
      <c r="F12" s="390"/>
      <c r="G12" s="390"/>
      <c r="H12" s="390"/>
      <c r="I12" s="390"/>
      <c r="J12" s="390"/>
      <c r="K12" s="391"/>
      <c r="L12" s="1" t="s">
        <v>1393</v>
      </c>
      <c r="M12" s="113"/>
      <c r="N12" s="113"/>
      <c r="O12" s="113"/>
      <c r="P12" s="113"/>
      <c r="Q12" s="113"/>
      <c r="R12" s="113"/>
      <c r="S12" s="113"/>
      <c r="T12" s="113"/>
      <c r="U12" s="692"/>
      <c r="V12" s="693"/>
      <c r="W12" s="694"/>
      <c r="X12" s="695"/>
      <c r="Y12" s="302" t="s">
        <v>16</v>
      </c>
      <c r="Z12" s="108"/>
      <c r="AA12" s="108"/>
      <c r="AB12" s="108"/>
      <c r="AC12" s="109"/>
      <c r="AD12" s="301">
        <v>256</v>
      </c>
      <c r="AE12" s="103"/>
      <c r="AF12" s="301">
        <v>0</v>
      </c>
      <c r="AG12" s="103"/>
      <c r="AH12" s="114" t="s">
        <v>1527</v>
      </c>
      <c r="AI12" s="116"/>
      <c r="AJ12" s="116"/>
      <c r="AK12" s="116"/>
      <c r="AL12" s="116"/>
      <c r="AM12" s="331"/>
      <c r="AN12" s="116"/>
      <c r="AO12" s="331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8"/>
      <c r="BB12" s="116"/>
      <c r="BC12" s="116"/>
      <c r="BD12" s="116"/>
      <c r="BE12" s="116"/>
      <c r="BF12" s="116"/>
      <c r="BG12" s="43"/>
      <c r="BK12" s="51" t="s">
        <v>314</v>
      </c>
      <c r="BL12" s="51" t="s">
        <v>314</v>
      </c>
    </row>
    <row r="13" spans="1:64">
      <c r="A13" s="681">
        <v>6</v>
      </c>
      <c r="B13" s="682"/>
      <c r="C13" s="59" t="str">
        <f t="shared" ref="C13:C29" si="0">VLOOKUP(L13,$BK$7:$BL$60,2,FALSE)</f>
        <v>清单编号</v>
      </c>
      <c r="D13" s="113"/>
      <c r="E13" s="113"/>
      <c r="F13" s="113"/>
      <c r="G13" s="113"/>
      <c r="H13" s="113"/>
      <c r="I13" s="113"/>
      <c r="J13" s="113"/>
      <c r="K13" s="115"/>
      <c r="L13" s="1" t="s">
        <v>279</v>
      </c>
      <c r="M13" s="113"/>
      <c r="N13" s="113"/>
      <c r="O13" s="113"/>
      <c r="P13" s="113"/>
      <c r="Q13" s="113"/>
      <c r="R13" s="113"/>
      <c r="S13" s="113"/>
      <c r="T13" s="113"/>
      <c r="U13" s="692"/>
      <c r="V13" s="693"/>
      <c r="W13" s="694"/>
      <c r="X13" s="695"/>
      <c r="Y13" s="302" t="s">
        <v>16</v>
      </c>
      <c r="Z13" s="108"/>
      <c r="AA13" s="108"/>
      <c r="AB13" s="108"/>
      <c r="AC13" s="109"/>
      <c r="AD13" s="301">
        <v>256</v>
      </c>
      <c r="AE13" s="103"/>
      <c r="AF13" s="301">
        <v>0</v>
      </c>
      <c r="AG13" s="103"/>
      <c r="AH13" s="114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8"/>
      <c r="BB13" s="116"/>
      <c r="BC13" s="116"/>
      <c r="BD13" s="116"/>
      <c r="BE13" s="116"/>
      <c r="BF13" s="116"/>
      <c r="BG13" s="43"/>
      <c r="BK13" s="51" t="s">
        <v>313</v>
      </c>
      <c r="BL13" s="51" t="s">
        <v>313</v>
      </c>
    </row>
    <row r="14" spans="1:64">
      <c r="A14" s="681">
        <v>7</v>
      </c>
      <c r="B14" s="682"/>
      <c r="C14" s="59" t="str">
        <f t="shared" si="0"/>
        <v>清单名称</v>
      </c>
      <c r="D14" s="113"/>
      <c r="E14" s="113"/>
      <c r="F14" s="113"/>
      <c r="G14" s="113"/>
      <c r="H14" s="113"/>
      <c r="I14" s="113"/>
      <c r="J14" s="113"/>
      <c r="K14" s="115"/>
      <c r="L14" s="1" t="s">
        <v>280</v>
      </c>
      <c r="M14" s="113"/>
      <c r="N14" s="113"/>
      <c r="O14" s="113"/>
      <c r="P14" s="113"/>
      <c r="Q14" s="113"/>
      <c r="R14" s="113"/>
      <c r="S14" s="113"/>
      <c r="T14" s="113"/>
      <c r="U14" s="692"/>
      <c r="V14" s="693"/>
      <c r="W14" s="694"/>
      <c r="X14" s="695"/>
      <c r="Y14" s="302" t="s">
        <v>16</v>
      </c>
      <c r="Z14" s="108"/>
      <c r="AA14" s="108"/>
      <c r="AB14" s="108"/>
      <c r="AC14" s="109"/>
      <c r="AD14" s="301">
        <v>256</v>
      </c>
      <c r="AE14" s="103"/>
      <c r="AF14" s="301">
        <v>0</v>
      </c>
      <c r="AG14" s="103"/>
      <c r="AH14" s="114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8"/>
      <c r="BB14" s="116"/>
      <c r="BC14" s="116"/>
      <c r="BD14" s="116"/>
      <c r="BE14" s="116"/>
      <c r="BF14" s="116"/>
      <c r="BG14" s="43"/>
      <c r="BK14" s="51" t="s">
        <v>320</v>
      </c>
      <c r="BL14" s="51" t="s">
        <v>331</v>
      </c>
    </row>
    <row r="15" spans="1:64">
      <c r="A15" s="681">
        <v>8</v>
      </c>
      <c r="B15" s="682"/>
      <c r="C15" s="59" t="str">
        <f t="shared" si="0"/>
        <v>单位</v>
      </c>
      <c r="D15" s="113"/>
      <c r="E15" s="113"/>
      <c r="F15" s="113"/>
      <c r="G15" s="113"/>
      <c r="H15" s="113"/>
      <c r="I15" s="113"/>
      <c r="J15" s="113"/>
      <c r="K15" s="115"/>
      <c r="L15" s="1" t="s">
        <v>317</v>
      </c>
      <c r="M15" s="113"/>
      <c r="N15" s="113"/>
      <c r="O15" s="113"/>
      <c r="P15" s="113"/>
      <c r="Q15" s="113"/>
      <c r="R15" s="113"/>
      <c r="S15" s="113"/>
      <c r="T15" s="113"/>
      <c r="U15" s="692"/>
      <c r="V15" s="693"/>
      <c r="W15" s="694"/>
      <c r="X15" s="695"/>
      <c r="Y15" s="302" t="s">
        <v>16</v>
      </c>
      <c r="Z15" s="108"/>
      <c r="AA15" s="108"/>
      <c r="AB15" s="108"/>
      <c r="AC15" s="109"/>
      <c r="AD15" s="301">
        <v>256</v>
      </c>
      <c r="AE15" s="103"/>
      <c r="AF15" s="301">
        <v>0</v>
      </c>
      <c r="AG15" s="103"/>
      <c r="AH15" s="114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8"/>
      <c r="BB15" s="116"/>
      <c r="BC15" s="116"/>
      <c r="BD15" s="116"/>
      <c r="BE15" s="116"/>
      <c r="BF15" s="116"/>
      <c r="BG15" s="43"/>
      <c r="BK15" s="51" t="s">
        <v>321</v>
      </c>
      <c r="BL15" s="51" t="s">
        <v>332</v>
      </c>
    </row>
    <row r="16" spans="1:64">
      <c r="A16" s="681">
        <v>9</v>
      </c>
      <c r="B16" s="682"/>
      <c r="C16" s="59" t="str">
        <f t="shared" si="0"/>
        <v>不含税单价</v>
      </c>
      <c r="D16" s="113"/>
      <c r="E16" s="113"/>
      <c r="F16" s="113"/>
      <c r="G16" s="113"/>
      <c r="H16" s="113"/>
      <c r="I16" s="113"/>
      <c r="J16" s="113"/>
      <c r="K16" s="115"/>
      <c r="L16" s="1" t="s">
        <v>300</v>
      </c>
      <c r="M16" s="113"/>
      <c r="N16" s="113"/>
      <c r="O16" s="113"/>
      <c r="P16" s="113"/>
      <c r="Q16" s="113"/>
      <c r="R16" s="113"/>
      <c r="S16" s="113"/>
      <c r="T16" s="113"/>
      <c r="U16" s="692"/>
      <c r="V16" s="693"/>
      <c r="W16" s="694"/>
      <c r="X16" s="695"/>
      <c r="Y16" s="302" t="s">
        <v>1308</v>
      </c>
      <c r="Z16" s="108"/>
      <c r="AA16" s="108"/>
      <c r="AB16" s="108"/>
      <c r="AC16" s="109"/>
      <c r="AD16" s="301">
        <v>19</v>
      </c>
      <c r="AE16" s="103"/>
      <c r="AF16" s="301">
        <v>6</v>
      </c>
      <c r="AG16" s="103"/>
      <c r="AH16" s="355" t="s">
        <v>198</v>
      </c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8"/>
      <c r="BB16" s="116"/>
      <c r="BC16" s="116"/>
      <c r="BD16" s="116"/>
      <c r="BE16" s="116"/>
      <c r="BF16" s="116"/>
      <c r="BG16" s="43"/>
      <c r="BK16" s="51" t="s">
        <v>322</v>
      </c>
      <c r="BL16" s="51" t="s">
        <v>333</v>
      </c>
    </row>
    <row r="17" spans="1:64">
      <c r="A17" s="681">
        <v>10</v>
      </c>
      <c r="B17" s="682"/>
      <c r="C17" s="59" t="str">
        <f t="shared" si="0"/>
        <v>不含税标后预算单价/限价</v>
      </c>
      <c r="D17" s="116"/>
      <c r="E17" s="116"/>
      <c r="F17" s="116"/>
      <c r="G17" s="116"/>
      <c r="H17" s="116"/>
      <c r="I17" s="116"/>
      <c r="J17" s="116"/>
      <c r="K17" s="118"/>
      <c r="L17" s="36" t="s">
        <v>318</v>
      </c>
      <c r="M17" s="116"/>
      <c r="N17" s="116"/>
      <c r="O17" s="116"/>
      <c r="P17" s="116"/>
      <c r="Q17" s="116"/>
      <c r="R17" s="116"/>
      <c r="S17" s="116"/>
      <c r="T17" s="116"/>
      <c r="U17" s="683"/>
      <c r="V17" s="682"/>
      <c r="W17" s="684"/>
      <c r="X17" s="685"/>
      <c r="Y17" s="355" t="s">
        <v>1309</v>
      </c>
      <c r="Z17" s="105"/>
      <c r="AA17" s="105"/>
      <c r="AB17" s="105"/>
      <c r="AC17" s="106"/>
      <c r="AD17" s="301">
        <v>19</v>
      </c>
      <c r="AE17" s="103"/>
      <c r="AF17" s="301">
        <v>6</v>
      </c>
      <c r="AG17" s="103"/>
      <c r="AH17" s="354" t="s">
        <v>198</v>
      </c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8"/>
      <c r="BB17" s="116"/>
      <c r="BC17" s="116"/>
      <c r="BD17" s="116"/>
      <c r="BE17" s="116"/>
      <c r="BF17" s="116"/>
      <c r="BG17" s="43"/>
      <c r="BK17" s="51" t="s">
        <v>323</v>
      </c>
      <c r="BL17" s="51" t="s">
        <v>334</v>
      </c>
    </row>
    <row r="18" spans="1:64">
      <c r="A18" s="681">
        <v>11</v>
      </c>
      <c r="B18" s="682"/>
      <c r="C18" s="59" t="str">
        <f t="shared" si="0"/>
        <v>业主清单单价</v>
      </c>
      <c r="D18" s="116"/>
      <c r="E18" s="116"/>
      <c r="F18" s="116"/>
      <c r="G18" s="116"/>
      <c r="H18" s="116"/>
      <c r="I18" s="116"/>
      <c r="J18" s="116"/>
      <c r="K18" s="118"/>
      <c r="L18" s="36" t="s">
        <v>319</v>
      </c>
      <c r="M18" s="116"/>
      <c r="N18" s="116"/>
      <c r="O18" s="116"/>
      <c r="P18" s="116"/>
      <c r="Q18" s="116"/>
      <c r="R18" s="116"/>
      <c r="S18" s="116"/>
      <c r="T18" s="116"/>
      <c r="U18" s="683"/>
      <c r="V18" s="682"/>
      <c r="W18" s="684"/>
      <c r="X18" s="685"/>
      <c r="Y18" s="355" t="s">
        <v>1308</v>
      </c>
      <c r="Z18" s="105"/>
      <c r="AA18" s="105"/>
      <c r="AB18" s="105"/>
      <c r="AC18" s="106"/>
      <c r="AD18" s="301">
        <v>19</v>
      </c>
      <c r="AE18" s="103"/>
      <c r="AF18" s="301">
        <v>6</v>
      </c>
      <c r="AG18" s="103"/>
      <c r="AH18" s="354" t="s">
        <v>198</v>
      </c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8"/>
      <c r="BB18" s="116"/>
      <c r="BC18" s="116"/>
      <c r="BD18" s="116"/>
      <c r="BE18" s="116"/>
      <c r="BF18" s="116"/>
      <c r="BG18" s="43"/>
      <c r="BK18" s="51" t="s">
        <v>324</v>
      </c>
      <c r="BL18" s="51" t="s">
        <v>335</v>
      </c>
    </row>
    <row r="19" spans="1:64">
      <c r="A19" s="681">
        <v>12</v>
      </c>
      <c r="B19" s="682"/>
      <c r="C19" s="59" t="str">
        <f t="shared" si="0"/>
        <v>对比(标后预算/限价-不含税合价)</v>
      </c>
      <c r="D19" s="116"/>
      <c r="E19" s="116"/>
      <c r="F19" s="116"/>
      <c r="G19" s="116"/>
      <c r="H19" s="116"/>
      <c r="I19" s="116"/>
      <c r="J19" s="116"/>
      <c r="K19" s="118"/>
      <c r="L19" s="36" t="s">
        <v>320</v>
      </c>
      <c r="M19" s="116"/>
      <c r="N19" s="116"/>
      <c r="O19" s="116"/>
      <c r="P19" s="116"/>
      <c r="Q19" s="116"/>
      <c r="R19" s="116"/>
      <c r="S19" s="116"/>
      <c r="T19" s="116"/>
      <c r="U19" s="683"/>
      <c r="V19" s="682"/>
      <c r="W19" s="684"/>
      <c r="X19" s="685"/>
      <c r="Y19" s="355" t="s">
        <v>1308</v>
      </c>
      <c r="Z19" s="105"/>
      <c r="AA19" s="105"/>
      <c r="AB19" s="105"/>
      <c r="AC19" s="106"/>
      <c r="AD19" s="301">
        <v>19</v>
      </c>
      <c r="AE19" s="103"/>
      <c r="AF19" s="301">
        <v>6</v>
      </c>
      <c r="AG19" s="103"/>
      <c r="AH19" s="354" t="s">
        <v>198</v>
      </c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8"/>
      <c r="BB19" s="116"/>
      <c r="BC19" s="116"/>
      <c r="BD19" s="116"/>
      <c r="BE19" s="116"/>
      <c r="BF19" s="116"/>
      <c r="BG19" s="43"/>
      <c r="BK19" s="51" t="s">
        <v>325</v>
      </c>
      <c r="BL19" s="51" t="s">
        <v>336</v>
      </c>
    </row>
    <row r="20" spans="1:64">
      <c r="A20" s="681">
        <v>13</v>
      </c>
      <c r="B20" s="682"/>
      <c r="C20" s="414" t="str">
        <f t="shared" si="0"/>
        <v>备注</v>
      </c>
      <c r="D20" s="415"/>
      <c r="E20" s="415"/>
      <c r="F20" s="415"/>
      <c r="G20" s="415"/>
      <c r="H20" s="415"/>
      <c r="I20" s="415"/>
      <c r="J20" s="415"/>
      <c r="K20" s="416"/>
      <c r="L20" s="36" t="s">
        <v>29</v>
      </c>
      <c r="M20" s="116"/>
      <c r="N20" s="116"/>
      <c r="O20" s="116"/>
      <c r="P20" s="116"/>
      <c r="Q20" s="116"/>
      <c r="R20" s="116"/>
      <c r="S20" s="116"/>
      <c r="T20" s="116"/>
      <c r="U20" s="683"/>
      <c r="V20" s="682"/>
      <c r="W20" s="684"/>
      <c r="X20" s="685"/>
      <c r="Y20" s="300" t="s">
        <v>16</v>
      </c>
      <c r="Z20" s="105"/>
      <c r="AA20" s="105"/>
      <c r="AB20" s="105"/>
      <c r="AC20" s="106"/>
      <c r="AD20" s="301">
        <v>4000</v>
      </c>
      <c r="AE20" s="103"/>
      <c r="AF20" s="301">
        <v>0</v>
      </c>
      <c r="AG20" s="103"/>
      <c r="AH20" s="117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8"/>
      <c r="BB20" s="116"/>
      <c r="BC20" s="116"/>
      <c r="BD20" s="116"/>
      <c r="BE20" s="116"/>
      <c r="BF20" s="116"/>
      <c r="BG20" s="43"/>
      <c r="BK20" s="51" t="s">
        <v>326</v>
      </c>
      <c r="BL20" s="51" t="s">
        <v>337</v>
      </c>
    </row>
    <row r="21" spans="1:64">
      <c r="A21" s="681">
        <v>14</v>
      </c>
      <c r="B21" s="682"/>
      <c r="C21" s="457" t="str">
        <f t="shared" si="0"/>
        <v>所属公司ID</v>
      </c>
      <c r="D21" s="460"/>
      <c r="E21" s="460"/>
      <c r="F21" s="460"/>
      <c r="G21" s="460"/>
      <c r="H21" s="460"/>
      <c r="I21" s="460"/>
      <c r="J21" s="460"/>
      <c r="K21" s="461"/>
      <c r="L21" s="36" t="s">
        <v>43</v>
      </c>
      <c r="M21" s="116"/>
      <c r="N21" s="116"/>
      <c r="O21" s="116"/>
      <c r="P21" s="116"/>
      <c r="Q21" s="116"/>
      <c r="R21" s="116"/>
      <c r="S21" s="116"/>
      <c r="T21" s="116"/>
      <c r="U21" s="683"/>
      <c r="V21" s="682"/>
      <c r="W21" s="684"/>
      <c r="X21" s="685"/>
      <c r="Y21" s="300" t="s">
        <v>16</v>
      </c>
      <c r="Z21" s="105"/>
      <c r="AA21" s="105"/>
      <c r="AB21" s="105"/>
      <c r="AC21" s="106"/>
      <c r="AD21" s="301">
        <v>100</v>
      </c>
      <c r="AE21" s="103"/>
      <c r="AF21" s="301">
        <v>0</v>
      </c>
      <c r="AG21" s="103"/>
      <c r="AH21" s="117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8"/>
      <c r="BB21" s="116"/>
      <c r="BC21" s="116"/>
      <c r="BD21" s="116"/>
      <c r="BE21" s="116"/>
      <c r="BF21" s="116"/>
      <c r="BG21" s="43"/>
      <c r="BK21" s="51" t="s">
        <v>317</v>
      </c>
      <c r="BL21" s="51" t="s">
        <v>311</v>
      </c>
    </row>
    <row r="22" spans="1:64">
      <c r="A22" s="681">
        <v>15</v>
      </c>
      <c r="B22" s="682"/>
      <c r="C22" s="457" t="str">
        <f t="shared" si="0"/>
        <v>所属公司名称</v>
      </c>
      <c r="D22" s="460"/>
      <c r="E22" s="460"/>
      <c r="F22" s="460"/>
      <c r="G22" s="460"/>
      <c r="H22" s="460"/>
      <c r="I22" s="460"/>
      <c r="J22" s="460"/>
      <c r="K22" s="461"/>
      <c r="L22" s="36" t="s">
        <v>308</v>
      </c>
      <c r="M22" s="116"/>
      <c r="N22" s="116"/>
      <c r="O22" s="116"/>
      <c r="P22" s="116"/>
      <c r="Q22" s="116"/>
      <c r="R22" s="116"/>
      <c r="S22" s="116"/>
      <c r="T22" s="116"/>
      <c r="U22" s="683"/>
      <c r="V22" s="682"/>
      <c r="W22" s="684"/>
      <c r="X22" s="685"/>
      <c r="Y22" s="300" t="s">
        <v>16</v>
      </c>
      <c r="Z22" s="105"/>
      <c r="AA22" s="105"/>
      <c r="AB22" s="105"/>
      <c r="AC22" s="106"/>
      <c r="AD22" s="301">
        <v>128</v>
      </c>
      <c r="AE22" s="103"/>
      <c r="AF22" s="301">
        <v>0</v>
      </c>
      <c r="AG22" s="103"/>
      <c r="AH22" s="117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8"/>
      <c r="BB22" s="116"/>
      <c r="BC22" s="116"/>
      <c r="BD22" s="116"/>
      <c r="BE22" s="116"/>
      <c r="BF22" s="116"/>
      <c r="BG22" s="43"/>
      <c r="BK22" s="101" t="s">
        <v>31</v>
      </c>
      <c r="BL22" s="51" t="s">
        <v>312</v>
      </c>
    </row>
    <row r="23" spans="1:64">
      <c r="A23" s="681">
        <v>16</v>
      </c>
      <c r="B23" s="682"/>
      <c r="C23" s="59" t="str">
        <f t="shared" si="0"/>
        <v>最后编辑时间</v>
      </c>
      <c r="D23" s="116"/>
      <c r="E23" s="116"/>
      <c r="F23" s="116"/>
      <c r="G23" s="116"/>
      <c r="H23" s="116"/>
      <c r="I23" s="116"/>
      <c r="J23" s="116"/>
      <c r="K23" s="118"/>
      <c r="L23" s="36" t="s">
        <v>30</v>
      </c>
      <c r="M23" s="116"/>
      <c r="N23" s="116"/>
      <c r="O23" s="116"/>
      <c r="P23" s="116"/>
      <c r="Q23" s="116"/>
      <c r="R23" s="116"/>
      <c r="S23" s="116"/>
      <c r="T23" s="116"/>
      <c r="U23" s="683"/>
      <c r="V23" s="682"/>
      <c r="W23" s="684"/>
      <c r="X23" s="685"/>
      <c r="Y23" s="300" t="s">
        <v>17</v>
      </c>
      <c r="Z23" s="105"/>
      <c r="AA23" s="105"/>
      <c r="AB23" s="105"/>
      <c r="AC23" s="106"/>
      <c r="AD23" s="301"/>
      <c r="AE23" s="103"/>
      <c r="AF23" s="301"/>
      <c r="AG23" s="103"/>
      <c r="AH23" s="330" t="s">
        <v>1320</v>
      </c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8"/>
      <c r="BB23" s="116"/>
      <c r="BC23" s="116"/>
      <c r="BD23" s="116"/>
      <c r="BE23" s="116"/>
      <c r="BF23" s="116"/>
      <c r="BG23" s="43"/>
      <c r="BK23" s="51" t="s">
        <v>279</v>
      </c>
      <c r="BL23" s="51" t="s">
        <v>338</v>
      </c>
    </row>
    <row r="24" spans="1:64">
      <c r="A24" s="681">
        <v>17</v>
      </c>
      <c r="B24" s="682"/>
      <c r="C24" s="59" t="str">
        <f t="shared" si="0"/>
        <v>主材</v>
      </c>
      <c r="D24" s="116"/>
      <c r="E24" s="116"/>
      <c r="F24" s="116"/>
      <c r="G24" s="116"/>
      <c r="H24" s="116"/>
      <c r="I24" s="116"/>
      <c r="J24" s="116"/>
      <c r="K24" s="118"/>
      <c r="L24" s="36" t="s">
        <v>321</v>
      </c>
      <c r="M24" s="116"/>
      <c r="N24" s="116"/>
      <c r="O24" s="116"/>
      <c r="P24" s="116"/>
      <c r="Q24" s="116"/>
      <c r="R24" s="116"/>
      <c r="S24" s="116"/>
      <c r="T24" s="116"/>
      <c r="U24" s="683"/>
      <c r="V24" s="682"/>
      <c r="W24" s="684"/>
      <c r="X24" s="685"/>
      <c r="Y24" s="355" t="s">
        <v>1315</v>
      </c>
      <c r="Z24" s="105"/>
      <c r="AA24" s="105"/>
      <c r="AB24" s="105"/>
      <c r="AC24" s="106"/>
      <c r="AD24" s="301">
        <v>19</v>
      </c>
      <c r="AE24" s="103"/>
      <c r="AF24" s="301">
        <v>6</v>
      </c>
      <c r="AG24" s="103"/>
      <c r="AH24" s="354" t="s">
        <v>198</v>
      </c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8"/>
      <c r="BB24" s="116"/>
      <c r="BC24" s="116"/>
      <c r="BD24" s="116"/>
      <c r="BE24" s="116"/>
      <c r="BF24" s="116"/>
      <c r="BG24" s="43"/>
      <c r="BK24" s="51" t="s">
        <v>280</v>
      </c>
      <c r="BL24" s="51" t="s">
        <v>339</v>
      </c>
    </row>
    <row r="25" spans="1:64">
      <c r="A25" s="681">
        <v>18</v>
      </c>
      <c r="B25" s="682"/>
      <c r="C25" s="59" t="str">
        <f t="shared" si="0"/>
        <v>管理费</v>
      </c>
      <c r="D25" s="116"/>
      <c r="E25" s="116"/>
      <c r="F25" s="116"/>
      <c r="G25" s="116"/>
      <c r="H25" s="116"/>
      <c r="I25" s="116"/>
      <c r="J25" s="116"/>
      <c r="K25" s="118"/>
      <c r="L25" s="36" t="s">
        <v>322</v>
      </c>
      <c r="M25" s="116"/>
      <c r="N25" s="116"/>
      <c r="O25" s="116"/>
      <c r="P25" s="116"/>
      <c r="Q25" s="116"/>
      <c r="R25" s="116"/>
      <c r="S25" s="116"/>
      <c r="T25" s="116"/>
      <c r="U25" s="683"/>
      <c r="V25" s="682"/>
      <c r="W25" s="684"/>
      <c r="X25" s="685"/>
      <c r="Y25" s="355" t="s">
        <v>1309</v>
      </c>
      <c r="Z25" s="105"/>
      <c r="AA25" s="105"/>
      <c r="AB25" s="105"/>
      <c r="AC25" s="106"/>
      <c r="AD25" s="301">
        <v>19</v>
      </c>
      <c r="AE25" s="103"/>
      <c r="AF25" s="301">
        <v>6</v>
      </c>
      <c r="AG25" s="103"/>
      <c r="AH25" s="354" t="s">
        <v>198</v>
      </c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8"/>
      <c r="BB25" s="116"/>
      <c r="BC25" s="116"/>
      <c r="BD25" s="116"/>
      <c r="BE25" s="116"/>
      <c r="BF25" s="116"/>
      <c r="BG25" s="43"/>
      <c r="BK25" s="51" t="s">
        <v>29</v>
      </c>
      <c r="BL25" s="51" t="s">
        <v>49</v>
      </c>
    </row>
    <row r="26" spans="1:64">
      <c r="A26" s="681">
        <v>19</v>
      </c>
      <c r="B26" s="682"/>
      <c r="C26" s="59" t="str">
        <f t="shared" si="0"/>
        <v>利润</v>
      </c>
      <c r="D26" s="116"/>
      <c r="E26" s="116"/>
      <c r="F26" s="116"/>
      <c r="G26" s="116"/>
      <c r="H26" s="116"/>
      <c r="I26" s="116"/>
      <c r="J26" s="116"/>
      <c r="K26" s="118"/>
      <c r="L26" s="36" t="s">
        <v>323</v>
      </c>
      <c r="M26" s="116"/>
      <c r="N26" s="116"/>
      <c r="O26" s="116"/>
      <c r="P26" s="116"/>
      <c r="Q26" s="116"/>
      <c r="R26" s="116"/>
      <c r="S26" s="116"/>
      <c r="T26" s="116"/>
      <c r="U26" s="683"/>
      <c r="V26" s="682"/>
      <c r="W26" s="684"/>
      <c r="X26" s="685"/>
      <c r="Y26" s="355" t="s">
        <v>1309</v>
      </c>
      <c r="Z26" s="105"/>
      <c r="AA26" s="105"/>
      <c r="AB26" s="105"/>
      <c r="AC26" s="106"/>
      <c r="AD26" s="301">
        <v>19</v>
      </c>
      <c r="AE26" s="103"/>
      <c r="AF26" s="301">
        <v>6</v>
      </c>
      <c r="AG26" s="103"/>
      <c r="AH26" s="354" t="s">
        <v>198</v>
      </c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8"/>
      <c r="BB26" s="116"/>
      <c r="BC26" s="116"/>
      <c r="BD26" s="116"/>
      <c r="BE26" s="116"/>
      <c r="BF26" s="116"/>
      <c r="BG26" s="43"/>
      <c r="BK26" s="51" t="s">
        <v>327</v>
      </c>
      <c r="BL26" s="51" t="s">
        <v>340</v>
      </c>
    </row>
    <row r="27" spans="1:64">
      <c r="A27" s="681">
        <v>20</v>
      </c>
      <c r="B27" s="682"/>
      <c r="C27" s="59" t="str">
        <f t="shared" si="0"/>
        <v>人工费</v>
      </c>
      <c r="D27" s="116"/>
      <c r="E27" s="116"/>
      <c r="F27" s="116"/>
      <c r="G27" s="116"/>
      <c r="H27" s="116"/>
      <c r="I27" s="116"/>
      <c r="J27" s="116"/>
      <c r="K27" s="118"/>
      <c r="L27" s="36" t="s">
        <v>324</v>
      </c>
      <c r="M27" s="116"/>
      <c r="N27" s="116"/>
      <c r="O27" s="116"/>
      <c r="P27" s="116"/>
      <c r="Q27" s="116"/>
      <c r="R27" s="116"/>
      <c r="S27" s="116"/>
      <c r="T27" s="116"/>
      <c r="U27" s="683"/>
      <c r="V27" s="682"/>
      <c r="W27" s="684"/>
      <c r="X27" s="685"/>
      <c r="Y27" s="354" t="s">
        <v>1260</v>
      </c>
      <c r="Z27" s="105"/>
      <c r="AA27" s="105"/>
      <c r="AB27" s="105"/>
      <c r="AC27" s="106"/>
      <c r="AD27" s="301">
        <v>19</v>
      </c>
      <c r="AE27" s="103"/>
      <c r="AF27" s="301">
        <v>6</v>
      </c>
      <c r="AG27" s="103"/>
      <c r="AH27" s="354" t="s">
        <v>198</v>
      </c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8"/>
      <c r="BB27" s="116"/>
      <c r="BC27" s="116"/>
      <c r="BD27" s="116"/>
      <c r="BE27" s="116"/>
      <c r="BF27" s="116"/>
      <c r="BG27" s="43"/>
      <c r="BK27" s="51" t="s">
        <v>277</v>
      </c>
      <c r="BL27" s="51" t="s">
        <v>277</v>
      </c>
    </row>
    <row r="28" spans="1:64">
      <c r="A28" s="681">
        <v>21</v>
      </c>
      <c r="B28" s="682"/>
      <c r="C28" s="59" t="str">
        <f t="shared" si="0"/>
        <v>周转材料</v>
      </c>
      <c r="D28" s="116"/>
      <c r="E28" s="116"/>
      <c r="F28" s="116"/>
      <c r="G28" s="116"/>
      <c r="H28" s="116"/>
      <c r="I28" s="116"/>
      <c r="J28" s="116"/>
      <c r="K28" s="118"/>
      <c r="L28" s="36" t="s">
        <v>325</v>
      </c>
      <c r="M28" s="116"/>
      <c r="N28" s="116"/>
      <c r="O28" s="116"/>
      <c r="P28" s="116"/>
      <c r="Q28" s="116"/>
      <c r="R28" s="116"/>
      <c r="S28" s="116"/>
      <c r="T28" s="116"/>
      <c r="U28" s="683"/>
      <c r="V28" s="682"/>
      <c r="W28" s="684"/>
      <c r="X28" s="685"/>
      <c r="Y28" s="354" t="s">
        <v>1260</v>
      </c>
      <c r="Z28" s="105"/>
      <c r="AA28" s="105"/>
      <c r="AB28" s="105"/>
      <c r="AC28" s="106"/>
      <c r="AD28" s="301">
        <v>19</v>
      </c>
      <c r="AE28" s="103"/>
      <c r="AF28" s="301">
        <v>6</v>
      </c>
      <c r="AG28" s="103"/>
      <c r="AH28" s="354" t="s">
        <v>198</v>
      </c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8"/>
      <c r="BB28" s="116"/>
      <c r="BC28" s="116"/>
      <c r="BD28" s="116"/>
      <c r="BE28" s="116"/>
      <c r="BF28" s="116"/>
      <c r="BG28" s="43"/>
      <c r="BK28" s="51"/>
      <c r="BL28" s="51"/>
    </row>
    <row r="29" spans="1:64">
      <c r="A29" s="681">
        <v>22</v>
      </c>
      <c r="B29" s="682"/>
      <c r="C29" s="59" t="str">
        <f t="shared" si="0"/>
        <v>机械设备</v>
      </c>
      <c r="D29" s="116"/>
      <c r="E29" s="116"/>
      <c r="F29" s="116"/>
      <c r="G29" s="116"/>
      <c r="H29" s="116"/>
      <c r="I29" s="116"/>
      <c r="J29" s="116"/>
      <c r="K29" s="118"/>
      <c r="L29" s="36" t="s">
        <v>326</v>
      </c>
      <c r="M29" s="116"/>
      <c r="N29" s="116"/>
      <c r="O29" s="116"/>
      <c r="P29" s="116"/>
      <c r="Q29" s="116"/>
      <c r="R29" s="116"/>
      <c r="S29" s="116"/>
      <c r="T29" s="116"/>
      <c r="U29" s="683"/>
      <c r="V29" s="682"/>
      <c r="W29" s="684"/>
      <c r="X29" s="685"/>
      <c r="Y29" s="354" t="s">
        <v>1260</v>
      </c>
      <c r="Z29" s="105"/>
      <c r="AA29" s="105"/>
      <c r="AB29" s="105"/>
      <c r="AC29" s="106"/>
      <c r="AD29" s="301">
        <v>19</v>
      </c>
      <c r="AE29" s="103"/>
      <c r="AF29" s="301">
        <v>6</v>
      </c>
      <c r="AG29" s="103"/>
      <c r="AH29" s="354" t="s">
        <v>198</v>
      </c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8"/>
      <c r="BB29" s="116"/>
      <c r="BC29" s="116"/>
      <c r="BD29" s="116"/>
      <c r="BE29" s="116"/>
      <c r="BF29" s="116"/>
      <c r="BG29" s="43"/>
      <c r="BK29" s="763" t="s">
        <v>1244</v>
      </c>
      <c r="BL29" s="764"/>
    </row>
    <row r="30" spans="1:64">
      <c r="A30" s="681">
        <v>23</v>
      </c>
      <c r="B30" s="682"/>
      <c r="C30" s="376" t="s">
        <v>49</v>
      </c>
      <c r="D30" s="377"/>
      <c r="E30" s="377"/>
      <c r="F30" s="377"/>
      <c r="G30" s="377"/>
      <c r="H30" s="377"/>
      <c r="I30" s="377"/>
      <c r="J30" s="377"/>
      <c r="K30" s="378"/>
      <c r="L30" s="379" t="s">
        <v>1332</v>
      </c>
      <c r="M30" s="379"/>
      <c r="N30" s="379"/>
      <c r="O30" s="379"/>
      <c r="P30" s="379"/>
      <c r="Q30" s="379"/>
      <c r="R30" s="379"/>
      <c r="S30" s="379"/>
      <c r="T30" s="379"/>
      <c r="U30" s="760"/>
      <c r="V30" s="761"/>
      <c r="W30" s="756"/>
      <c r="X30" s="757"/>
      <c r="Y30" s="380" t="s">
        <v>1333</v>
      </c>
      <c r="Z30" s="379"/>
      <c r="AA30" s="379"/>
      <c r="AB30" s="379"/>
      <c r="AC30" s="379"/>
      <c r="AD30" s="758">
        <v>0</v>
      </c>
      <c r="AE30" s="759"/>
      <c r="AF30" s="754"/>
      <c r="AG30" s="755"/>
      <c r="AH30" s="381"/>
      <c r="AI30" s="379"/>
      <c r="AJ30" s="379"/>
      <c r="AK30" s="334"/>
      <c r="AL30" s="334"/>
      <c r="AM30" s="334"/>
      <c r="AN30" s="334"/>
      <c r="AO30" s="334"/>
      <c r="AP30" s="334"/>
      <c r="AQ30" s="334"/>
      <c r="AR30" s="334"/>
      <c r="AS30" s="334"/>
      <c r="AT30" s="334"/>
      <c r="AU30" s="334"/>
      <c r="AV30" s="334"/>
      <c r="AW30" s="334"/>
      <c r="AX30" s="334"/>
      <c r="AY30" s="334"/>
      <c r="AZ30" s="334"/>
      <c r="BA30" s="335"/>
      <c r="BB30" s="334"/>
      <c r="BC30" s="334"/>
      <c r="BD30" s="334"/>
      <c r="BE30" s="334"/>
      <c r="BF30" s="334"/>
      <c r="BG30" s="43"/>
      <c r="BK30" s="50" t="s">
        <v>949</v>
      </c>
      <c r="BL30" s="52" t="s">
        <v>1241</v>
      </c>
    </row>
    <row r="31" spans="1:64">
      <c r="A31" s="681">
        <v>24</v>
      </c>
      <c r="B31" s="682"/>
      <c r="C31" s="376" t="s">
        <v>49</v>
      </c>
      <c r="D31" s="377"/>
      <c r="E31" s="377"/>
      <c r="F31" s="377"/>
      <c r="G31" s="377"/>
      <c r="H31" s="377"/>
      <c r="I31" s="377"/>
      <c r="J31" s="377"/>
      <c r="K31" s="378"/>
      <c r="L31" s="379" t="s">
        <v>1334</v>
      </c>
      <c r="M31" s="379"/>
      <c r="N31" s="379"/>
      <c r="O31" s="379"/>
      <c r="P31" s="379"/>
      <c r="Q31" s="379"/>
      <c r="R31" s="379"/>
      <c r="S31" s="379"/>
      <c r="T31" s="379"/>
      <c r="U31" s="760"/>
      <c r="V31" s="761"/>
      <c r="W31" s="756"/>
      <c r="X31" s="757"/>
      <c r="Y31" s="380" t="s">
        <v>1333</v>
      </c>
      <c r="Z31" s="379"/>
      <c r="AA31" s="379"/>
      <c r="AB31" s="379"/>
      <c r="AC31" s="379"/>
      <c r="AD31" s="758">
        <v>0</v>
      </c>
      <c r="AE31" s="759"/>
      <c r="AF31" s="754"/>
      <c r="AG31" s="755"/>
      <c r="AH31" s="381"/>
      <c r="AI31" s="379"/>
      <c r="AJ31" s="379"/>
      <c r="AK31" s="334"/>
      <c r="AL31" s="334"/>
      <c r="AM31" s="334"/>
      <c r="AN31" s="334"/>
      <c r="AO31" s="334"/>
      <c r="AP31" s="334"/>
      <c r="AQ31" s="334"/>
      <c r="AR31" s="334"/>
      <c r="AS31" s="334"/>
      <c r="AT31" s="334"/>
      <c r="AU31" s="334"/>
      <c r="AV31" s="334"/>
      <c r="AW31" s="334"/>
      <c r="AX31" s="334"/>
      <c r="AY31" s="334"/>
      <c r="AZ31" s="334"/>
      <c r="BA31" s="335"/>
      <c r="BB31" s="334"/>
      <c r="BC31" s="334"/>
      <c r="BD31" s="334"/>
      <c r="BE31" s="334"/>
      <c r="BF31" s="334"/>
      <c r="BG31" s="43"/>
      <c r="BK31" s="50" t="s">
        <v>684</v>
      </c>
      <c r="BL31" s="52" t="s">
        <v>1242</v>
      </c>
    </row>
    <row r="32" spans="1:64">
      <c r="A32" s="681">
        <v>25</v>
      </c>
      <c r="B32" s="682"/>
      <c r="C32" s="376" t="s">
        <v>49</v>
      </c>
      <c r="D32" s="377"/>
      <c r="E32" s="377"/>
      <c r="F32" s="377"/>
      <c r="G32" s="377"/>
      <c r="H32" s="377"/>
      <c r="I32" s="377"/>
      <c r="J32" s="377"/>
      <c r="K32" s="378"/>
      <c r="L32" s="379" t="s">
        <v>1335</v>
      </c>
      <c r="M32" s="379"/>
      <c r="N32" s="379"/>
      <c r="O32" s="379"/>
      <c r="P32" s="379"/>
      <c r="Q32" s="379"/>
      <c r="R32" s="379"/>
      <c r="S32" s="379"/>
      <c r="T32" s="379"/>
      <c r="U32" s="760"/>
      <c r="V32" s="761"/>
      <c r="W32" s="756"/>
      <c r="X32" s="757"/>
      <c r="Y32" s="380" t="s">
        <v>1333</v>
      </c>
      <c r="Z32" s="379"/>
      <c r="AA32" s="379"/>
      <c r="AB32" s="379"/>
      <c r="AC32" s="379"/>
      <c r="AD32" s="758">
        <v>0</v>
      </c>
      <c r="AE32" s="759"/>
      <c r="AF32" s="754"/>
      <c r="AG32" s="755"/>
      <c r="AH32" s="381"/>
      <c r="AI32" s="379"/>
      <c r="AJ32" s="379"/>
      <c r="AK32" s="334"/>
      <c r="AL32" s="334"/>
      <c r="AM32" s="334"/>
      <c r="AN32" s="334"/>
      <c r="AO32" s="334"/>
      <c r="AP32" s="334"/>
      <c r="AQ32" s="334"/>
      <c r="AR32" s="334"/>
      <c r="AS32" s="334"/>
      <c r="AT32" s="334"/>
      <c r="AU32" s="334"/>
      <c r="AV32" s="334"/>
      <c r="AW32" s="334"/>
      <c r="AX32" s="334"/>
      <c r="AY32" s="334"/>
      <c r="AZ32" s="334"/>
      <c r="BA32" s="335"/>
      <c r="BB32" s="334"/>
      <c r="BC32" s="334"/>
      <c r="BD32" s="334"/>
      <c r="BE32" s="334"/>
      <c r="BF32" s="334"/>
      <c r="BG32" s="43"/>
      <c r="BK32" s="50" t="s">
        <v>904</v>
      </c>
      <c r="BL32" s="52" t="s">
        <v>905</v>
      </c>
    </row>
    <row r="33" spans="1:64">
      <c r="A33" s="681">
        <v>26</v>
      </c>
      <c r="B33" s="682"/>
      <c r="C33" s="376" t="s">
        <v>49</v>
      </c>
      <c r="D33" s="377"/>
      <c r="E33" s="377"/>
      <c r="F33" s="377"/>
      <c r="G33" s="377"/>
      <c r="H33" s="377"/>
      <c r="I33" s="377"/>
      <c r="J33" s="377"/>
      <c r="K33" s="378"/>
      <c r="L33" s="379" t="s">
        <v>1336</v>
      </c>
      <c r="M33" s="379"/>
      <c r="N33" s="379"/>
      <c r="O33" s="379"/>
      <c r="P33" s="379"/>
      <c r="Q33" s="379"/>
      <c r="R33" s="379"/>
      <c r="S33" s="379"/>
      <c r="T33" s="379"/>
      <c r="U33" s="760"/>
      <c r="V33" s="761"/>
      <c r="W33" s="756"/>
      <c r="X33" s="757"/>
      <c r="Y33" s="380" t="s">
        <v>1333</v>
      </c>
      <c r="Z33" s="379"/>
      <c r="AA33" s="379"/>
      <c r="AB33" s="379"/>
      <c r="AC33" s="379"/>
      <c r="AD33" s="758">
        <v>0</v>
      </c>
      <c r="AE33" s="759"/>
      <c r="AF33" s="754"/>
      <c r="AG33" s="755"/>
      <c r="AH33" s="381"/>
      <c r="AI33" s="379"/>
      <c r="AJ33" s="379"/>
      <c r="AK33" s="334"/>
      <c r="AL33" s="334"/>
      <c r="AM33" s="334"/>
      <c r="AN33" s="334"/>
      <c r="AO33" s="334"/>
      <c r="AP33" s="334"/>
      <c r="AQ33" s="334"/>
      <c r="AR33" s="334"/>
      <c r="AS33" s="334"/>
      <c r="AT33" s="334"/>
      <c r="AU33" s="334"/>
      <c r="AV33" s="334"/>
      <c r="AW33" s="334"/>
      <c r="AX33" s="334"/>
      <c r="AY33" s="334"/>
      <c r="AZ33" s="334"/>
      <c r="BA33" s="335"/>
      <c r="BB33" s="334"/>
      <c r="BC33" s="334"/>
      <c r="BD33" s="334"/>
      <c r="BE33" s="334"/>
      <c r="BF33" s="334"/>
      <c r="BG33" s="43"/>
      <c r="BK33" s="51"/>
      <c r="BL33" s="51"/>
    </row>
    <row r="34" spans="1:64">
      <c r="A34" s="681">
        <v>27</v>
      </c>
      <c r="B34" s="682"/>
      <c r="C34" s="376" t="s">
        <v>49</v>
      </c>
      <c r="D34" s="377"/>
      <c r="E34" s="377"/>
      <c r="F34" s="377"/>
      <c r="G34" s="377"/>
      <c r="H34" s="377"/>
      <c r="I34" s="377"/>
      <c r="J34" s="377"/>
      <c r="K34" s="378"/>
      <c r="L34" s="379" t="s">
        <v>1348</v>
      </c>
      <c r="M34" s="379"/>
      <c r="N34" s="379"/>
      <c r="O34" s="379"/>
      <c r="P34" s="379"/>
      <c r="Q34" s="379"/>
      <c r="R34" s="379"/>
      <c r="S34" s="379"/>
      <c r="T34" s="379"/>
      <c r="U34" s="760"/>
      <c r="V34" s="761"/>
      <c r="W34" s="756"/>
      <c r="X34" s="757"/>
      <c r="Y34" s="380" t="s">
        <v>1333</v>
      </c>
      <c r="Z34" s="379"/>
      <c r="AA34" s="379"/>
      <c r="AB34" s="379"/>
      <c r="AC34" s="379"/>
      <c r="AD34" s="758">
        <v>0</v>
      </c>
      <c r="AE34" s="759"/>
      <c r="AF34" s="754"/>
      <c r="AG34" s="755"/>
      <c r="AH34" s="381"/>
      <c r="AI34" s="379"/>
      <c r="AJ34" s="379"/>
      <c r="AK34" s="334"/>
      <c r="AL34" s="334"/>
      <c r="AM34" s="334"/>
      <c r="AN34" s="334"/>
      <c r="AO34" s="334"/>
      <c r="AP34" s="334"/>
      <c r="AQ34" s="334"/>
      <c r="AR34" s="334"/>
      <c r="AS34" s="334"/>
      <c r="AT34" s="334"/>
      <c r="AU34" s="334"/>
      <c r="AV34" s="334"/>
      <c r="AW34" s="334"/>
      <c r="AX34" s="334"/>
      <c r="AY34" s="334"/>
      <c r="AZ34" s="334"/>
      <c r="BA34" s="335"/>
      <c r="BB34" s="334"/>
      <c r="BC34" s="334"/>
      <c r="BD34" s="334"/>
      <c r="BE34" s="334"/>
      <c r="BF34" s="334"/>
      <c r="BG34" s="43"/>
      <c r="BK34" s="51"/>
      <c r="BL34" s="51"/>
    </row>
    <row r="35" spans="1:64">
      <c r="A35" s="681">
        <v>28</v>
      </c>
      <c r="B35" s="682"/>
      <c r="C35" s="376" t="s">
        <v>49</v>
      </c>
      <c r="D35" s="377"/>
      <c r="E35" s="377"/>
      <c r="F35" s="377"/>
      <c r="G35" s="377"/>
      <c r="H35" s="377"/>
      <c r="I35" s="377"/>
      <c r="J35" s="377"/>
      <c r="K35" s="378"/>
      <c r="L35" s="379" t="s">
        <v>1349</v>
      </c>
      <c r="M35" s="379"/>
      <c r="N35" s="379"/>
      <c r="O35" s="379"/>
      <c r="P35" s="379"/>
      <c r="Q35" s="379"/>
      <c r="R35" s="379"/>
      <c r="S35" s="379"/>
      <c r="T35" s="379"/>
      <c r="U35" s="760"/>
      <c r="V35" s="761"/>
      <c r="W35" s="756"/>
      <c r="X35" s="757"/>
      <c r="Y35" s="380" t="s">
        <v>1333</v>
      </c>
      <c r="Z35" s="379"/>
      <c r="AA35" s="379"/>
      <c r="AB35" s="379"/>
      <c r="AC35" s="379"/>
      <c r="AD35" s="758">
        <v>0</v>
      </c>
      <c r="AE35" s="759"/>
      <c r="AF35" s="754"/>
      <c r="AG35" s="755"/>
      <c r="AH35" s="382"/>
      <c r="AI35" s="383"/>
      <c r="AJ35" s="383"/>
      <c r="AK35" s="334"/>
      <c r="AL35" s="334"/>
      <c r="AM35" s="334"/>
      <c r="AN35" s="334"/>
      <c r="AO35" s="334"/>
      <c r="AP35" s="334"/>
      <c r="AQ35" s="334"/>
      <c r="AR35" s="334"/>
      <c r="AS35" s="334"/>
      <c r="AT35" s="334"/>
      <c r="AU35" s="334"/>
      <c r="AV35" s="334"/>
      <c r="AW35" s="334"/>
      <c r="AX35" s="334"/>
      <c r="AY35" s="334"/>
      <c r="AZ35" s="334"/>
      <c r="BA35" s="335"/>
      <c r="BB35" s="334"/>
      <c r="BC35" s="334"/>
      <c r="BD35" s="334"/>
      <c r="BE35" s="334"/>
      <c r="BF35" s="334"/>
      <c r="BG35" s="43"/>
      <c r="BK35" s="51"/>
      <c r="BL35" s="51"/>
    </row>
    <row r="36" spans="1:64">
      <c r="A36" s="681">
        <v>29</v>
      </c>
      <c r="B36" s="682"/>
      <c r="C36" s="376" t="s">
        <v>49</v>
      </c>
      <c r="D36" s="377"/>
      <c r="E36" s="377"/>
      <c r="F36" s="377"/>
      <c r="G36" s="377"/>
      <c r="H36" s="377"/>
      <c r="I36" s="377"/>
      <c r="J36" s="377"/>
      <c r="K36" s="378"/>
      <c r="L36" s="379" t="s">
        <v>1350</v>
      </c>
      <c r="M36" s="379"/>
      <c r="N36" s="379"/>
      <c r="O36" s="379"/>
      <c r="P36" s="379"/>
      <c r="Q36" s="379"/>
      <c r="R36" s="379"/>
      <c r="S36" s="379"/>
      <c r="T36" s="379"/>
      <c r="U36" s="760"/>
      <c r="V36" s="761"/>
      <c r="W36" s="756"/>
      <c r="X36" s="757"/>
      <c r="Y36" s="380" t="s">
        <v>1333</v>
      </c>
      <c r="Z36" s="379"/>
      <c r="AA36" s="379"/>
      <c r="AB36" s="379"/>
      <c r="AC36" s="379"/>
      <c r="AD36" s="758">
        <v>0</v>
      </c>
      <c r="AE36" s="759"/>
      <c r="AF36" s="754"/>
      <c r="AG36" s="755"/>
      <c r="AH36" s="382"/>
      <c r="AI36" s="383"/>
      <c r="AJ36" s="383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5"/>
      <c r="BB36" s="334"/>
      <c r="BC36" s="334"/>
      <c r="BD36" s="334"/>
      <c r="BE36" s="334"/>
      <c r="BF36" s="334"/>
      <c r="BG36" s="43"/>
      <c r="BK36" s="51"/>
      <c r="BL36" s="51"/>
    </row>
    <row r="37" spans="1:64">
      <c r="A37" s="681">
        <v>30</v>
      </c>
      <c r="B37" s="682"/>
      <c r="C37" s="376" t="s">
        <v>49</v>
      </c>
      <c r="D37" s="377"/>
      <c r="E37" s="377"/>
      <c r="F37" s="377"/>
      <c r="G37" s="377"/>
      <c r="H37" s="377"/>
      <c r="I37" s="377"/>
      <c r="J37" s="377"/>
      <c r="K37" s="378"/>
      <c r="L37" s="379" t="s">
        <v>1351</v>
      </c>
      <c r="M37" s="379"/>
      <c r="N37" s="379"/>
      <c r="O37" s="379"/>
      <c r="P37" s="379"/>
      <c r="Q37" s="379"/>
      <c r="R37" s="379"/>
      <c r="S37" s="379"/>
      <c r="T37" s="379"/>
      <c r="U37" s="760"/>
      <c r="V37" s="761"/>
      <c r="W37" s="756"/>
      <c r="X37" s="757"/>
      <c r="Y37" s="380" t="s">
        <v>1333</v>
      </c>
      <c r="Z37" s="379"/>
      <c r="AA37" s="379"/>
      <c r="AB37" s="379"/>
      <c r="AC37" s="379"/>
      <c r="AD37" s="758">
        <v>0</v>
      </c>
      <c r="AE37" s="759"/>
      <c r="AF37" s="754"/>
      <c r="AG37" s="755"/>
      <c r="AH37" s="382"/>
      <c r="AI37" s="383"/>
      <c r="AJ37" s="383"/>
      <c r="AK37" s="334"/>
      <c r="AL37" s="334"/>
      <c r="AM37" s="334"/>
      <c r="AN37" s="334"/>
      <c r="AO37" s="334"/>
      <c r="AP37" s="334"/>
      <c r="AQ37" s="334"/>
      <c r="AR37" s="334"/>
      <c r="AS37" s="334"/>
      <c r="AT37" s="334"/>
      <c r="AU37" s="334"/>
      <c r="AV37" s="334"/>
      <c r="AW37" s="334"/>
      <c r="AX37" s="334"/>
      <c r="AY37" s="334"/>
      <c r="AZ37" s="334"/>
      <c r="BA37" s="335"/>
      <c r="BB37" s="334"/>
      <c r="BC37" s="334"/>
      <c r="BD37" s="334"/>
      <c r="BE37" s="334"/>
      <c r="BF37" s="334"/>
      <c r="BG37" s="43"/>
      <c r="BK37" s="51"/>
      <c r="BL37" s="51"/>
    </row>
    <row r="38" spans="1:64">
      <c r="A38" s="681">
        <v>31</v>
      </c>
      <c r="B38" s="682"/>
      <c r="C38" s="376" t="s">
        <v>49</v>
      </c>
      <c r="D38" s="377"/>
      <c r="E38" s="377"/>
      <c r="F38" s="377"/>
      <c r="G38" s="377"/>
      <c r="H38" s="377"/>
      <c r="I38" s="377"/>
      <c r="J38" s="377"/>
      <c r="K38" s="378"/>
      <c r="L38" s="379" t="s">
        <v>1352</v>
      </c>
      <c r="M38" s="379"/>
      <c r="N38" s="379"/>
      <c r="O38" s="379"/>
      <c r="P38" s="379"/>
      <c r="Q38" s="379"/>
      <c r="R38" s="379"/>
      <c r="S38" s="379"/>
      <c r="T38" s="379"/>
      <c r="U38" s="760"/>
      <c r="V38" s="761"/>
      <c r="W38" s="756"/>
      <c r="X38" s="757"/>
      <c r="Y38" s="380" t="s">
        <v>1333</v>
      </c>
      <c r="Z38" s="379"/>
      <c r="AA38" s="379"/>
      <c r="AB38" s="379"/>
      <c r="AC38" s="379"/>
      <c r="AD38" s="758">
        <v>0</v>
      </c>
      <c r="AE38" s="759"/>
      <c r="AF38" s="754"/>
      <c r="AG38" s="755"/>
      <c r="AH38" s="382"/>
      <c r="AI38" s="383"/>
      <c r="AJ38" s="383"/>
      <c r="AK38" s="334"/>
      <c r="AL38" s="334"/>
      <c r="AM38" s="334"/>
      <c r="AN38" s="334"/>
      <c r="AO38" s="334"/>
      <c r="AP38" s="334"/>
      <c r="AQ38" s="334"/>
      <c r="AR38" s="334"/>
      <c r="AS38" s="334"/>
      <c r="AT38" s="334"/>
      <c r="AU38" s="334"/>
      <c r="AV38" s="334"/>
      <c r="AW38" s="334"/>
      <c r="AX38" s="334"/>
      <c r="AY38" s="334"/>
      <c r="AZ38" s="334"/>
      <c r="BA38" s="335"/>
      <c r="BB38" s="334"/>
      <c r="BC38" s="334"/>
      <c r="BD38" s="334"/>
      <c r="BE38" s="334"/>
      <c r="BF38" s="334"/>
      <c r="BG38" s="43"/>
      <c r="BK38" s="51"/>
      <c r="BL38" s="51"/>
    </row>
    <row r="39" spans="1:64">
      <c r="A39" s="681">
        <v>32</v>
      </c>
      <c r="B39" s="682"/>
      <c r="C39" s="376" t="s">
        <v>49</v>
      </c>
      <c r="D39" s="377"/>
      <c r="E39" s="377"/>
      <c r="F39" s="377"/>
      <c r="G39" s="377"/>
      <c r="H39" s="377"/>
      <c r="I39" s="377"/>
      <c r="J39" s="377"/>
      <c r="K39" s="378"/>
      <c r="L39" s="379" t="s">
        <v>1353</v>
      </c>
      <c r="M39" s="379"/>
      <c r="N39" s="379"/>
      <c r="O39" s="379"/>
      <c r="P39" s="379"/>
      <c r="Q39" s="379"/>
      <c r="R39" s="379"/>
      <c r="S39" s="379"/>
      <c r="T39" s="379"/>
      <c r="U39" s="760"/>
      <c r="V39" s="761"/>
      <c r="W39" s="756"/>
      <c r="X39" s="757"/>
      <c r="Y39" s="380" t="s">
        <v>1333</v>
      </c>
      <c r="Z39" s="379"/>
      <c r="AA39" s="379"/>
      <c r="AB39" s="379"/>
      <c r="AC39" s="379"/>
      <c r="AD39" s="758">
        <v>0</v>
      </c>
      <c r="AE39" s="759"/>
      <c r="AF39" s="754"/>
      <c r="AG39" s="755"/>
      <c r="AH39" s="381"/>
      <c r="AI39" s="379"/>
      <c r="AJ39" s="379"/>
      <c r="AK39" s="334"/>
      <c r="AL39" s="334"/>
      <c r="AM39" s="334"/>
      <c r="AN39" s="334"/>
      <c r="AO39" s="334"/>
      <c r="AP39" s="334"/>
      <c r="AQ39" s="334"/>
      <c r="AR39" s="334"/>
      <c r="AS39" s="334"/>
      <c r="AT39" s="334"/>
      <c r="AU39" s="334"/>
      <c r="AV39" s="334"/>
      <c r="AW39" s="334"/>
      <c r="AX39" s="334"/>
      <c r="AY39" s="334"/>
      <c r="AZ39" s="334"/>
      <c r="BA39" s="335"/>
      <c r="BB39" s="334"/>
      <c r="BC39" s="334"/>
      <c r="BD39" s="334"/>
      <c r="BE39" s="334"/>
      <c r="BF39" s="334"/>
      <c r="BG39" s="43"/>
      <c r="BK39" s="101"/>
      <c r="BL39" s="51"/>
    </row>
    <row r="40" spans="1:64">
      <c r="A40" s="681">
        <v>33</v>
      </c>
      <c r="B40" s="682"/>
      <c r="C40" s="376" t="s">
        <v>1337</v>
      </c>
      <c r="D40" s="377"/>
      <c r="E40" s="377"/>
      <c r="F40" s="377"/>
      <c r="G40" s="377"/>
      <c r="H40" s="377"/>
      <c r="I40" s="377"/>
      <c r="J40" s="377"/>
      <c r="K40" s="378"/>
      <c r="L40" s="379" t="s">
        <v>1338</v>
      </c>
      <c r="M40" s="379"/>
      <c r="N40" s="379"/>
      <c r="O40" s="379"/>
      <c r="P40" s="379"/>
      <c r="Q40" s="379"/>
      <c r="R40" s="379"/>
      <c r="S40" s="379"/>
      <c r="T40" s="379"/>
      <c r="U40" s="760"/>
      <c r="V40" s="761"/>
      <c r="W40" s="756"/>
      <c r="X40" s="757"/>
      <c r="Y40" s="380" t="s">
        <v>199</v>
      </c>
      <c r="Z40" s="379"/>
      <c r="AA40" s="379"/>
      <c r="AB40" s="379"/>
      <c r="AC40" s="379"/>
      <c r="AD40" s="758">
        <v>32</v>
      </c>
      <c r="AE40" s="759"/>
      <c r="AF40" s="754"/>
      <c r="AG40" s="755"/>
      <c r="AH40" s="382" t="s">
        <v>1337</v>
      </c>
      <c r="AI40" s="383"/>
      <c r="AJ40" s="383"/>
      <c r="AK40" s="334"/>
      <c r="AL40" s="334"/>
      <c r="AM40" s="334"/>
      <c r="AN40" s="334"/>
      <c r="AO40" s="334"/>
      <c r="AP40" s="334"/>
      <c r="AQ40" s="334"/>
      <c r="AR40" s="334"/>
      <c r="AS40" s="334"/>
      <c r="AT40" s="334"/>
      <c r="AU40" s="334"/>
      <c r="AV40" s="334"/>
      <c r="AW40" s="334"/>
      <c r="AX40" s="334"/>
      <c r="AY40" s="334"/>
      <c r="AZ40" s="334"/>
      <c r="BA40" s="335"/>
      <c r="BB40" s="334"/>
      <c r="BC40" s="334"/>
      <c r="BD40" s="334"/>
      <c r="BE40" s="334"/>
      <c r="BF40" s="334"/>
      <c r="BG40" s="43"/>
      <c r="BK40" s="51"/>
      <c r="BL40" s="51"/>
    </row>
    <row r="41" spans="1:64">
      <c r="A41" s="681">
        <v>34</v>
      </c>
      <c r="B41" s="682"/>
      <c r="C41" s="376" t="s">
        <v>1339</v>
      </c>
      <c r="D41" s="377"/>
      <c r="E41" s="377"/>
      <c r="F41" s="377"/>
      <c r="G41" s="377"/>
      <c r="H41" s="377"/>
      <c r="I41" s="377"/>
      <c r="J41" s="377"/>
      <c r="K41" s="378"/>
      <c r="L41" s="379" t="s">
        <v>1340</v>
      </c>
      <c r="M41" s="379"/>
      <c r="N41" s="379"/>
      <c r="O41" s="379"/>
      <c r="P41" s="379"/>
      <c r="Q41" s="379"/>
      <c r="R41" s="379"/>
      <c r="S41" s="379"/>
      <c r="T41" s="379"/>
      <c r="U41" s="760"/>
      <c r="V41" s="761"/>
      <c r="W41" s="756"/>
      <c r="X41" s="757"/>
      <c r="Y41" s="380" t="s">
        <v>199</v>
      </c>
      <c r="Z41" s="379"/>
      <c r="AA41" s="379"/>
      <c r="AB41" s="379"/>
      <c r="AC41" s="379"/>
      <c r="AD41" s="758">
        <v>32</v>
      </c>
      <c r="AE41" s="759"/>
      <c r="AF41" s="754"/>
      <c r="AG41" s="755"/>
      <c r="AH41" s="382" t="s">
        <v>1341</v>
      </c>
      <c r="AI41" s="383"/>
      <c r="AJ41" s="383"/>
      <c r="AK41" s="334"/>
      <c r="AL41" s="334"/>
      <c r="AM41" s="334"/>
      <c r="AN41" s="334"/>
      <c r="AO41" s="334"/>
      <c r="AP41" s="331"/>
      <c r="AQ41" s="331"/>
      <c r="AR41" s="334"/>
      <c r="AS41" s="334"/>
      <c r="AT41" s="334"/>
      <c r="AU41" s="334"/>
      <c r="AV41" s="334"/>
      <c r="AW41" s="334"/>
      <c r="AX41" s="334"/>
      <c r="AY41" s="334"/>
      <c r="AZ41" s="334"/>
      <c r="BA41" s="335"/>
      <c r="BB41" s="334"/>
      <c r="BC41" s="334"/>
      <c r="BD41" s="334"/>
      <c r="BE41" s="334"/>
      <c r="BF41" s="334"/>
      <c r="BG41" s="43"/>
      <c r="BK41" s="51"/>
      <c r="BL41" s="51"/>
    </row>
    <row r="42" spans="1:64">
      <c r="A42" s="681">
        <v>35</v>
      </c>
      <c r="B42" s="682"/>
      <c r="C42" s="376" t="s">
        <v>1342</v>
      </c>
      <c r="D42" s="377"/>
      <c r="E42" s="377"/>
      <c r="F42" s="377"/>
      <c r="G42" s="377"/>
      <c r="H42" s="377"/>
      <c r="I42" s="377"/>
      <c r="J42" s="377"/>
      <c r="K42" s="378"/>
      <c r="L42" s="379" t="s">
        <v>1343</v>
      </c>
      <c r="M42" s="379"/>
      <c r="N42" s="379"/>
      <c r="O42" s="379"/>
      <c r="P42" s="379"/>
      <c r="Q42" s="379"/>
      <c r="R42" s="379"/>
      <c r="S42" s="379"/>
      <c r="T42" s="379"/>
      <c r="U42" s="760"/>
      <c r="V42" s="761"/>
      <c r="W42" s="756"/>
      <c r="X42" s="757"/>
      <c r="Y42" s="380" t="s">
        <v>199</v>
      </c>
      <c r="Z42" s="379"/>
      <c r="AA42" s="379"/>
      <c r="AB42" s="379"/>
      <c r="AC42" s="379"/>
      <c r="AD42" s="758">
        <v>2</v>
      </c>
      <c r="AE42" s="759"/>
      <c r="AF42" s="754"/>
      <c r="AG42" s="755"/>
      <c r="AH42" s="382" t="s">
        <v>1344</v>
      </c>
      <c r="AI42" s="383"/>
      <c r="AJ42" s="383"/>
      <c r="AK42" s="334"/>
      <c r="AP42" s="334"/>
      <c r="AQ42" s="334"/>
      <c r="AR42" s="334"/>
      <c r="AS42" s="334"/>
      <c r="AT42" s="334"/>
      <c r="AU42" s="334"/>
      <c r="AV42" s="334"/>
      <c r="AW42" s="334"/>
      <c r="AX42" s="334"/>
      <c r="AY42" s="334"/>
      <c r="AZ42" s="334"/>
      <c r="BA42" s="335"/>
      <c r="BB42" s="334"/>
      <c r="BC42" s="334"/>
      <c r="BD42" s="334"/>
      <c r="BE42" s="334"/>
      <c r="BF42" s="334"/>
      <c r="BG42" s="43"/>
      <c r="BK42" s="51"/>
      <c r="BL42" s="51"/>
    </row>
    <row r="43" spans="1:64">
      <c r="A43" s="681">
        <v>36</v>
      </c>
      <c r="B43" s="682"/>
      <c r="C43" s="376" t="s">
        <v>1345</v>
      </c>
      <c r="D43" s="377"/>
      <c r="E43" s="377"/>
      <c r="F43" s="377"/>
      <c r="G43" s="377"/>
      <c r="H43" s="377"/>
      <c r="I43" s="377"/>
      <c r="J43" s="377"/>
      <c r="K43" s="378"/>
      <c r="L43" s="379" t="s">
        <v>1346</v>
      </c>
      <c r="M43" s="379"/>
      <c r="N43" s="379"/>
      <c r="O43" s="379"/>
      <c r="P43" s="379"/>
      <c r="Q43" s="379"/>
      <c r="R43" s="379"/>
      <c r="S43" s="379"/>
      <c r="T43" s="379"/>
      <c r="U43" s="760"/>
      <c r="V43" s="761"/>
      <c r="W43" s="756"/>
      <c r="X43" s="757"/>
      <c r="Y43" s="380" t="s">
        <v>199</v>
      </c>
      <c r="Z43" s="379"/>
      <c r="AA43" s="379"/>
      <c r="AB43" s="379"/>
      <c r="AC43" s="379"/>
      <c r="AD43" s="758">
        <v>2</v>
      </c>
      <c r="AE43" s="759"/>
      <c r="AF43" s="754"/>
      <c r="AG43" s="755"/>
      <c r="AH43" s="382" t="s">
        <v>1347</v>
      </c>
      <c r="AI43" s="383"/>
      <c r="AJ43" s="383"/>
      <c r="AK43" s="334"/>
      <c r="AL43" s="334"/>
      <c r="AM43" s="334"/>
      <c r="AN43" s="334"/>
      <c r="AO43" s="334"/>
      <c r="AP43" s="334"/>
      <c r="AQ43" s="334"/>
      <c r="AR43" s="334"/>
      <c r="AS43" s="334"/>
      <c r="AT43" s="334"/>
      <c r="AU43" s="334"/>
      <c r="AV43" s="334"/>
      <c r="AW43" s="334"/>
      <c r="AX43" s="334"/>
      <c r="AY43" s="334"/>
      <c r="AZ43" s="334"/>
      <c r="BA43" s="335"/>
      <c r="BB43" s="334"/>
      <c r="BC43" s="334"/>
      <c r="BD43" s="334"/>
      <c r="BE43" s="334"/>
      <c r="BF43" s="334"/>
      <c r="BG43" s="43"/>
      <c r="BK43" s="51"/>
      <c r="BL43" s="51"/>
    </row>
    <row r="44" spans="1:64">
      <c r="A44" s="681"/>
      <c r="B44" s="682"/>
      <c r="C44" s="59"/>
      <c r="D44" s="334"/>
      <c r="E44" s="334"/>
      <c r="F44" s="334"/>
      <c r="G44" s="334"/>
      <c r="H44" s="334"/>
      <c r="I44" s="334"/>
      <c r="J44" s="334"/>
      <c r="K44" s="335"/>
      <c r="L44" s="36"/>
      <c r="M44" s="334"/>
      <c r="N44" s="334"/>
      <c r="O44" s="334"/>
      <c r="P44" s="334"/>
      <c r="Q44" s="334"/>
      <c r="R44" s="334"/>
      <c r="S44" s="334"/>
      <c r="T44" s="334"/>
      <c r="U44" s="683"/>
      <c r="V44" s="682"/>
      <c r="W44" s="684"/>
      <c r="X44" s="685"/>
      <c r="Y44" s="365"/>
      <c r="Z44" s="366"/>
      <c r="AA44" s="366"/>
      <c r="AB44" s="366"/>
      <c r="AC44" s="367"/>
      <c r="AD44" s="368"/>
      <c r="AE44" s="369"/>
      <c r="AF44" s="368"/>
      <c r="AG44" s="369"/>
      <c r="AH44" s="365"/>
      <c r="AI44" s="334"/>
      <c r="AJ44" s="334"/>
      <c r="AK44" s="334"/>
      <c r="AL44" s="334"/>
      <c r="AM44" s="334"/>
      <c r="AN44" s="334"/>
      <c r="AO44" s="334"/>
      <c r="AP44" s="334"/>
      <c r="AQ44" s="334"/>
      <c r="AR44" s="334"/>
      <c r="AS44" s="334"/>
      <c r="AT44" s="334"/>
      <c r="AU44" s="334"/>
      <c r="AV44" s="334"/>
      <c r="AW44" s="334"/>
      <c r="AX44" s="334"/>
      <c r="AY44" s="334"/>
      <c r="AZ44" s="334"/>
      <c r="BA44" s="335"/>
      <c r="BB44" s="334"/>
      <c r="BC44" s="334"/>
      <c r="BD44" s="334"/>
      <c r="BE44" s="334"/>
      <c r="BF44" s="334"/>
      <c r="BG44" s="43"/>
      <c r="BK44" s="51"/>
      <c r="BL44" s="51"/>
    </row>
    <row r="45" spans="1:64">
      <c r="A45" s="681"/>
      <c r="B45" s="682"/>
      <c r="C45" s="59"/>
      <c r="D45" s="334"/>
      <c r="E45" s="334"/>
      <c r="F45" s="334"/>
      <c r="G45" s="334"/>
      <c r="H45" s="334"/>
      <c r="I45" s="334"/>
      <c r="J45" s="334"/>
      <c r="K45" s="335"/>
      <c r="L45" s="36"/>
      <c r="M45" s="334"/>
      <c r="N45" s="334"/>
      <c r="O45" s="334"/>
      <c r="P45" s="334"/>
      <c r="Q45" s="334"/>
      <c r="R45" s="334"/>
      <c r="S45" s="334"/>
      <c r="T45" s="334"/>
      <c r="U45" s="683"/>
      <c r="V45" s="682"/>
      <c r="W45" s="684"/>
      <c r="X45" s="685"/>
      <c r="Y45" s="365"/>
      <c r="Z45" s="366"/>
      <c r="AA45" s="366"/>
      <c r="AB45" s="366"/>
      <c r="AC45" s="367"/>
      <c r="AD45" s="368"/>
      <c r="AE45" s="369"/>
      <c r="AF45" s="368"/>
      <c r="AG45" s="369"/>
      <c r="AH45" s="365"/>
      <c r="AI45" s="334"/>
      <c r="AJ45" s="334"/>
      <c r="AK45" s="334"/>
      <c r="AL45" s="334"/>
      <c r="AM45" s="334"/>
      <c r="AN45" s="334"/>
      <c r="AO45" s="334"/>
      <c r="AP45" s="334"/>
      <c r="AQ45" s="334"/>
      <c r="AR45" s="334"/>
      <c r="AS45" s="334"/>
      <c r="AT45" s="334"/>
      <c r="AU45" s="334"/>
      <c r="AV45" s="334"/>
      <c r="AW45" s="334"/>
      <c r="AX45" s="334"/>
      <c r="AY45" s="334"/>
      <c r="AZ45" s="334"/>
      <c r="BA45" s="335"/>
      <c r="BB45" s="334"/>
      <c r="BC45" s="334"/>
      <c r="BD45" s="334"/>
      <c r="BE45" s="334"/>
      <c r="BF45" s="334"/>
      <c r="BG45" s="43"/>
      <c r="BK45" s="51"/>
      <c r="BL45" s="51"/>
    </row>
    <row r="46" spans="1:64">
      <c r="A46" s="681"/>
      <c r="B46" s="682"/>
      <c r="C46" s="59"/>
      <c r="D46" s="334"/>
      <c r="E46" s="334"/>
      <c r="F46" s="334"/>
      <c r="G46" s="334"/>
      <c r="H46" s="334"/>
      <c r="I46" s="334"/>
      <c r="J46" s="334"/>
      <c r="K46" s="335"/>
      <c r="L46" s="36"/>
      <c r="M46" s="334"/>
      <c r="N46" s="334"/>
      <c r="O46" s="334"/>
      <c r="P46" s="334"/>
      <c r="Q46" s="334"/>
      <c r="R46" s="334"/>
      <c r="S46" s="334"/>
      <c r="T46" s="334"/>
      <c r="U46" s="683"/>
      <c r="V46" s="682"/>
      <c r="W46" s="684"/>
      <c r="X46" s="685"/>
      <c r="Y46" s="365"/>
      <c r="Z46" s="366"/>
      <c r="AA46" s="366"/>
      <c r="AB46" s="366"/>
      <c r="AC46" s="367"/>
      <c r="AD46" s="368"/>
      <c r="AE46" s="369"/>
      <c r="AF46" s="368"/>
      <c r="AG46" s="369"/>
      <c r="AH46" s="365"/>
      <c r="AI46" s="334"/>
      <c r="AJ46" s="334"/>
      <c r="AK46" s="334"/>
      <c r="AL46" s="334"/>
      <c r="AM46" s="334"/>
      <c r="AN46" s="334"/>
      <c r="AO46" s="334"/>
      <c r="AP46" s="334"/>
      <c r="AQ46" s="334"/>
      <c r="AR46" s="334"/>
      <c r="AS46" s="334"/>
      <c r="AT46" s="334"/>
      <c r="AU46" s="334"/>
      <c r="AV46" s="334"/>
      <c r="AW46" s="334"/>
      <c r="AX46" s="334"/>
      <c r="AY46" s="334"/>
      <c r="AZ46" s="334"/>
      <c r="BA46" s="335"/>
      <c r="BB46" s="334"/>
      <c r="BC46" s="334"/>
      <c r="BD46" s="334"/>
      <c r="BE46" s="334"/>
      <c r="BF46" s="334"/>
      <c r="BG46" s="43"/>
      <c r="BK46" s="765"/>
      <c r="BL46" s="766"/>
    </row>
    <row r="47" spans="1:64">
      <c r="A47" s="681"/>
      <c r="B47" s="682"/>
      <c r="C47" s="59"/>
      <c r="D47" s="116"/>
      <c r="E47" s="116"/>
      <c r="F47" s="116"/>
      <c r="G47" s="116"/>
      <c r="H47" s="116"/>
      <c r="I47" s="116"/>
      <c r="J47" s="116"/>
      <c r="K47" s="118"/>
      <c r="L47" s="36"/>
      <c r="M47" s="116"/>
      <c r="N47" s="116"/>
      <c r="O47" s="116"/>
      <c r="P47" s="116"/>
      <c r="Q47" s="116"/>
      <c r="R47" s="116"/>
      <c r="S47" s="116"/>
      <c r="T47" s="116"/>
      <c r="U47" s="683"/>
      <c r="V47" s="682"/>
      <c r="W47" s="684"/>
      <c r="X47" s="685"/>
      <c r="Y47" s="104"/>
      <c r="Z47" s="105"/>
      <c r="AA47" s="105"/>
      <c r="AB47" s="105"/>
      <c r="AC47" s="106"/>
      <c r="AD47" s="102"/>
      <c r="AE47" s="103"/>
      <c r="AF47" s="102"/>
      <c r="AG47" s="103"/>
      <c r="AH47" s="117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8"/>
      <c r="BB47" s="116"/>
      <c r="BC47" s="116"/>
      <c r="BD47" s="116"/>
      <c r="BE47" s="116"/>
      <c r="BF47" s="116"/>
      <c r="BG47" s="43"/>
      <c r="BK47" s="120"/>
      <c r="BL47" s="120"/>
    </row>
    <row r="48" spans="1:64" ht="16.2" thickBot="1">
      <c r="A48" s="123"/>
      <c r="B48" s="123"/>
      <c r="C48" s="123"/>
      <c r="D48" s="123"/>
      <c r="E48" s="123"/>
      <c r="F48" s="123"/>
      <c r="G48" s="123"/>
      <c r="H48" s="123"/>
      <c r="I48" s="123"/>
      <c r="J48" s="123"/>
      <c r="K48" s="124"/>
      <c r="L48" s="123"/>
      <c r="M48" s="123"/>
      <c r="N48" s="123"/>
      <c r="O48" s="123"/>
      <c r="P48" s="123"/>
      <c r="Q48" s="123"/>
      <c r="R48" s="123"/>
      <c r="S48" s="123"/>
      <c r="T48" s="123"/>
      <c r="U48" s="677"/>
      <c r="V48" s="678"/>
      <c r="W48" s="677"/>
      <c r="X48" s="678"/>
      <c r="Y48" s="122"/>
      <c r="Z48" s="123"/>
      <c r="AA48" s="123"/>
      <c r="AB48" s="123"/>
      <c r="AC48" s="124"/>
      <c r="AD48" s="679"/>
      <c r="AE48" s="680"/>
      <c r="AF48" s="679"/>
      <c r="AG48" s="680"/>
      <c r="AH48" s="122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4"/>
      <c r="BK48" s="120"/>
      <c r="BL48" s="120"/>
    </row>
    <row r="49" spans="63:64">
      <c r="BK49" s="120"/>
      <c r="BL49" s="120"/>
    </row>
    <row r="50" spans="63:64">
      <c r="BK50" s="51"/>
      <c r="BL50" s="51"/>
    </row>
    <row r="51" spans="63:64">
      <c r="BK51" s="51"/>
      <c r="BL51" s="51"/>
    </row>
    <row r="52" spans="63:64">
      <c r="BK52" s="51"/>
      <c r="BL52" s="51"/>
    </row>
    <row r="53" spans="63:64">
      <c r="BK53" s="51"/>
      <c r="BL53" s="51"/>
    </row>
    <row r="54" spans="63:64">
      <c r="BK54" s="51"/>
      <c r="BL54" s="51"/>
    </row>
    <row r="55" spans="63:64">
      <c r="BK55" s="51"/>
      <c r="BL55" s="51"/>
    </row>
    <row r="56" spans="63:64">
      <c r="BK56" s="51"/>
      <c r="BL56" s="51"/>
    </row>
    <row r="57" spans="63:64">
      <c r="BK57" s="51"/>
      <c r="BL57" s="51"/>
    </row>
    <row r="58" spans="63:64">
      <c r="BK58" s="51"/>
      <c r="BL58" s="51"/>
    </row>
    <row r="59" spans="63:64">
      <c r="BK59" s="51"/>
      <c r="BL59" s="51"/>
    </row>
    <row r="60" spans="63:64">
      <c r="BK60" s="51"/>
      <c r="BL60" s="51"/>
    </row>
  </sheetData>
  <mergeCells count="171">
    <mergeCell ref="U46:V46"/>
    <mergeCell ref="W46:X46"/>
    <mergeCell ref="BK46:BL46"/>
    <mergeCell ref="A44:B44"/>
    <mergeCell ref="U44:V44"/>
    <mergeCell ref="W44:X44"/>
    <mergeCell ref="A45:B45"/>
    <mergeCell ref="U45:V45"/>
    <mergeCell ref="W45:X45"/>
    <mergeCell ref="W32:X32"/>
    <mergeCell ref="A33:B33"/>
    <mergeCell ref="U33:V33"/>
    <mergeCell ref="W33:X33"/>
    <mergeCell ref="A38:B38"/>
    <mergeCell ref="U38:V38"/>
    <mergeCell ref="W38:X38"/>
    <mergeCell ref="A39:B39"/>
    <mergeCell ref="U39:V39"/>
    <mergeCell ref="W39:X39"/>
    <mergeCell ref="A36:B36"/>
    <mergeCell ref="U36:V36"/>
    <mergeCell ref="W36:X36"/>
    <mergeCell ref="A37:B37"/>
    <mergeCell ref="U37:V37"/>
    <mergeCell ref="W37:X37"/>
    <mergeCell ref="BK29:BL29"/>
    <mergeCell ref="G1:T1"/>
    <mergeCell ref="U1:AO2"/>
    <mergeCell ref="AS1:AX1"/>
    <mergeCell ref="BB1:BG1"/>
    <mergeCell ref="G2:T2"/>
    <mergeCell ref="AS2:AX2"/>
    <mergeCell ref="BB2:BG2"/>
    <mergeCell ref="AH6:BA7"/>
    <mergeCell ref="BB6:BG7"/>
    <mergeCell ref="Y6:AC7"/>
    <mergeCell ref="U9:V9"/>
    <mergeCell ref="W9:X9"/>
    <mergeCell ref="AD6:AE7"/>
    <mergeCell ref="AF6:AG7"/>
    <mergeCell ref="U8:V8"/>
    <mergeCell ref="W8:X8"/>
    <mergeCell ref="A6:B7"/>
    <mergeCell ref="C6:K7"/>
    <mergeCell ref="L6:T7"/>
    <mergeCell ref="U6:V7"/>
    <mergeCell ref="W6:X7"/>
    <mergeCell ref="A11:B11"/>
    <mergeCell ref="U11:V11"/>
    <mergeCell ref="W11:X11"/>
    <mergeCell ref="A10:B10"/>
    <mergeCell ref="U10:V10"/>
    <mergeCell ref="W10:X10"/>
    <mergeCell ref="A9:B9"/>
    <mergeCell ref="A8:B8"/>
    <mergeCell ref="A13:B13"/>
    <mergeCell ref="U13:V13"/>
    <mergeCell ref="W13:X13"/>
    <mergeCell ref="A12:B12"/>
    <mergeCell ref="U12:V12"/>
    <mergeCell ref="W12:X12"/>
    <mergeCell ref="A15:B15"/>
    <mergeCell ref="U15:V15"/>
    <mergeCell ref="W15:X15"/>
    <mergeCell ref="A14:B14"/>
    <mergeCell ref="U14:V14"/>
    <mergeCell ref="W14:X14"/>
    <mergeCell ref="A17:B17"/>
    <mergeCell ref="U17:V17"/>
    <mergeCell ref="W17:X17"/>
    <mergeCell ref="A16:B16"/>
    <mergeCell ref="U16:V16"/>
    <mergeCell ref="W16:X16"/>
    <mergeCell ref="A19:B19"/>
    <mergeCell ref="U19:V19"/>
    <mergeCell ref="W19:X19"/>
    <mergeCell ref="A18:B18"/>
    <mergeCell ref="U18:V18"/>
    <mergeCell ref="W18:X18"/>
    <mergeCell ref="A21:B21"/>
    <mergeCell ref="U21:V21"/>
    <mergeCell ref="W21:X21"/>
    <mergeCell ref="A20:B20"/>
    <mergeCell ref="U20:V20"/>
    <mergeCell ref="W20:X20"/>
    <mergeCell ref="A23:B23"/>
    <mergeCell ref="U23:V23"/>
    <mergeCell ref="W23:X23"/>
    <mergeCell ref="A22:B22"/>
    <mergeCell ref="U22:V22"/>
    <mergeCell ref="W22:X22"/>
    <mergeCell ref="A25:B25"/>
    <mergeCell ref="U25:V25"/>
    <mergeCell ref="W25:X25"/>
    <mergeCell ref="A24:B24"/>
    <mergeCell ref="U24:V24"/>
    <mergeCell ref="W24:X24"/>
    <mergeCell ref="A27:B27"/>
    <mergeCell ref="U27:V27"/>
    <mergeCell ref="W27:X27"/>
    <mergeCell ref="A26:B26"/>
    <mergeCell ref="U26:V26"/>
    <mergeCell ref="W26:X26"/>
    <mergeCell ref="A29:B29"/>
    <mergeCell ref="U29:V29"/>
    <mergeCell ref="W29:X29"/>
    <mergeCell ref="A28:B28"/>
    <mergeCell ref="U28:V28"/>
    <mergeCell ref="W28:X28"/>
    <mergeCell ref="U48:V48"/>
    <mergeCell ref="W48:X48"/>
    <mergeCell ref="AD48:AE48"/>
    <mergeCell ref="AD40:AE40"/>
    <mergeCell ref="A30:B30"/>
    <mergeCell ref="U30:V30"/>
    <mergeCell ref="W30:X30"/>
    <mergeCell ref="A31:B31"/>
    <mergeCell ref="U31:V31"/>
    <mergeCell ref="W31:X31"/>
    <mergeCell ref="A34:B34"/>
    <mergeCell ref="U34:V34"/>
    <mergeCell ref="W34:X34"/>
    <mergeCell ref="A35:B35"/>
    <mergeCell ref="U35:V35"/>
    <mergeCell ref="W35:X35"/>
    <mergeCell ref="A32:B32"/>
    <mergeCell ref="U32:V32"/>
    <mergeCell ref="AD35:AE35"/>
    <mergeCell ref="AF35:AG35"/>
    <mergeCell ref="AD36:AE36"/>
    <mergeCell ref="AF36:AG36"/>
    <mergeCell ref="AD37:AE37"/>
    <mergeCell ref="AF37:AG37"/>
    <mergeCell ref="AD38:AE38"/>
    <mergeCell ref="AF38:AG38"/>
    <mergeCell ref="AD39:AE39"/>
    <mergeCell ref="AF39:AG39"/>
    <mergeCell ref="AD30:AE30"/>
    <mergeCell ref="AF30:AG30"/>
    <mergeCell ref="AD31:AE31"/>
    <mergeCell ref="AF31:AG31"/>
    <mergeCell ref="AD32:AE32"/>
    <mergeCell ref="AF32:AG32"/>
    <mergeCell ref="AD33:AE33"/>
    <mergeCell ref="AF33:AG33"/>
    <mergeCell ref="AD34:AE34"/>
    <mergeCell ref="AF34:AG34"/>
    <mergeCell ref="AF40:AG40"/>
    <mergeCell ref="AD41:AE41"/>
    <mergeCell ref="AF41:AG41"/>
    <mergeCell ref="AD42:AE42"/>
    <mergeCell ref="AF42:AG42"/>
    <mergeCell ref="AD43:AE43"/>
    <mergeCell ref="AF43:AG43"/>
    <mergeCell ref="AF48:AG48"/>
    <mergeCell ref="A47:B47"/>
    <mergeCell ref="U47:V47"/>
    <mergeCell ref="W47:X47"/>
    <mergeCell ref="A42:B42"/>
    <mergeCell ref="U42:V42"/>
    <mergeCell ref="W42:X42"/>
    <mergeCell ref="A43:B43"/>
    <mergeCell ref="U43:V43"/>
    <mergeCell ref="W43:X43"/>
    <mergeCell ref="A40:B40"/>
    <mergeCell ref="U40:V40"/>
    <mergeCell ref="W40:X40"/>
    <mergeCell ref="A41:B41"/>
    <mergeCell ref="U41:V41"/>
    <mergeCell ref="W41:X41"/>
    <mergeCell ref="A46:B4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L51"/>
  <sheetViews>
    <sheetView topLeftCell="A4" zoomScale="85" zoomScaleNormal="85" workbookViewId="0">
      <selection activeCell="C14" sqref="C14:K14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37" customWidth="1"/>
    <col min="31" max="33" width="2.6640625" style="137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39"/>
      <c r="B3" s="139"/>
      <c r="C3" s="55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5"/>
      <c r="AE3" s="135"/>
      <c r="AF3" s="135"/>
      <c r="AG3" s="135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39"/>
      <c r="BD3" s="139"/>
      <c r="BE3" s="139"/>
      <c r="BF3" s="139"/>
      <c r="BG3" s="139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1357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341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1313</v>
      </c>
      <c r="BL5" s="353" t="s">
        <v>1360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1372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03" t="s">
        <v>16</v>
      </c>
      <c r="Z8" s="128"/>
      <c r="AA8" s="128"/>
      <c r="AB8" s="128"/>
      <c r="AC8" s="129"/>
      <c r="AD8" s="304">
        <v>100</v>
      </c>
      <c r="AE8" s="136"/>
      <c r="AF8" s="304">
        <v>0</v>
      </c>
      <c r="AG8" s="136"/>
      <c r="AH8" s="7" t="s">
        <v>1369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 t="s">
        <v>342</v>
      </c>
      <c r="BL8" s="51" t="s">
        <v>342</v>
      </c>
    </row>
    <row r="9" spans="1:64">
      <c r="A9" s="681">
        <v>2</v>
      </c>
      <c r="B9" s="682"/>
      <c r="C9" s="386" t="s">
        <v>1530</v>
      </c>
      <c r="D9" s="387"/>
      <c r="E9" s="387"/>
      <c r="F9" s="387"/>
      <c r="G9" s="387"/>
      <c r="H9" s="387"/>
      <c r="I9" s="387"/>
      <c r="J9" s="387"/>
      <c r="K9" s="388"/>
      <c r="L9" s="305" t="s">
        <v>1396</v>
      </c>
      <c r="M9" s="139"/>
      <c r="N9" s="139"/>
      <c r="O9" s="139"/>
      <c r="P9" s="139"/>
      <c r="Q9" s="139"/>
      <c r="R9" s="139"/>
      <c r="S9" s="139"/>
      <c r="T9" s="139"/>
      <c r="U9" s="683"/>
      <c r="V9" s="682"/>
      <c r="W9" s="684"/>
      <c r="X9" s="685"/>
      <c r="Y9" s="302" t="s">
        <v>16</v>
      </c>
      <c r="Z9" s="131"/>
      <c r="AA9" s="131"/>
      <c r="AB9" s="131"/>
      <c r="AC9" s="132"/>
      <c r="AD9" s="301">
        <v>100</v>
      </c>
      <c r="AE9" s="134"/>
      <c r="AF9" s="301">
        <v>0</v>
      </c>
      <c r="AG9" s="134"/>
      <c r="AH9" s="141" t="s">
        <v>1529</v>
      </c>
      <c r="AI9" s="142"/>
      <c r="AJ9" s="139"/>
      <c r="AK9" s="139"/>
      <c r="AL9" s="139"/>
      <c r="AM9" s="139"/>
      <c r="AN9" s="139"/>
      <c r="AO9" s="139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40"/>
      <c r="BB9" s="139"/>
      <c r="BC9" s="139"/>
      <c r="BD9" s="139"/>
      <c r="BE9" s="139"/>
      <c r="BF9" s="139"/>
      <c r="BG9" s="43"/>
      <c r="BH9" s="36"/>
      <c r="BK9" s="51" t="s">
        <v>315</v>
      </c>
      <c r="BL9" s="52" t="s">
        <v>1402</v>
      </c>
    </row>
    <row r="10" spans="1:64">
      <c r="A10" s="681">
        <v>3</v>
      </c>
      <c r="B10" s="682"/>
      <c r="C10" s="386" t="str">
        <f t="shared" ref="C10:C18" si="0">VLOOKUP(L10,$BK$7:$BL$51,2,FALSE)</f>
        <v>标准工序ID</v>
      </c>
      <c r="D10" s="390"/>
      <c r="E10" s="390"/>
      <c r="F10" s="390"/>
      <c r="G10" s="390"/>
      <c r="H10" s="390"/>
      <c r="I10" s="390"/>
      <c r="J10" s="390"/>
      <c r="K10" s="391"/>
      <c r="L10" s="1" t="s">
        <v>315</v>
      </c>
      <c r="M10" s="142"/>
      <c r="N10" s="142"/>
      <c r="O10" s="142"/>
      <c r="P10" s="142"/>
      <c r="Q10" s="142"/>
      <c r="R10" s="142"/>
      <c r="S10" s="142"/>
      <c r="T10" s="142"/>
      <c r="U10" s="692"/>
      <c r="V10" s="693"/>
      <c r="W10" s="694"/>
      <c r="X10" s="695"/>
      <c r="Y10" s="302" t="s">
        <v>16</v>
      </c>
      <c r="Z10" s="131"/>
      <c r="AA10" s="131"/>
      <c r="AB10" s="131"/>
      <c r="AC10" s="132"/>
      <c r="AD10" s="301">
        <v>100</v>
      </c>
      <c r="AE10" s="134"/>
      <c r="AF10" s="301">
        <v>0</v>
      </c>
      <c r="AG10" s="134"/>
      <c r="AH10" s="141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3"/>
      <c r="BB10" s="139"/>
      <c r="BC10" s="139"/>
      <c r="BD10" s="139"/>
      <c r="BE10" s="139"/>
      <c r="BF10" s="139"/>
      <c r="BG10" s="43"/>
      <c r="BH10" s="36"/>
      <c r="BK10" s="52" t="s">
        <v>47</v>
      </c>
      <c r="BL10" s="51" t="s">
        <v>310</v>
      </c>
    </row>
    <row r="11" spans="1:64">
      <c r="A11" s="681">
        <v>4</v>
      </c>
      <c r="B11" s="682"/>
      <c r="C11" s="59" t="str">
        <f t="shared" si="0"/>
        <v>工序编码</v>
      </c>
      <c r="D11" s="142"/>
      <c r="E11" s="142"/>
      <c r="F11" s="142"/>
      <c r="G11" s="142"/>
      <c r="H11" s="142"/>
      <c r="I11" s="142"/>
      <c r="J11" s="142"/>
      <c r="K11" s="143"/>
      <c r="L11" s="1" t="s">
        <v>305</v>
      </c>
      <c r="M11" s="142"/>
      <c r="N11" s="142"/>
      <c r="O11" s="142"/>
      <c r="P11" s="142"/>
      <c r="Q11" s="142"/>
      <c r="R11" s="142"/>
      <c r="S11" s="142"/>
      <c r="T11" s="142"/>
      <c r="U11" s="692"/>
      <c r="V11" s="693"/>
      <c r="W11" s="694"/>
      <c r="X11" s="695"/>
      <c r="Y11" s="302" t="s">
        <v>16</v>
      </c>
      <c r="Z11" s="131"/>
      <c r="AA11" s="131"/>
      <c r="AB11" s="131"/>
      <c r="AC11" s="132"/>
      <c r="AD11" s="301">
        <v>128</v>
      </c>
      <c r="AE11" s="134"/>
      <c r="AF11" s="301">
        <v>0</v>
      </c>
      <c r="AG11" s="134"/>
      <c r="AH11" s="141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39"/>
      <c r="AZ11" s="139"/>
      <c r="BA11" s="140"/>
      <c r="BB11" s="48"/>
      <c r="BC11" s="48"/>
      <c r="BD11" s="48"/>
      <c r="BE11" s="48"/>
      <c r="BF11" s="48"/>
      <c r="BG11" s="49"/>
      <c r="BK11" s="51" t="s">
        <v>283</v>
      </c>
      <c r="BL11" s="51" t="s">
        <v>346</v>
      </c>
    </row>
    <row r="12" spans="1:64">
      <c r="A12" s="681">
        <v>5</v>
      </c>
      <c r="B12" s="682"/>
      <c r="C12" s="59" t="str">
        <f t="shared" si="0"/>
        <v>标准工序名称</v>
      </c>
      <c r="D12" s="142"/>
      <c r="E12" s="142"/>
      <c r="F12" s="142"/>
      <c r="G12" s="142"/>
      <c r="H12" s="142"/>
      <c r="I12" s="142"/>
      <c r="J12" s="142"/>
      <c r="K12" s="143"/>
      <c r="L12" s="1" t="s">
        <v>306</v>
      </c>
      <c r="M12" s="142"/>
      <c r="N12" s="142"/>
      <c r="O12" s="142"/>
      <c r="P12" s="142"/>
      <c r="Q12" s="142"/>
      <c r="R12" s="142"/>
      <c r="S12" s="142"/>
      <c r="T12" s="142"/>
      <c r="U12" s="692"/>
      <c r="V12" s="693"/>
      <c r="W12" s="694"/>
      <c r="X12" s="695"/>
      <c r="Y12" s="302" t="s">
        <v>16</v>
      </c>
      <c r="Z12" s="131"/>
      <c r="AA12" s="131"/>
      <c r="AB12" s="131"/>
      <c r="AC12" s="132"/>
      <c r="AD12" s="301">
        <v>128</v>
      </c>
      <c r="AE12" s="134"/>
      <c r="AF12" s="301">
        <v>0</v>
      </c>
      <c r="AG12" s="134"/>
      <c r="AH12" s="141"/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40"/>
      <c r="BB12" s="139"/>
      <c r="BC12" s="139"/>
      <c r="BD12" s="139"/>
      <c r="BE12" s="139"/>
      <c r="BF12" s="139"/>
      <c r="BG12" s="43"/>
      <c r="BK12" s="51" t="s">
        <v>343</v>
      </c>
      <c r="BL12" s="51" t="s">
        <v>335</v>
      </c>
    </row>
    <row r="13" spans="1:64">
      <c r="A13" s="681">
        <v>6</v>
      </c>
      <c r="B13" s="682"/>
      <c r="C13" s="59" t="str">
        <f t="shared" si="0"/>
        <v>单价</v>
      </c>
      <c r="D13" s="142"/>
      <c r="E13" s="142"/>
      <c r="F13" s="142"/>
      <c r="G13" s="142"/>
      <c r="H13" s="142"/>
      <c r="I13" s="142"/>
      <c r="J13" s="142"/>
      <c r="K13" s="143"/>
      <c r="L13" s="1" t="s">
        <v>283</v>
      </c>
      <c r="M13" s="142"/>
      <c r="N13" s="142"/>
      <c r="O13" s="142"/>
      <c r="P13" s="142"/>
      <c r="Q13" s="142"/>
      <c r="R13" s="142"/>
      <c r="S13" s="142"/>
      <c r="T13" s="142"/>
      <c r="U13" s="692"/>
      <c r="V13" s="693"/>
      <c r="W13" s="694"/>
      <c r="X13" s="695"/>
      <c r="Y13" s="302" t="s">
        <v>1308</v>
      </c>
      <c r="Z13" s="131"/>
      <c r="AA13" s="131"/>
      <c r="AB13" s="131"/>
      <c r="AC13" s="132"/>
      <c r="AD13" s="301">
        <v>19</v>
      </c>
      <c r="AE13" s="134"/>
      <c r="AF13" s="301">
        <v>6</v>
      </c>
      <c r="AG13" s="134"/>
      <c r="AH13" s="141" t="s">
        <v>1319</v>
      </c>
      <c r="AQ13" s="139"/>
      <c r="AR13" s="139"/>
      <c r="AS13" s="139"/>
      <c r="AT13" s="139"/>
      <c r="AU13" s="139"/>
      <c r="AV13" s="139"/>
      <c r="AW13" s="139"/>
      <c r="AX13" s="139"/>
      <c r="AY13" s="139"/>
      <c r="AZ13" s="139"/>
      <c r="BA13" s="140"/>
      <c r="BB13" s="139"/>
      <c r="BC13" s="139"/>
      <c r="BD13" s="139"/>
      <c r="BE13" s="139"/>
      <c r="BF13" s="139"/>
      <c r="BG13" s="43"/>
      <c r="BK13" s="51" t="s">
        <v>345</v>
      </c>
      <c r="BL13" s="51" t="s">
        <v>336</v>
      </c>
    </row>
    <row r="14" spans="1:64">
      <c r="A14" s="681">
        <v>7</v>
      </c>
      <c r="B14" s="682"/>
      <c r="C14" s="414" t="str">
        <f t="shared" si="0"/>
        <v>备注</v>
      </c>
      <c r="D14" s="417"/>
      <c r="E14" s="417"/>
      <c r="F14" s="417"/>
      <c r="G14" s="417"/>
      <c r="H14" s="417"/>
      <c r="I14" s="417"/>
      <c r="J14" s="417"/>
      <c r="K14" s="418"/>
      <c r="L14" s="1" t="s">
        <v>29</v>
      </c>
      <c r="M14" s="142"/>
      <c r="N14" s="142"/>
      <c r="O14" s="142"/>
      <c r="P14" s="142"/>
      <c r="Q14" s="142"/>
      <c r="R14" s="142"/>
      <c r="S14" s="142"/>
      <c r="T14" s="142"/>
      <c r="U14" s="692"/>
      <c r="V14" s="693"/>
      <c r="W14" s="694"/>
      <c r="X14" s="695"/>
      <c r="Y14" s="302" t="s">
        <v>16</v>
      </c>
      <c r="Z14" s="131"/>
      <c r="AA14" s="131"/>
      <c r="AB14" s="131"/>
      <c r="AC14" s="132"/>
      <c r="AD14" s="301">
        <v>4000</v>
      </c>
      <c r="AE14" s="134"/>
      <c r="AF14" s="301">
        <v>0</v>
      </c>
      <c r="AG14" s="134"/>
      <c r="AH14" s="141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139"/>
      <c r="AV14" s="139"/>
      <c r="AW14" s="139"/>
      <c r="AX14" s="139"/>
      <c r="AY14" s="139"/>
      <c r="AZ14" s="139"/>
      <c r="BA14" s="140"/>
      <c r="BB14" s="139"/>
      <c r="BC14" s="139"/>
      <c r="BD14" s="139"/>
      <c r="BE14" s="139"/>
      <c r="BF14" s="139"/>
      <c r="BG14" s="43"/>
      <c r="BK14" s="51" t="s">
        <v>344</v>
      </c>
      <c r="BL14" s="51" t="s">
        <v>337</v>
      </c>
    </row>
    <row r="15" spans="1:64">
      <c r="A15" s="681">
        <v>8</v>
      </c>
      <c r="B15" s="682"/>
      <c r="C15" s="59" t="str">
        <f t="shared" si="0"/>
        <v>最后编辑时间</v>
      </c>
      <c r="D15" s="142"/>
      <c r="E15" s="142"/>
      <c r="F15" s="142"/>
      <c r="G15" s="142"/>
      <c r="H15" s="142"/>
      <c r="I15" s="142"/>
      <c r="J15" s="142"/>
      <c r="K15" s="143"/>
      <c r="L15" s="1" t="s">
        <v>30</v>
      </c>
      <c r="M15" s="142"/>
      <c r="N15" s="142"/>
      <c r="O15" s="142"/>
      <c r="P15" s="142"/>
      <c r="Q15" s="142"/>
      <c r="R15" s="142"/>
      <c r="S15" s="142"/>
      <c r="T15" s="142"/>
      <c r="U15" s="692"/>
      <c r="V15" s="693"/>
      <c r="W15" s="694"/>
      <c r="X15" s="695"/>
      <c r="Y15" s="302" t="s">
        <v>17</v>
      </c>
      <c r="Z15" s="131"/>
      <c r="AA15" s="131"/>
      <c r="AB15" s="131"/>
      <c r="AC15" s="132"/>
      <c r="AD15" s="301"/>
      <c r="AE15" s="134"/>
      <c r="AF15" s="301"/>
      <c r="AG15" s="134"/>
      <c r="AH15" s="141" t="s">
        <v>1320</v>
      </c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139"/>
      <c r="AV15" s="139"/>
      <c r="AW15" s="139"/>
      <c r="AX15" s="139"/>
      <c r="AY15" s="139"/>
      <c r="AZ15" s="139"/>
      <c r="BA15" s="140"/>
      <c r="BB15" s="139"/>
      <c r="BC15" s="139"/>
      <c r="BD15" s="139"/>
      <c r="BE15" s="139"/>
      <c r="BF15" s="139"/>
      <c r="BG15" s="43"/>
      <c r="BK15" s="51" t="s">
        <v>307</v>
      </c>
      <c r="BL15" s="51" t="s">
        <v>311</v>
      </c>
    </row>
    <row r="16" spans="1:64">
      <c r="A16" s="681">
        <v>9</v>
      </c>
      <c r="B16" s="682"/>
      <c r="C16" s="59" t="str">
        <f t="shared" si="0"/>
        <v>人工费</v>
      </c>
      <c r="D16" s="142"/>
      <c r="E16" s="142"/>
      <c r="F16" s="142"/>
      <c r="G16" s="142"/>
      <c r="H16" s="142"/>
      <c r="I16" s="142"/>
      <c r="J16" s="142"/>
      <c r="K16" s="143"/>
      <c r="L16" s="1" t="s">
        <v>343</v>
      </c>
      <c r="M16" s="142"/>
      <c r="N16" s="142"/>
      <c r="O16" s="142"/>
      <c r="P16" s="142"/>
      <c r="Q16" s="142"/>
      <c r="R16" s="142"/>
      <c r="S16" s="142"/>
      <c r="T16" s="142"/>
      <c r="U16" s="692"/>
      <c r="V16" s="693"/>
      <c r="W16" s="694"/>
      <c r="X16" s="695"/>
      <c r="Y16" s="302" t="s">
        <v>1308</v>
      </c>
      <c r="Z16" s="131"/>
      <c r="AA16" s="131"/>
      <c r="AB16" s="131"/>
      <c r="AC16" s="132"/>
      <c r="AD16" s="301">
        <v>19</v>
      </c>
      <c r="AE16" s="134"/>
      <c r="AF16" s="301">
        <v>6</v>
      </c>
      <c r="AG16" s="134"/>
      <c r="AH16" s="355" t="s">
        <v>198</v>
      </c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40"/>
      <c r="BB16" s="139"/>
      <c r="BC16" s="139"/>
      <c r="BD16" s="139"/>
      <c r="BE16" s="139"/>
      <c r="BF16" s="139"/>
      <c r="BG16" s="43"/>
      <c r="BK16" s="51" t="s">
        <v>31</v>
      </c>
      <c r="BL16" s="51" t="s">
        <v>312</v>
      </c>
    </row>
    <row r="17" spans="1:64">
      <c r="A17" s="681">
        <v>10</v>
      </c>
      <c r="B17" s="682"/>
      <c r="C17" s="59" t="str">
        <f t="shared" si="0"/>
        <v>机械设备</v>
      </c>
      <c r="D17" s="139"/>
      <c r="E17" s="139"/>
      <c r="F17" s="139"/>
      <c r="G17" s="139"/>
      <c r="H17" s="139"/>
      <c r="I17" s="139"/>
      <c r="J17" s="139"/>
      <c r="K17" s="140"/>
      <c r="L17" s="36" t="s">
        <v>344</v>
      </c>
      <c r="M17" s="139"/>
      <c r="N17" s="139"/>
      <c r="O17" s="139"/>
      <c r="P17" s="139"/>
      <c r="Q17" s="139"/>
      <c r="R17" s="139"/>
      <c r="S17" s="139"/>
      <c r="T17" s="139"/>
      <c r="U17" s="683"/>
      <c r="V17" s="682"/>
      <c r="W17" s="684"/>
      <c r="X17" s="685"/>
      <c r="Y17" s="355" t="s">
        <v>1309</v>
      </c>
      <c r="Z17" s="126"/>
      <c r="AA17" s="126"/>
      <c r="AB17" s="126"/>
      <c r="AC17" s="127"/>
      <c r="AD17" s="301">
        <v>19</v>
      </c>
      <c r="AE17" s="134"/>
      <c r="AF17" s="301">
        <v>6</v>
      </c>
      <c r="AG17" s="134"/>
      <c r="AH17" s="354" t="s">
        <v>198</v>
      </c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139"/>
      <c r="AV17" s="139"/>
      <c r="AW17" s="139"/>
      <c r="AX17" s="139"/>
      <c r="AY17" s="139"/>
      <c r="AZ17" s="139"/>
      <c r="BA17" s="140"/>
      <c r="BB17" s="139"/>
      <c r="BC17" s="139"/>
      <c r="BD17" s="139"/>
      <c r="BE17" s="139"/>
      <c r="BF17" s="139"/>
      <c r="BG17" s="43"/>
      <c r="BK17" s="51" t="s">
        <v>305</v>
      </c>
      <c r="BL17" s="51" t="s">
        <v>347</v>
      </c>
    </row>
    <row r="18" spans="1:64">
      <c r="A18" s="681">
        <v>11</v>
      </c>
      <c r="B18" s="682"/>
      <c r="C18" s="59" t="str">
        <f t="shared" si="0"/>
        <v>周转材料</v>
      </c>
      <c r="D18" s="139"/>
      <c r="E18" s="139"/>
      <c r="F18" s="139"/>
      <c r="G18" s="139"/>
      <c r="H18" s="139"/>
      <c r="I18" s="139"/>
      <c r="J18" s="139"/>
      <c r="K18" s="140"/>
      <c r="L18" s="36" t="s">
        <v>345</v>
      </c>
      <c r="M18" s="139"/>
      <c r="N18" s="139"/>
      <c r="O18" s="139"/>
      <c r="P18" s="139"/>
      <c r="Q18" s="139"/>
      <c r="R18" s="139"/>
      <c r="S18" s="139"/>
      <c r="T18" s="139"/>
      <c r="U18" s="683"/>
      <c r="V18" s="682"/>
      <c r="W18" s="684"/>
      <c r="X18" s="685"/>
      <c r="Y18" s="355" t="s">
        <v>1315</v>
      </c>
      <c r="Z18" s="126"/>
      <c r="AA18" s="126"/>
      <c r="AB18" s="126"/>
      <c r="AC18" s="127"/>
      <c r="AD18" s="301">
        <v>19</v>
      </c>
      <c r="AE18" s="134"/>
      <c r="AF18" s="301">
        <v>6</v>
      </c>
      <c r="AG18" s="134"/>
      <c r="AH18" s="354" t="s">
        <v>198</v>
      </c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40"/>
      <c r="BB18" s="139"/>
      <c r="BC18" s="139"/>
      <c r="BD18" s="139"/>
      <c r="BE18" s="139"/>
      <c r="BF18" s="139"/>
      <c r="BG18" s="43"/>
      <c r="BK18" s="51" t="s">
        <v>306</v>
      </c>
      <c r="BL18" s="51" t="s">
        <v>348</v>
      </c>
    </row>
    <row r="19" spans="1:64">
      <c r="A19" s="681">
        <v>12</v>
      </c>
      <c r="B19" s="682"/>
      <c r="C19" s="376" t="s">
        <v>49</v>
      </c>
      <c r="D19" s="377"/>
      <c r="E19" s="377"/>
      <c r="F19" s="377"/>
      <c r="G19" s="377"/>
      <c r="H19" s="377"/>
      <c r="I19" s="377"/>
      <c r="J19" s="377"/>
      <c r="K19" s="378"/>
      <c r="L19" s="379" t="s">
        <v>1332</v>
      </c>
      <c r="M19" s="379"/>
      <c r="N19" s="379"/>
      <c r="O19" s="379"/>
      <c r="P19" s="379"/>
      <c r="Q19" s="379"/>
      <c r="R19" s="379"/>
      <c r="S19" s="379"/>
      <c r="T19" s="379"/>
      <c r="U19" s="760"/>
      <c r="V19" s="761"/>
      <c r="W19" s="756"/>
      <c r="X19" s="757"/>
      <c r="Y19" s="380" t="s">
        <v>1333</v>
      </c>
      <c r="Z19" s="379"/>
      <c r="AA19" s="379"/>
      <c r="AB19" s="379"/>
      <c r="AC19" s="379"/>
      <c r="AD19" s="758">
        <v>0</v>
      </c>
      <c r="AE19" s="759"/>
      <c r="AF19" s="754"/>
      <c r="AG19" s="755"/>
      <c r="AH19" s="381"/>
      <c r="AI19" s="379"/>
      <c r="AJ19" s="379"/>
      <c r="AK19" s="334"/>
      <c r="AL19" s="334"/>
      <c r="AM19" s="334"/>
      <c r="AN19" s="334"/>
      <c r="AO19" s="334"/>
      <c r="AP19" s="334"/>
      <c r="AQ19" s="334"/>
      <c r="AR19" s="139"/>
      <c r="AS19" s="139"/>
      <c r="AT19" s="139"/>
      <c r="AU19" s="139"/>
      <c r="AV19" s="139"/>
      <c r="AW19" s="139"/>
      <c r="AX19" s="139"/>
      <c r="AY19" s="139"/>
      <c r="AZ19" s="139"/>
      <c r="BA19" s="140"/>
      <c r="BB19" s="139"/>
      <c r="BC19" s="139"/>
      <c r="BD19" s="139"/>
      <c r="BE19" s="139"/>
      <c r="BF19" s="139"/>
      <c r="BG19" s="43"/>
      <c r="BK19" s="120" t="s">
        <v>29</v>
      </c>
      <c r="BL19" s="52" t="s">
        <v>1245</v>
      </c>
    </row>
    <row r="20" spans="1:64">
      <c r="A20" s="681">
        <v>13</v>
      </c>
      <c r="B20" s="682"/>
      <c r="C20" s="376" t="s">
        <v>49</v>
      </c>
      <c r="D20" s="377"/>
      <c r="E20" s="377"/>
      <c r="F20" s="377"/>
      <c r="G20" s="377"/>
      <c r="H20" s="377"/>
      <c r="I20" s="377"/>
      <c r="J20" s="377"/>
      <c r="K20" s="378"/>
      <c r="L20" s="379" t="s">
        <v>1334</v>
      </c>
      <c r="M20" s="379"/>
      <c r="N20" s="379"/>
      <c r="O20" s="379"/>
      <c r="P20" s="379"/>
      <c r="Q20" s="379"/>
      <c r="R20" s="379"/>
      <c r="S20" s="379"/>
      <c r="T20" s="379"/>
      <c r="U20" s="760"/>
      <c r="V20" s="761"/>
      <c r="W20" s="756"/>
      <c r="X20" s="757"/>
      <c r="Y20" s="380" t="s">
        <v>1333</v>
      </c>
      <c r="Z20" s="379"/>
      <c r="AA20" s="379"/>
      <c r="AB20" s="379"/>
      <c r="AC20" s="379"/>
      <c r="AD20" s="758">
        <v>0</v>
      </c>
      <c r="AE20" s="759"/>
      <c r="AF20" s="754"/>
      <c r="AG20" s="755"/>
      <c r="AH20" s="381"/>
      <c r="AI20" s="379"/>
      <c r="AJ20" s="379"/>
      <c r="AK20" s="334"/>
      <c r="AL20" s="334"/>
      <c r="AM20" s="334"/>
      <c r="AN20" s="334"/>
      <c r="AO20" s="334"/>
      <c r="AP20" s="334"/>
      <c r="AQ20" s="334"/>
      <c r="AR20" s="139"/>
      <c r="AS20" s="139"/>
      <c r="AT20" s="139"/>
      <c r="AU20" s="139"/>
      <c r="AV20" s="139"/>
      <c r="AW20" s="139"/>
      <c r="AX20" s="139"/>
      <c r="AY20" s="139"/>
      <c r="AZ20" s="139"/>
      <c r="BA20" s="140"/>
      <c r="BB20" s="139"/>
      <c r="BC20" s="139"/>
      <c r="BD20" s="139"/>
      <c r="BE20" s="139"/>
      <c r="BF20" s="139"/>
      <c r="BG20" s="43"/>
      <c r="BK20" s="120" t="s">
        <v>30</v>
      </c>
      <c r="BL20" s="52" t="s">
        <v>1243</v>
      </c>
    </row>
    <row r="21" spans="1:64">
      <c r="A21" s="681">
        <v>14</v>
      </c>
      <c r="B21" s="682"/>
      <c r="C21" s="376" t="s">
        <v>49</v>
      </c>
      <c r="D21" s="377"/>
      <c r="E21" s="377"/>
      <c r="F21" s="377"/>
      <c r="G21" s="377"/>
      <c r="H21" s="377"/>
      <c r="I21" s="377"/>
      <c r="J21" s="377"/>
      <c r="K21" s="378"/>
      <c r="L21" s="379" t="s">
        <v>1335</v>
      </c>
      <c r="M21" s="379"/>
      <c r="N21" s="379"/>
      <c r="O21" s="379"/>
      <c r="P21" s="379"/>
      <c r="Q21" s="379"/>
      <c r="R21" s="379"/>
      <c r="S21" s="379"/>
      <c r="T21" s="379"/>
      <c r="U21" s="760"/>
      <c r="V21" s="761"/>
      <c r="W21" s="756"/>
      <c r="X21" s="757"/>
      <c r="Y21" s="380" t="s">
        <v>1333</v>
      </c>
      <c r="Z21" s="379"/>
      <c r="AA21" s="379"/>
      <c r="AB21" s="379"/>
      <c r="AC21" s="379"/>
      <c r="AD21" s="758">
        <v>0</v>
      </c>
      <c r="AE21" s="759"/>
      <c r="AF21" s="754"/>
      <c r="AG21" s="755"/>
      <c r="AH21" s="381"/>
      <c r="AI21" s="379"/>
      <c r="AJ21" s="379"/>
      <c r="AK21" s="334"/>
      <c r="AL21" s="334"/>
      <c r="AM21" s="334"/>
      <c r="AN21" s="334"/>
      <c r="AO21" s="334"/>
      <c r="AP21" s="334"/>
      <c r="AQ21" s="334"/>
      <c r="AR21" s="139"/>
      <c r="AS21" s="139"/>
      <c r="AT21" s="139"/>
      <c r="AU21" s="139"/>
      <c r="AV21" s="139"/>
      <c r="AW21" s="139"/>
      <c r="AX21" s="139"/>
      <c r="AY21" s="139"/>
      <c r="AZ21" s="139"/>
      <c r="BA21" s="140"/>
      <c r="BB21" s="139"/>
      <c r="BC21" s="139"/>
      <c r="BD21" s="139"/>
      <c r="BE21" s="139"/>
      <c r="BF21" s="139"/>
      <c r="BG21" s="43"/>
      <c r="BK21" s="52"/>
      <c r="BL21" s="52"/>
    </row>
    <row r="22" spans="1:64">
      <c r="A22" s="681">
        <v>15</v>
      </c>
      <c r="B22" s="682"/>
      <c r="C22" s="376" t="s">
        <v>49</v>
      </c>
      <c r="D22" s="377"/>
      <c r="E22" s="377"/>
      <c r="F22" s="377"/>
      <c r="G22" s="377"/>
      <c r="H22" s="377"/>
      <c r="I22" s="377"/>
      <c r="J22" s="377"/>
      <c r="K22" s="378"/>
      <c r="L22" s="379" t="s">
        <v>1336</v>
      </c>
      <c r="M22" s="379"/>
      <c r="N22" s="379"/>
      <c r="O22" s="379"/>
      <c r="P22" s="379"/>
      <c r="Q22" s="379"/>
      <c r="R22" s="379"/>
      <c r="S22" s="379"/>
      <c r="T22" s="379"/>
      <c r="U22" s="760"/>
      <c r="V22" s="761"/>
      <c r="W22" s="756"/>
      <c r="X22" s="757"/>
      <c r="Y22" s="380" t="s">
        <v>1333</v>
      </c>
      <c r="Z22" s="379"/>
      <c r="AA22" s="379"/>
      <c r="AB22" s="379"/>
      <c r="AC22" s="379"/>
      <c r="AD22" s="758">
        <v>0</v>
      </c>
      <c r="AE22" s="759"/>
      <c r="AF22" s="754"/>
      <c r="AG22" s="755"/>
      <c r="AH22" s="381"/>
      <c r="AI22" s="379"/>
      <c r="AJ22" s="379"/>
      <c r="AK22" s="334"/>
      <c r="AL22" s="334"/>
      <c r="AM22" s="334"/>
      <c r="AN22" s="334"/>
      <c r="AO22" s="334"/>
      <c r="AP22" s="334"/>
      <c r="AQ22" s="334"/>
      <c r="AR22" s="334"/>
      <c r="AS22" s="334"/>
      <c r="AT22" s="334"/>
      <c r="AU22" s="334"/>
      <c r="AV22" s="334"/>
      <c r="AW22" s="334"/>
      <c r="AX22" s="334"/>
      <c r="AY22" s="334"/>
      <c r="AZ22" s="334"/>
      <c r="BA22" s="335"/>
      <c r="BB22" s="334"/>
      <c r="BC22" s="334"/>
      <c r="BD22" s="334"/>
      <c r="BE22" s="334"/>
      <c r="BF22" s="334"/>
      <c r="BG22" s="43"/>
      <c r="BH22" s="36"/>
      <c r="BK22" s="51"/>
      <c r="BL22" s="52"/>
    </row>
    <row r="23" spans="1:64">
      <c r="A23" s="681">
        <v>16</v>
      </c>
      <c r="B23" s="682"/>
      <c r="C23" s="376" t="s">
        <v>49</v>
      </c>
      <c r="D23" s="377"/>
      <c r="E23" s="377"/>
      <c r="F23" s="377"/>
      <c r="G23" s="377"/>
      <c r="H23" s="377"/>
      <c r="I23" s="377"/>
      <c r="J23" s="377"/>
      <c r="K23" s="378"/>
      <c r="L23" s="379" t="s">
        <v>1348</v>
      </c>
      <c r="M23" s="379"/>
      <c r="N23" s="379"/>
      <c r="O23" s="379"/>
      <c r="P23" s="379"/>
      <c r="Q23" s="379"/>
      <c r="R23" s="379"/>
      <c r="S23" s="379"/>
      <c r="T23" s="379"/>
      <c r="U23" s="760"/>
      <c r="V23" s="761"/>
      <c r="W23" s="756"/>
      <c r="X23" s="757"/>
      <c r="Y23" s="380" t="s">
        <v>1333</v>
      </c>
      <c r="Z23" s="379"/>
      <c r="AA23" s="379"/>
      <c r="AB23" s="379"/>
      <c r="AC23" s="379"/>
      <c r="AD23" s="758">
        <v>0</v>
      </c>
      <c r="AE23" s="759"/>
      <c r="AF23" s="754"/>
      <c r="AG23" s="755"/>
      <c r="AH23" s="381"/>
      <c r="AI23" s="379"/>
      <c r="AJ23" s="379"/>
      <c r="AK23" s="334"/>
      <c r="AL23" s="334"/>
      <c r="AM23" s="334"/>
      <c r="AN23" s="334"/>
      <c r="AO23" s="334"/>
      <c r="AP23" s="334"/>
      <c r="AQ23" s="334"/>
      <c r="AR23" s="331"/>
      <c r="AS23" s="331"/>
      <c r="AT23" s="331"/>
      <c r="AU23" s="331"/>
      <c r="AV23" s="331"/>
      <c r="AW23" s="331"/>
      <c r="AX23" s="331"/>
      <c r="AY23" s="331"/>
      <c r="AZ23" s="331"/>
      <c r="BA23" s="332"/>
      <c r="BB23" s="334"/>
      <c r="BC23" s="334"/>
      <c r="BD23" s="334"/>
      <c r="BE23" s="334"/>
      <c r="BF23" s="334"/>
      <c r="BG23" s="43"/>
      <c r="BH23" s="36"/>
      <c r="BK23" s="52"/>
      <c r="BL23" s="51"/>
    </row>
    <row r="24" spans="1:64">
      <c r="A24" s="681">
        <v>17</v>
      </c>
      <c r="B24" s="682"/>
      <c r="C24" s="376" t="s">
        <v>49</v>
      </c>
      <c r="D24" s="377"/>
      <c r="E24" s="377"/>
      <c r="F24" s="377"/>
      <c r="G24" s="377"/>
      <c r="H24" s="377"/>
      <c r="I24" s="377"/>
      <c r="J24" s="377"/>
      <c r="K24" s="378"/>
      <c r="L24" s="379" t="s">
        <v>1349</v>
      </c>
      <c r="M24" s="379"/>
      <c r="N24" s="379"/>
      <c r="O24" s="379"/>
      <c r="P24" s="379"/>
      <c r="Q24" s="379"/>
      <c r="R24" s="379"/>
      <c r="S24" s="379"/>
      <c r="T24" s="379"/>
      <c r="U24" s="760"/>
      <c r="V24" s="761"/>
      <c r="W24" s="756"/>
      <c r="X24" s="757"/>
      <c r="Y24" s="380" t="s">
        <v>1333</v>
      </c>
      <c r="Z24" s="379"/>
      <c r="AA24" s="379"/>
      <c r="AB24" s="379"/>
      <c r="AC24" s="379"/>
      <c r="AD24" s="758">
        <v>0</v>
      </c>
      <c r="AE24" s="759"/>
      <c r="AF24" s="754"/>
      <c r="AG24" s="755"/>
      <c r="AH24" s="382"/>
      <c r="AI24" s="383"/>
      <c r="AJ24" s="383"/>
      <c r="AK24" s="334"/>
      <c r="AL24" s="334"/>
      <c r="AM24" s="334"/>
      <c r="AN24" s="334"/>
      <c r="AO24" s="334"/>
      <c r="AP24" s="334"/>
      <c r="AQ24" s="334"/>
      <c r="AR24" s="334"/>
      <c r="AS24" s="334"/>
      <c r="AT24" s="334"/>
      <c r="AU24" s="334"/>
      <c r="AV24" s="334"/>
      <c r="AW24" s="334"/>
      <c r="AX24" s="334"/>
      <c r="AY24" s="334"/>
      <c r="AZ24" s="334"/>
      <c r="BA24" s="335"/>
      <c r="BB24" s="48"/>
      <c r="BC24" s="48"/>
      <c r="BD24" s="48"/>
      <c r="BE24" s="48"/>
      <c r="BF24" s="48"/>
      <c r="BG24" s="49"/>
      <c r="BK24" s="51"/>
      <c r="BL24" s="51"/>
    </row>
    <row r="25" spans="1:64">
      <c r="A25" s="681">
        <v>18</v>
      </c>
      <c r="B25" s="682"/>
      <c r="C25" s="376" t="s">
        <v>49</v>
      </c>
      <c r="D25" s="377"/>
      <c r="E25" s="377"/>
      <c r="F25" s="377"/>
      <c r="G25" s="377"/>
      <c r="H25" s="377"/>
      <c r="I25" s="377"/>
      <c r="J25" s="377"/>
      <c r="K25" s="378"/>
      <c r="L25" s="379" t="s">
        <v>1350</v>
      </c>
      <c r="M25" s="379"/>
      <c r="N25" s="379"/>
      <c r="O25" s="379"/>
      <c r="P25" s="379"/>
      <c r="Q25" s="379"/>
      <c r="R25" s="379"/>
      <c r="S25" s="379"/>
      <c r="T25" s="379"/>
      <c r="U25" s="760"/>
      <c r="V25" s="761"/>
      <c r="W25" s="756"/>
      <c r="X25" s="757"/>
      <c r="Y25" s="380" t="s">
        <v>1333</v>
      </c>
      <c r="Z25" s="379"/>
      <c r="AA25" s="379"/>
      <c r="AB25" s="379"/>
      <c r="AC25" s="379"/>
      <c r="AD25" s="758">
        <v>0</v>
      </c>
      <c r="AE25" s="759"/>
      <c r="AF25" s="754"/>
      <c r="AG25" s="755"/>
      <c r="AH25" s="382"/>
      <c r="AI25" s="383"/>
      <c r="AJ25" s="383"/>
      <c r="AK25" s="334"/>
      <c r="AL25" s="334"/>
      <c r="AM25" s="334"/>
      <c r="AN25" s="334"/>
      <c r="AO25" s="334"/>
      <c r="AP25" s="334"/>
      <c r="AQ25" s="334"/>
      <c r="AR25" s="334"/>
      <c r="AS25" s="334"/>
      <c r="AT25" s="334"/>
      <c r="AU25" s="334"/>
      <c r="AV25" s="334"/>
      <c r="AW25" s="334"/>
      <c r="AX25" s="334"/>
      <c r="AY25" s="334"/>
      <c r="AZ25" s="334"/>
      <c r="BA25" s="335"/>
      <c r="BB25" s="334"/>
      <c r="BC25" s="334"/>
      <c r="BD25" s="334"/>
      <c r="BE25" s="334"/>
      <c r="BF25" s="334"/>
      <c r="BG25" s="43"/>
      <c r="BK25" s="51"/>
      <c r="BL25" s="51"/>
    </row>
    <row r="26" spans="1:64">
      <c r="A26" s="681">
        <v>19</v>
      </c>
      <c r="B26" s="682"/>
      <c r="C26" s="376" t="s">
        <v>49</v>
      </c>
      <c r="D26" s="377"/>
      <c r="E26" s="377"/>
      <c r="F26" s="377"/>
      <c r="G26" s="377"/>
      <c r="H26" s="377"/>
      <c r="I26" s="377"/>
      <c r="J26" s="377"/>
      <c r="K26" s="378"/>
      <c r="L26" s="379" t="s">
        <v>1351</v>
      </c>
      <c r="M26" s="379"/>
      <c r="N26" s="379"/>
      <c r="O26" s="379"/>
      <c r="P26" s="379"/>
      <c r="Q26" s="379"/>
      <c r="R26" s="379"/>
      <c r="S26" s="379"/>
      <c r="T26" s="379"/>
      <c r="U26" s="760"/>
      <c r="V26" s="761"/>
      <c r="W26" s="756"/>
      <c r="X26" s="757"/>
      <c r="Y26" s="380" t="s">
        <v>1333</v>
      </c>
      <c r="Z26" s="379"/>
      <c r="AA26" s="379"/>
      <c r="AB26" s="379"/>
      <c r="AC26" s="379"/>
      <c r="AD26" s="758">
        <v>0</v>
      </c>
      <c r="AE26" s="759"/>
      <c r="AF26" s="754"/>
      <c r="AG26" s="755"/>
      <c r="AH26" s="382"/>
      <c r="AI26" s="383"/>
      <c r="AJ26" s="383"/>
      <c r="AK26" s="334"/>
      <c r="AL26" s="334"/>
      <c r="AM26" s="334"/>
      <c r="AN26" s="334"/>
      <c r="AO26" s="334"/>
      <c r="AP26" s="334"/>
      <c r="AQ26" s="334"/>
      <c r="AR26" s="334"/>
      <c r="AS26" s="334"/>
      <c r="AT26" s="334"/>
      <c r="AU26" s="334"/>
      <c r="AV26" s="334"/>
      <c r="AW26" s="334"/>
      <c r="AX26" s="334"/>
      <c r="AY26" s="334"/>
      <c r="AZ26" s="334"/>
      <c r="BA26" s="335"/>
      <c r="BB26" s="334"/>
      <c r="BC26" s="334"/>
      <c r="BD26" s="334"/>
      <c r="BE26" s="334"/>
      <c r="BF26" s="334"/>
      <c r="BG26" s="43"/>
      <c r="BK26" s="51"/>
      <c r="BL26" s="51"/>
    </row>
    <row r="27" spans="1:64">
      <c r="A27" s="681">
        <v>20</v>
      </c>
      <c r="B27" s="682"/>
      <c r="C27" s="376" t="s">
        <v>49</v>
      </c>
      <c r="D27" s="377"/>
      <c r="E27" s="377"/>
      <c r="F27" s="377"/>
      <c r="G27" s="377"/>
      <c r="H27" s="377"/>
      <c r="I27" s="377"/>
      <c r="J27" s="377"/>
      <c r="K27" s="378"/>
      <c r="L27" s="379" t="s">
        <v>1352</v>
      </c>
      <c r="M27" s="379"/>
      <c r="N27" s="379"/>
      <c r="O27" s="379"/>
      <c r="P27" s="379"/>
      <c r="Q27" s="379"/>
      <c r="R27" s="379"/>
      <c r="S27" s="379"/>
      <c r="T27" s="379"/>
      <c r="U27" s="760"/>
      <c r="V27" s="761"/>
      <c r="W27" s="756"/>
      <c r="X27" s="757"/>
      <c r="Y27" s="380" t="s">
        <v>1333</v>
      </c>
      <c r="Z27" s="379"/>
      <c r="AA27" s="379"/>
      <c r="AB27" s="379"/>
      <c r="AC27" s="379"/>
      <c r="AD27" s="758">
        <v>0</v>
      </c>
      <c r="AE27" s="759"/>
      <c r="AF27" s="754"/>
      <c r="AG27" s="755"/>
      <c r="AH27" s="382"/>
      <c r="AI27" s="383"/>
      <c r="AJ27" s="383"/>
      <c r="AK27" s="334"/>
      <c r="AL27" s="334"/>
      <c r="AM27" s="334"/>
      <c r="AN27" s="334"/>
      <c r="AO27" s="334"/>
      <c r="AP27" s="334"/>
      <c r="AQ27" s="334"/>
      <c r="AR27" s="334"/>
      <c r="AS27" s="334"/>
      <c r="AT27" s="334"/>
      <c r="AU27" s="334"/>
      <c r="AV27" s="334"/>
      <c r="AW27" s="334"/>
      <c r="AX27" s="334"/>
      <c r="AY27" s="334"/>
      <c r="AZ27" s="334"/>
      <c r="BA27" s="335"/>
      <c r="BB27" s="334"/>
      <c r="BC27" s="334"/>
      <c r="BD27" s="334"/>
      <c r="BE27" s="334"/>
      <c r="BF27" s="334"/>
      <c r="BG27" s="43"/>
      <c r="BK27" s="51"/>
      <c r="BL27" s="51"/>
    </row>
    <row r="28" spans="1:64">
      <c r="A28" s="681">
        <v>21</v>
      </c>
      <c r="B28" s="682"/>
      <c r="C28" s="376" t="s">
        <v>49</v>
      </c>
      <c r="D28" s="377"/>
      <c r="E28" s="377"/>
      <c r="F28" s="377"/>
      <c r="G28" s="377"/>
      <c r="H28" s="377"/>
      <c r="I28" s="377"/>
      <c r="J28" s="377"/>
      <c r="K28" s="378"/>
      <c r="L28" s="379" t="s">
        <v>1353</v>
      </c>
      <c r="M28" s="379"/>
      <c r="N28" s="379"/>
      <c r="O28" s="379"/>
      <c r="P28" s="379"/>
      <c r="Q28" s="379"/>
      <c r="R28" s="379"/>
      <c r="S28" s="379"/>
      <c r="T28" s="379"/>
      <c r="U28" s="760"/>
      <c r="V28" s="761"/>
      <c r="W28" s="756"/>
      <c r="X28" s="757"/>
      <c r="Y28" s="380" t="s">
        <v>1333</v>
      </c>
      <c r="Z28" s="379"/>
      <c r="AA28" s="379"/>
      <c r="AB28" s="379"/>
      <c r="AC28" s="379"/>
      <c r="AD28" s="758">
        <v>0</v>
      </c>
      <c r="AE28" s="759"/>
      <c r="AF28" s="754"/>
      <c r="AG28" s="755"/>
      <c r="AH28" s="381"/>
      <c r="AI28" s="379"/>
      <c r="AJ28" s="379"/>
      <c r="AK28" s="334"/>
      <c r="AL28" s="334"/>
      <c r="AM28" s="334"/>
      <c r="AN28" s="334"/>
      <c r="AO28" s="334"/>
      <c r="AP28" s="334"/>
      <c r="AQ28" s="334"/>
      <c r="AR28" s="334"/>
      <c r="AS28" s="334"/>
      <c r="AT28" s="334"/>
      <c r="AU28" s="334"/>
      <c r="AV28" s="334"/>
      <c r="AW28" s="334"/>
      <c r="AX28" s="334"/>
      <c r="AY28" s="334"/>
      <c r="AZ28" s="334"/>
      <c r="BA28" s="335"/>
      <c r="BB28" s="334"/>
      <c r="BC28" s="334"/>
      <c r="BD28" s="334"/>
      <c r="BE28" s="334"/>
      <c r="BF28" s="334"/>
      <c r="BG28" s="43"/>
      <c r="BK28" s="51"/>
      <c r="BL28" s="51"/>
    </row>
    <row r="29" spans="1:64">
      <c r="A29" s="681">
        <v>22</v>
      </c>
      <c r="B29" s="682"/>
      <c r="C29" s="376" t="s">
        <v>1337</v>
      </c>
      <c r="D29" s="377"/>
      <c r="E29" s="377"/>
      <c r="F29" s="377"/>
      <c r="G29" s="377"/>
      <c r="H29" s="377"/>
      <c r="I29" s="377"/>
      <c r="J29" s="377"/>
      <c r="K29" s="378"/>
      <c r="L29" s="379" t="s">
        <v>1338</v>
      </c>
      <c r="M29" s="379"/>
      <c r="N29" s="379"/>
      <c r="O29" s="379"/>
      <c r="P29" s="379"/>
      <c r="Q29" s="379"/>
      <c r="R29" s="379"/>
      <c r="S29" s="379"/>
      <c r="T29" s="379"/>
      <c r="U29" s="760"/>
      <c r="V29" s="761"/>
      <c r="W29" s="756"/>
      <c r="X29" s="757"/>
      <c r="Y29" s="380" t="s">
        <v>199</v>
      </c>
      <c r="Z29" s="379"/>
      <c r="AA29" s="379"/>
      <c r="AB29" s="379"/>
      <c r="AC29" s="379"/>
      <c r="AD29" s="758">
        <v>32</v>
      </c>
      <c r="AE29" s="759"/>
      <c r="AF29" s="754"/>
      <c r="AG29" s="755"/>
      <c r="AH29" s="382" t="s">
        <v>1337</v>
      </c>
      <c r="AI29" s="383"/>
      <c r="AJ29" s="383"/>
      <c r="AK29" s="334"/>
      <c r="AL29" s="334"/>
      <c r="AM29" s="334"/>
      <c r="AN29" s="334"/>
      <c r="AO29" s="334"/>
      <c r="AP29" s="334"/>
      <c r="AQ29" s="334"/>
      <c r="AR29" s="334"/>
      <c r="AS29" s="334"/>
      <c r="AT29" s="334"/>
      <c r="AU29" s="334"/>
      <c r="AV29" s="334"/>
      <c r="AW29" s="334"/>
      <c r="AX29" s="334"/>
      <c r="AY29" s="334"/>
      <c r="AZ29" s="334"/>
      <c r="BA29" s="335"/>
      <c r="BB29" s="334"/>
      <c r="BC29" s="334"/>
      <c r="BD29" s="334"/>
      <c r="BE29" s="334"/>
      <c r="BF29" s="334"/>
      <c r="BG29" s="43"/>
      <c r="BK29" s="51"/>
      <c r="BL29" s="51"/>
    </row>
    <row r="30" spans="1:64">
      <c r="A30" s="681">
        <v>23</v>
      </c>
      <c r="B30" s="682"/>
      <c r="C30" s="376" t="s">
        <v>1339</v>
      </c>
      <c r="D30" s="377"/>
      <c r="E30" s="377"/>
      <c r="F30" s="377"/>
      <c r="G30" s="377"/>
      <c r="H30" s="377"/>
      <c r="I30" s="377"/>
      <c r="J30" s="377"/>
      <c r="K30" s="378"/>
      <c r="L30" s="379" t="s">
        <v>1340</v>
      </c>
      <c r="M30" s="379"/>
      <c r="N30" s="379"/>
      <c r="O30" s="379"/>
      <c r="P30" s="379"/>
      <c r="Q30" s="379"/>
      <c r="R30" s="379"/>
      <c r="S30" s="379"/>
      <c r="T30" s="379"/>
      <c r="U30" s="760"/>
      <c r="V30" s="761"/>
      <c r="W30" s="756"/>
      <c r="X30" s="757"/>
      <c r="Y30" s="380" t="s">
        <v>199</v>
      </c>
      <c r="Z30" s="379"/>
      <c r="AA30" s="379"/>
      <c r="AB30" s="379"/>
      <c r="AC30" s="379"/>
      <c r="AD30" s="758">
        <v>32</v>
      </c>
      <c r="AE30" s="759"/>
      <c r="AF30" s="754"/>
      <c r="AG30" s="755"/>
      <c r="AH30" s="382" t="s">
        <v>1341</v>
      </c>
      <c r="AI30" s="383"/>
      <c r="AJ30" s="383"/>
      <c r="AK30" s="334"/>
      <c r="AL30" s="334"/>
      <c r="AM30" s="334"/>
      <c r="AN30" s="334"/>
      <c r="AO30" s="334"/>
      <c r="AP30" s="331"/>
      <c r="AQ30" s="331"/>
      <c r="AR30" s="334"/>
      <c r="AS30" s="334"/>
      <c r="AT30" s="334"/>
      <c r="AU30" s="334"/>
      <c r="AV30" s="334"/>
      <c r="AW30" s="334"/>
      <c r="AX30" s="334"/>
      <c r="AY30" s="334"/>
      <c r="AZ30" s="334"/>
      <c r="BA30" s="335"/>
      <c r="BB30" s="334"/>
      <c r="BC30" s="334"/>
      <c r="BD30" s="334"/>
      <c r="BE30" s="334"/>
      <c r="BF30" s="334"/>
      <c r="BG30" s="43"/>
      <c r="BK30" s="51"/>
      <c r="BL30" s="51"/>
    </row>
    <row r="31" spans="1:64">
      <c r="A31" s="681">
        <v>24</v>
      </c>
      <c r="B31" s="682"/>
      <c r="C31" s="376" t="s">
        <v>1342</v>
      </c>
      <c r="D31" s="377"/>
      <c r="E31" s="377"/>
      <c r="F31" s="377"/>
      <c r="G31" s="377"/>
      <c r="H31" s="377"/>
      <c r="I31" s="377"/>
      <c r="J31" s="377"/>
      <c r="K31" s="378"/>
      <c r="L31" s="379" t="s">
        <v>1343</v>
      </c>
      <c r="M31" s="379"/>
      <c r="N31" s="379"/>
      <c r="O31" s="379"/>
      <c r="P31" s="379"/>
      <c r="Q31" s="379"/>
      <c r="R31" s="379"/>
      <c r="S31" s="379"/>
      <c r="T31" s="379"/>
      <c r="U31" s="760"/>
      <c r="V31" s="761"/>
      <c r="W31" s="756"/>
      <c r="X31" s="757"/>
      <c r="Y31" s="380" t="s">
        <v>199</v>
      </c>
      <c r="Z31" s="379"/>
      <c r="AA31" s="379"/>
      <c r="AB31" s="379"/>
      <c r="AC31" s="379"/>
      <c r="AD31" s="758">
        <v>2</v>
      </c>
      <c r="AE31" s="759"/>
      <c r="AF31" s="754"/>
      <c r="AG31" s="755"/>
      <c r="AH31" s="382" t="s">
        <v>1344</v>
      </c>
      <c r="AI31" s="383"/>
      <c r="AJ31" s="383"/>
      <c r="AK31" s="334"/>
      <c r="AP31" s="334"/>
      <c r="AQ31" s="334"/>
      <c r="AR31" s="334"/>
      <c r="AS31" s="334"/>
      <c r="AT31" s="334"/>
      <c r="AU31" s="334"/>
      <c r="AV31" s="334"/>
      <c r="AW31" s="334"/>
      <c r="AX31" s="334"/>
      <c r="AY31" s="334"/>
      <c r="AZ31" s="334"/>
      <c r="BA31" s="335"/>
      <c r="BB31" s="334"/>
      <c r="BC31" s="334"/>
      <c r="BD31" s="334"/>
      <c r="BE31" s="334"/>
      <c r="BF31" s="334"/>
      <c r="BG31" s="43"/>
      <c r="BK31" s="51"/>
      <c r="BL31" s="51"/>
    </row>
    <row r="32" spans="1:64">
      <c r="A32" s="681">
        <v>25</v>
      </c>
      <c r="B32" s="682"/>
      <c r="C32" s="376" t="s">
        <v>1345</v>
      </c>
      <c r="D32" s="377"/>
      <c r="E32" s="377"/>
      <c r="F32" s="377"/>
      <c r="G32" s="377"/>
      <c r="H32" s="377"/>
      <c r="I32" s="377"/>
      <c r="J32" s="377"/>
      <c r="K32" s="378"/>
      <c r="L32" s="379" t="s">
        <v>1346</v>
      </c>
      <c r="M32" s="379"/>
      <c r="N32" s="379"/>
      <c r="O32" s="379"/>
      <c r="P32" s="379"/>
      <c r="Q32" s="379"/>
      <c r="R32" s="379"/>
      <c r="S32" s="379"/>
      <c r="T32" s="379"/>
      <c r="U32" s="760"/>
      <c r="V32" s="761"/>
      <c r="W32" s="756"/>
      <c r="X32" s="757"/>
      <c r="Y32" s="380" t="s">
        <v>199</v>
      </c>
      <c r="Z32" s="379"/>
      <c r="AA32" s="379"/>
      <c r="AB32" s="379"/>
      <c r="AC32" s="379"/>
      <c r="AD32" s="758">
        <v>2</v>
      </c>
      <c r="AE32" s="759"/>
      <c r="AF32" s="754"/>
      <c r="AG32" s="755"/>
      <c r="AH32" s="382" t="s">
        <v>1347</v>
      </c>
      <c r="AI32" s="383"/>
      <c r="AJ32" s="383"/>
      <c r="AK32" s="334"/>
      <c r="AL32" s="334"/>
      <c r="AM32" s="334"/>
      <c r="AN32" s="334"/>
      <c r="AO32" s="334"/>
      <c r="AP32" s="334"/>
      <c r="AQ32" s="334"/>
      <c r="AR32" s="334"/>
      <c r="AS32" s="334"/>
      <c r="AT32" s="334"/>
      <c r="AU32" s="334"/>
      <c r="AV32" s="334"/>
      <c r="AW32" s="334"/>
      <c r="AX32" s="334"/>
      <c r="AY32" s="334"/>
      <c r="AZ32" s="334"/>
      <c r="BA32" s="335"/>
      <c r="BB32" s="334"/>
      <c r="BC32" s="334"/>
      <c r="BD32" s="334"/>
      <c r="BE32" s="334"/>
      <c r="BF32" s="334"/>
      <c r="BG32" s="43"/>
      <c r="BH32" s="36"/>
      <c r="BK32" s="51"/>
      <c r="BL32" s="52"/>
    </row>
    <row r="33" spans="1:64">
      <c r="A33" s="681"/>
      <c r="B33" s="682"/>
      <c r="C33" s="59"/>
      <c r="D33" s="331"/>
      <c r="E33" s="331"/>
      <c r="F33" s="331"/>
      <c r="G33" s="331"/>
      <c r="H33" s="331"/>
      <c r="I33" s="331"/>
      <c r="J33" s="331"/>
      <c r="K33" s="332"/>
      <c r="L33" s="1"/>
      <c r="M33" s="331"/>
      <c r="N33" s="331"/>
      <c r="O33" s="331"/>
      <c r="P33" s="331"/>
      <c r="Q33" s="331"/>
      <c r="R33" s="331"/>
      <c r="S33" s="331"/>
      <c r="T33" s="331"/>
      <c r="U33" s="692"/>
      <c r="V33" s="693"/>
      <c r="W33" s="694"/>
      <c r="X33" s="695"/>
      <c r="Y33" s="371"/>
      <c r="Z33" s="372"/>
      <c r="AA33" s="372"/>
      <c r="AB33" s="372"/>
      <c r="AC33" s="373"/>
      <c r="AD33" s="368"/>
      <c r="AE33" s="369"/>
      <c r="AF33" s="368"/>
      <c r="AG33" s="369"/>
      <c r="AH33" s="330"/>
      <c r="AI33" s="331"/>
      <c r="AJ33" s="331"/>
      <c r="AK33" s="331"/>
      <c r="AL33" s="331"/>
      <c r="AM33" s="331"/>
      <c r="AN33" s="331"/>
      <c r="AO33" s="331"/>
      <c r="AP33" s="331"/>
      <c r="AQ33" s="331"/>
      <c r="AR33" s="331"/>
      <c r="AS33" s="331"/>
      <c r="AT33" s="331"/>
      <c r="AU33" s="331"/>
      <c r="AV33" s="331"/>
      <c r="AW33" s="331"/>
      <c r="AX33" s="331"/>
      <c r="AY33" s="331"/>
      <c r="AZ33" s="331"/>
      <c r="BA33" s="332"/>
      <c r="BB33" s="334"/>
      <c r="BC33" s="334"/>
      <c r="BD33" s="334"/>
      <c r="BE33" s="334"/>
      <c r="BF33" s="334"/>
      <c r="BG33" s="43"/>
      <c r="BH33" s="36"/>
      <c r="BK33" s="52"/>
      <c r="BL33" s="51"/>
    </row>
    <row r="34" spans="1:64">
      <c r="A34" s="681"/>
      <c r="B34" s="682"/>
      <c r="C34" s="59"/>
      <c r="D34" s="331"/>
      <c r="E34" s="331"/>
      <c r="F34" s="331"/>
      <c r="G34" s="331"/>
      <c r="H34" s="331"/>
      <c r="I34" s="331"/>
      <c r="J34" s="331"/>
      <c r="K34" s="332"/>
      <c r="L34" s="1"/>
      <c r="M34" s="331"/>
      <c r="N34" s="331"/>
      <c r="O34" s="331"/>
      <c r="P34" s="331"/>
      <c r="Q34" s="331"/>
      <c r="R34" s="331"/>
      <c r="S34" s="331"/>
      <c r="T34" s="331"/>
      <c r="U34" s="692"/>
      <c r="V34" s="693"/>
      <c r="W34" s="694"/>
      <c r="X34" s="695"/>
      <c r="Y34" s="371"/>
      <c r="Z34" s="372"/>
      <c r="AA34" s="372"/>
      <c r="AB34" s="372"/>
      <c r="AC34" s="373"/>
      <c r="AD34" s="368"/>
      <c r="AE34" s="369"/>
      <c r="AF34" s="368"/>
      <c r="AG34" s="369"/>
      <c r="AH34" s="330"/>
      <c r="AI34" s="334"/>
      <c r="AJ34" s="334"/>
      <c r="AK34" s="334"/>
      <c r="AL34" s="334"/>
      <c r="AM34" s="334"/>
      <c r="AN34" s="334"/>
      <c r="AO34" s="334"/>
      <c r="AP34" s="334"/>
      <c r="AQ34" s="334"/>
      <c r="AR34" s="334"/>
      <c r="AS34" s="334"/>
      <c r="AT34" s="334"/>
      <c r="AU34" s="334"/>
      <c r="AV34" s="334"/>
      <c r="AW34" s="334"/>
      <c r="AX34" s="334"/>
      <c r="AY34" s="334"/>
      <c r="AZ34" s="334"/>
      <c r="BA34" s="335"/>
      <c r="BB34" s="48"/>
      <c r="BC34" s="48"/>
      <c r="BD34" s="48"/>
      <c r="BE34" s="48"/>
      <c r="BF34" s="48"/>
      <c r="BG34" s="49"/>
      <c r="BK34" s="51"/>
      <c r="BL34" s="51"/>
    </row>
    <row r="35" spans="1:64">
      <c r="A35" s="681"/>
      <c r="B35" s="682"/>
      <c r="C35" s="59"/>
      <c r="D35" s="331"/>
      <c r="E35" s="331"/>
      <c r="F35" s="331"/>
      <c r="G35" s="331"/>
      <c r="H35" s="331"/>
      <c r="I35" s="331"/>
      <c r="J35" s="331"/>
      <c r="K35" s="332"/>
      <c r="L35" s="1"/>
      <c r="M35" s="331"/>
      <c r="N35" s="331"/>
      <c r="O35" s="331"/>
      <c r="P35" s="331"/>
      <c r="Q35" s="331"/>
      <c r="R35" s="331"/>
      <c r="S35" s="331"/>
      <c r="T35" s="331"/>
      <c r="U35" s="692"/>
      <c r="V35" s="693"/>
      <c r="W35" s="694"/>
      <c r="X35" s="695"/>
      <c r="Y35" s="371"/>
      <c r="Z35" s="372"/>
      <c r="AA35" s="372"/>
      <c r="AB35" s="372"/>
      <c r="AC35" s="373"/>
      <c r="AD35" s="368"/>
      <c r="AE35" s="369"/>
      <c r="AF35" s="368"/>
      <c r="AG35" s="369"/>
      <c r="AH35" s="330"/>
      <c r="AI35" s="334"/>
      <c r="AJ35" s="334"/>
      <c r="AK35" s="334"/>
      <c r="AL35" s="334"/>
      <c r="AM35" s="334"/>
      <c r="AN35" s="334"/>
      <c r="AO35" s="334"/>
      <c r="AP35" s="334"/>
      <c r="AQ35" s="334"/>
      <c r="AR35" s="334"/>
      <c r="AS35" s="334"/>
      <c r="AT35" s="334"/>
      <c r="AU35" s="334"/>
      <c r="AV35" s="334"/>
      <c r="AW35" s="334"/>
      <c r="AX35" s="334"/>
      <c r="AY35" s="334"/>
      <c r="AZ35" s="334"/>
      <c r="BA35" s="335"/>
      <c r="BB35" s="334"/>
      <c r="BC35" s="334"/>
      <c r="BD35" s="334"/>
      <c r="BE35" s="334"/>
      <c r="BF35" s="334"/>
      <c r="BG35" s="43"/>
      <c r="BK35" s="51"/>
      <c r="BL35" s="51"/>
    </row>
    <row r="36" spans="1:64">
      <c r="A36" s="681"/>
      <c r="B36" s="682"/>
      <c r="C36" s="59"/>
      <c r="D36" s="334"/>
      <c r="E36" s="334"/>
      <c r="F36" s="334"/>
      <c r="G36" s="334"/>
      <c r="H36" s="334"/>
      <c r="I36" s="334"/>
      <c r="J36" s="334"/>
      <c r="K36" s="335"/>
      <c r="L36" s="36"/>
      <c r="M36" s="334"/>
      <c r="N36" s="334"/>
      <c r="O36" s="334"/>
      <c r="P36" s="334"/>
      <c r="Q36" s="334"/>
      <c r="R36" s="334"/>
      <c r="S36" s="334"/>
      <c r="T36" s="334"/>
      <c r="U36" s="683"/>
      <c r="V36" s="682"/>
      <c r="W36" s="684"/>
      <c r="X36" s="685"/>
      <c r="Y36" s="365"/>
      <c r="Z36" s="366"/>
      <c r="AA36" s="366"/>
      <c r="AB36" s="366"/>
      <c r="AC36" s="367"/>
      <c r="AD36" s="368"/>
      <c r="AE36" s="369"/>
      <c r="AF36" s="368"/>
      <c r="AG36" s="369"/>
      <c r="AH36" s="333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5"/>
      <c r="BB36" s="334"/>
      <c r="BC36" s="334"/>
      <c r="BD36" s="334"/>
      <c r="BE36" s="334"/>
      <c r="BF36" s="334"/>
      <c r="BG36" s="43"/>
      <c r="BK36" s="120"/>
      <c r="BL36" s="52"/>
    </row>
    <row r="37" spans="1:64">
      <c r="A37" s="681"/>
      <c r="B37" s="682"/>
      <c r="C37" s="59"/>
      <c r="D37" s="334"/>
      <c r="E37" s="334"/>
      <c r="F37" s="334"/>
      <c r="G37" s="334"/>
      <c r="H37" s="334"/>
      <c r="I37" s="334"/>
      <c r="J37" s="334"/>
      <c r="K37" s="335"/>
      <c r="L37" s="36"/>
      <c r="M37" s="334"/>
      <c r="N37" s="334"/>
      <c r="O37" s="334"/>
      <c r="P37" s="334"/>
      <c r="Q37" s="334"/>
      <c r="R37" s="334"/>
      <c r="S37" s="334"/>
      <c r="T37" s="334"/>
      <c r="U37" s="683"/>
      <c r="V37" s="682"/>
      <c r="W37" s="684"/>
      <c r="X37" s="685"/>
      <c r="Y37" s="365"/>
      <c r="Z37" s="366"/>
      <c r="AA37" s="366"/>
      <c r="AB37" s="366"/>
      <c r="AC37" s="367"/>
      <c r="AD37" s="368"/>
      <c r="AE37" s="369"/>
      <c r="AF37" s="368"/>
      <c r="AG37" s="369"/>
      <c r="AH37" s="333"/>
      <c r="AI37" s="334"/>
      <c r="AJ37" s="334"/>
      <c r="AK37" s="334"/>
      <c r="AL37" s="334"/>
      <c r="AM37" s="334"/>
      <c r="AN37" s="334"/>
      <c r="AO37" s="334"/>
      <c r="AP37" s="334"/>
      <c r="AQ37" s="334"/>
      <c r="AR37" s="334"/>
      <c r="AS37" s="334"/>
      <c r="AT37" s="334"/>
      <c r="AU37" s="334"/>
      <c r="AV37" s="334"/>
      <c r="AW37" s="334"/>
      <c r="AX37" s="334"/>
      <c r="AY37" s="334"/>
      <c r="AZ37" s="334"/>
      <c r="BA37" s="335"/>
      <c r="BB37" s="334"/>
      <c r="BC37" s="334"/>
      <c r="BD37" s="334"/>
      <c r="BE37" s="334"/>
      <c r="BF37" s="334"/>
      <c r="BG37" s="43"/>
      <c r="BK37" s="120"/>
      <c r="BL37" s="52"/>
    </row>
    <row r="38" spans="1:64">
      <c r="A38" s="681"/>
      <c r="B38" s="682"/>
      <c r="C38" s="59"/>
      <c r="D38" s="334"/>
      <c r="E38" s="334"/>
      <c r="F38" s="334"/>
      <c r="G38" s="334"/>
      <c r="H38" s="334"/>
      <c r="I38" s="334"/>
      <c r="J38" s="334"/>
      <c r="K38" s="335"/>
      <c r="L38" s="36"/>
      <c r="M38" s="334"/>
      <c r="N38" s="334"/>
      <c r="O38" s="334"/>
      <c r="P38" s="334"/>
      <c r="Q38" s="334"/>
      <c r="R38" s="334"/>
      <c r="S38" s="334"/>
      <c r="T38" s="334"/>
      <c r="U38" s="683"/>
      <c r="V38" s="682"/>
      <c r="W38" s="684"/>
      <c r="X38" s="685"/>
      <c r="Y38" s="365"/>
      <c r="Z38" s="366"/>
      <c r="AA38" s="366"/>
      <c r="AB38" s="366"/>
      <c r="AC38" s="367"/>
      <c r="AD38" s="368"/>
      <c r="AE38" s="369"/>
      <c r="AF38" s="368"/>
      <c r="AG38" s="369"/>
      <c r="AH38" s="333"/>
      <c r="AI38" s="334"/>
      <c r="AJ38" s="334"/>
      <c r="AK38" s="334"/>
      <c r="AL38" s="334"/>
      <c r="AM38" s="334"/>
      <c r="AN38" s="334"/>
      <c r="AO38" s="334"/>
      <c r="AP38" s="334"/>
      <c r="AQ38" s="334"/>
      <c r="AR38" s="334"/>
      <c r="AS38" s="334"/>
      <c r="AT38" s="334"/>
      <c r="AU38" s="334"/>
      <c r="AV38" s="334"/>
      <c r="AW38" s="334"/>
      <c r="AX38" s="334"/>
      <c r="AY38" s="334"/>
      <c r="AZ38" s="334"/>
      <c r="BA38" s="335"/>
      <c r="BB38" s="334"/>
      <c r="BC38" s="334"/>
      <c r="BD38" s="334"/>
      <c r="BE38" s="334"/>
      <c r="BF38" s="334"/>
      <c r="BG38" s="43"/>
      <c r="BK38" s="52"/>
      <c r="BL38" s="52"/>
    </row>
    <row r="39" spans="1:64" ht="16.2" thickBot="1">
      <c r="A39" s="145"/>
      <c r="B39" s="145"/>
      <c r="C39" s="306"/>
      <c r="D39" s="145"/>
      <c r="E39" s="145"/>
      <c r="F39" s="145"/>
      <c r="G39" s="145"/>
      <c r="H39" s="145"/>
      <c r="I39" s="145"/>
      <c r="J39" s="145"/>
      <c r="K39" s="146"/>
      <c r="L39" s="145"/>
      <c r="M39" s="145"/>
      <c r="N39" s="145"/>
      <c r="O39" s="145"/>
      <c r="P39" s="145"/>
      <c r="Q39" s="145"/>
      <c r="R39" s="145"/>
      <c r="S39" s="145"/>
      <c r="T39" s="145"/>
      <c r="U39" s="677"/>
      <c r="V39" s="678"/>
      <c r="W39" s="677"/>
      <c r="X39" s="678"/>
      <c r="Y39" s="144"/>
      <c r="Z39" s="145"/>
      <c r="AA39" s="145"/>
      <c r="AB39" s="145"/>
      <c r="AC39" s="146"/>
      <c r="AD39" s="679"/>
      <c r="AE39" s="680"/>
      <c r="AF39" s="679"/>
      <c r="AG39" s="680"/>
      <c r="AH39" s="144"/>
      <c r="AI39" s="145"/>
      <c r="AJ39" s="145"/>
      <c r="AK39" s="145"/>
      <c r="AL39" s="145"/>
      <c r="AM39" s="145"/>
      <c r="AN39" s="145"/>
      <c r="AO39" s="145"/>
      <c r="AP39" s="145"/>
      <c r="AQ39" s="145"/>
      <c r="AR39" s="145"/>
      <c r="AS39" s="145"/>
      <c r="AT39" s="145"/>
      <c r="AU39" s="145"/>
      <c r="AV39" s="145"/>
      <c r="AW39" s="145"/>
      <c r="AX39" s="145"/>
      <c r="AY39" s="145"/>
      <c r="AZ39" s="145"/>
      <c r="BA39" s="146"/>
      <c r="BK39" s="120"/>
      <c r="BL39" s="52"/>
    </row>
    <row r="40" spans="1:64">
      <c r="BK40" s="51"/>
      <c r="BL40" s="51"/>
    </row>
    <row r="41" spans="1:64">
      <c r="BK41" s="51"/>
      <c r="BL41" s="51"/>
    </row>
    <row r="42" spans="1:64">
      <c r="BK42" s="51"/>
      <c r="BL42" s="51"/>
    </row>
    <row r="43" spans="1:64">
      <c r="BK43" s="51"/>
      <c r="BL43" s="51"/>
    </row>
    <row r="44" spans="1:64">
      <c r="BK44" s="51"/>
      <c r="BL44" s="51"/>
    </row>
    <row r="45" spans="1:64">
      <c r="BK45" s="51"/>
      <c r="BL45" s="51"/>
    </row>
    <row r="46" spans="1:64">
      <c r="BK46" s="51"/>
      <c r="BL46" s="51"/>
    </row>
    <row r="47" spans="1:64">
      <c r="BK47" s="51"/>
      <c r="BL47" s="51"/>
    </row>
    <row r="48" spans="1:64">
      <c r="BK48" s="51"/>
      <c r="BL48" s="51"/>
    </row>
    <row r="49" spans="63:64">
      <c r="BK49" s="51"/>
      <c r="BL49" s="51"/>
    </row>
    <row r="50" spans="63:64">
      <c r="BK50" s="51"/>
      <c r="BL50" s="51"/>
    </row>
    <row r="51" spans="63:64">
      <c r="BK51" s="51"/>
      <c r="BL51" s="51"/>
    </row>
  </sheetData>
  <mergeCells count="142">
    <mergeCell ref="U37:V37"/>
    <mergeCell ref="W37:X37"/>
    <mergeCell ref="A38:B38"/>
    <mergeCell ref="U38:V38"/>
    <mergeCell ref="W38:X38"/>
    <mergeCell ref="A31:B31"/>
    <mergeCell ref="U31:V31"/>
    <mergeCell ref="W31:X31"/>
    <mergeCell ref="A36:B36"/>
    <mergeCell ref="U36:V36"/>
    <mergeCell ref="W36:X36"/>
    <mergeCell ref="A32:B32"/>
    <mergeCell ref="U32:V32"/>
    <mergeCell ref="W32:X32"/>
    <mergeCell ref="A33:B33"/>
    <mergeCell ref="U33:V33"/>
    <mergeCell ref="W33:X33"/>
    <mergeCell ref="A34:B34"/>
    <mergeCell ref="U34:V34"/>
    <mergeCell ref="W34:X34"/>
    <mergeCell ref="A35:B35"/>
    <mergeCell ref="A25:B25"/>
    <mergeCell ref="U25:V25"/>
    <mergeCell ref="W25:X25"/>
    <mergeCell ref="A26:B26"/>
    <mergeCell ref="U26:V26"/>
    <mergeCell ref="W26:X26"/>
    <mergeCell ref="U39:V39"/>
    <mergeCell ref="W39:X39"/>
    <mergeCell ref="AD39:AE39"/>
    <mergeCell ref="A29:B29"/>
    <mergeCell ref="U29:V29"/>
    <mergeCell ref="W29:X29"/>
    <mergeCell ref="A30:B30"/>
    <mergeCell ref="U30:V30"/>
    <mergeCell ref="W30:X30"/>
    <mergeCell ref="A27:B27"/>
    <mergeCell ref="U27:V27"/>
    <mergeCell ref="W27:X27"/>
    <mergeCell ref="A28:B28"/>
    <mergeCell ref="U28:V28"/>
    <mergeCell ref="W28:X28"/>
    <mergeCell ref="U35:V35"/>
    <mergeCell ref="W35:X35"/>
    <mergeCell ref="A37:B37"/>
    <mergeCell ref="AF39:AG39"/>
    <mergeCell ref="A21:B21"/>
    <mergeCell ref="U21:V21"/>
    <mergeCell ref="W21:X21"/>
    <mergeCell ref="A22:B22"/>
    <mergeCell ref="U22:V22"/>
    <mergeCell ref="W22:X22"/>
    <mergeCell ref="A23:B23"/>
    <mergeCell ref="U23:V23"/>
    <mergeCell ref="W23:X23"/>
    <mergeCell ref="A24:B24"/>
    <mergeCell ref="U24:V24"/>
    <mergeCell ref="W24:X24"/>
    <mergeCell ref="AD25:AE25"/>
    <mergeCell ref="AF25:AG25"/>
    <mergeCell ref="AD26:AE26"/>
    <mergeCell ref="AF26:AG26"/>
    <mergeCell ref="AD27:AE27"/>
    <mergeCell ref="AF27:AG27"/>
    <mergeCell ref="AD28:AE28"/>
    <mergeCell ref="AF28:AG28"/>
    <mergeCell ref="AD29:AE29"/>
    <mergeCell ref="AF29:AG29"/>
    <mergeCell ref="AD30:AE30"/>
    <mergeCell ref="A19:B19"/>
    <mergeCell ref="U19:V19"/>
    <mergeCell ref="W19:X19"/>
    <mergeCell ref="A20:B20"/>
    <mergeCell ref="U20:V20"/>
    <mergeCell ref="W20:X20"/>
    <mergeCell ref="A17:B17"/>
    <mergeCell ref="U17:V17"/>
    <mergeCell ref="W17:X17"/>
    <mergeCell ref="A18:B18"/>
    <mergeCell ref="U18:V18"/>
    <mergeCell ref="W18:X18"/>
    <mergeCell ref="A15:B15"/>
    <mergeCell ref="U15:V15"/>
    <mergeCell ref="W15:X15"/>
    <mergeCell ref="A16:B16"/>
    <mergeCell ref="U16:V16"/>
    <mergeCell ref="W16:X16"/>
    <mergeCell ref="A13:B13"/>
    <mergeCell ref="U13:V13"/>
    <mergeCell ref="W13:X13"/>
    <mergeCell ref="A14:B14"/>
    <mergeCell ref="U14:V14"/>
    <mergeCell ref="W14:X14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W10:X10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D19:AE19"/>
    <mergeCell ref="AF19:AG19"/>
    <mergeCell ref="AD6:AE7"/>
    <mergeCell ref="AF6:AG7"/>
    <mergeCell ref="AH6:BA7"/>
    <mergeCell ref="BB6:BG7"/>
    <mergeCell ref="AF30:AG30"/>
    <mergeCell ref="AD31:AE31"/>
    <mergeCell ref="AF31:AG31"/>
    <mergeCell ref="AD32:AE32"/>
    <mergeCell ref="AF32:AG32"/>
    <mergeCell ref="AD20:AE20"/>
    <mergeCell ref="AF20:AG20"/>
    <mergeCell ref="AD21:AE21"/>
    <mergeCell ref="AF21:AG21"/>
    <mergeCell ref="AD22:AE22"/>
    <mergeCell ref="AF22:AG22"/>
    <mergeCell ref="AD23:AE23"/>
    <mergeCell ref="AF23:AG23"/>
    <mergeCell ref="AD24:AE24"/>
    <mergeCell ref="AF24:AG2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1"/>
  </sheetPr>
  <dimension ref="A1:BL68"/>
  <sheetViews>
    <sheetView zoomScale="85" zoomScaleNormal="85" workbookViewId="0">
      <selection activeCell="BL5" sqref="BL5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93" customWidth="1"/>
    <col min="31" max="33" width="2.6640625" style="193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95"/>
      <c r="B3" s="195"/>
      <c r="C3" s="5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86"/>
      <c r="AE3" s="186"/>
      <c r="AF3" s="186"/>
      <c r="AG3" s="186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1545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783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1321</v>
      </c>
      <c r="BL5" s="353" t="s">
        <v>739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1370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11" t="s">
        <v>16</v>
      </c>
      <c r="Z8" s="191"/>
      <c r="AA8" s="191"/>
      <c r="AB8" s="191"/>
      <c r="AC8" s="192"/>
      <c r="AD8" s="312">
        <v>100</v>
      </c>
      <c r="AE8" s="190"/>
      <c r="AF8" s="312">
        <v>0</v>
      </c>
      <c r="AG8" s="190"/>
      <c r="AH8" s="7" t="s">
        <v>1363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 t="s">
        <v>547</v>
      </c>
      <c r="BL8" s="51" t="s">
        <v>776</v>
      </c>
    </row>
    <row r="9" spans="1:64">
      <c r="A9" s="681">
        <v>2</v>
      </c>
      <c r="B9" s="682"/>
      <c r="C9" s="59" t="str">
        <f t="shared" ref="C9:C33" si="0">VLOOKUP(L9,$BK$7:$BL$64,2,FALSE)</f>
        <v>项目</v>
      </c>
      <c r="D9" s="334"/>
      <c r="E9" s="334"/>
      <c r="F9" s="334"/>
      <c r="G9" s="334"/>
      <c r="H9" s="334"/>
      <c r="I9" s="334"/>
      <c r="J9" s="334"/>
      <c r="K9" s="335"/>
      <c r="L9" s="313" t="s">
        <v>28</v>
      </c>
      <c r="M9" s="195"/>
      <c r="N9" s="195"/>
      <c r="O9" s="195"/>
      <c r="P9" s="195"/>
      <c r="Q9" s="195"/>
      <c r="R9" s="195"/>
      <c r="S9" s="195"/>
      <c r="T9" s="195"/>
      <c r="U9" s="683"/>
      <c r="V9" s="682"/>
      <c r="W9" s="684"/>
      <c r="X9" s="685"/>
      <c r="Y9" s="310" t="s">
        <v>16</v>
      </c>
      <c r="Z9" s="188"/>
      <c r="AA9" s="188"/>
      <c r="AB9" s="188"/>
      <c r="AC9" s="189"/>
      <c r="AD9" s="309">
        <v>100</v>
      </c>
      <c r="AE9" s="185"/>
      <c r="AF9" s="309">
        <v>0</v>
      </c>
      <c r="AG9" s="185"/>
      <c r="AH9" s="197"/>
      <c r="AI9" s="198"/>
      <c r="AJ9" s="195"/>
      <c r="AK9" s="195"/>
      <c r="AL9" s="195"/>
      <c r="AM9" s="195"/>
      <c r="AN9" s="195"/>
      <c r="AO9" s="195"/>
      <c r="AP9" s="195"/>
      <c r="AQ9" s="195"/>
      <c r="AR9" s="195"/>
      <c r="AS9" s="195"/>
      <c r="AT9" s="195"/>
      <c r="AU9" s="195"/>
      <c r="AV9" s="195"/>
      <c r="AW9" s="195"/>
      <c r="AX9" s="195"/>
      <c r="AY9" s="195"/>
      <c r="AZ9" s="195"/>
      <c r="BA9" s="196"/>
      <c r="BB9" s="195"/>
      <c r="BC9" s="195"/>
      <c r="BD9" s="195"/>
      <c r="BE9" s="195"/>
      <c r="BF9" s="195"/>
      <c r="BG9" s="43"/>
      <c r="BH9" s="36"/>
      <c r="BK9" s="51" t="s">
        <v>31</v>
      </c>
      <c r="BL9" s="52" t="s">
        <v>31</v>
      </c>
    </row>
    <row r="10" spans="1:64">
      <c r="A10" s="681">
        <v>3</v>
      </c>
      <c r="B10" s="682"/>
      <c r="C10" s="59" t="str">
        <f t="shared" si="0"/>
        <v>项目</v>
      </c>
      <c r="D10" s="331"/>
      <c r="E10" s="331"/>
      <c r="F10" s="331"/>
      <c r="G10" s="331"/>
      <c r="H10" s="331"/>
      <c r="I10" s="331"/>
      <c r="J10" s="331"/>
      <c r="K10" s="332"/>
      <c r="L10" s="1" t="s">
        <v>547</v>
      </c>
      <c r="M10" s="198"/>
      <c r="N10" s="198"/>
      <c r="O10" s="198"/>
      <c r="P10" s="198"/>
      <c r="Q10" s="198"/>
      <c r="R10" s="198"/>
      <c r="S10" s="198"/>
      <c r="T10" s="198"/>
      <c r="U10" s="692"/>
      <c r="V10" s="693"/>
      <c r="W10" s="694"/>
      <c r="X10" s="695"/>
      <c r="Y10" s="310" t="s">
        <v>16</v>
      </c>
      <c r="Z10" s="188"/>
      <c r="AA10" s="188"/>
      <c r="AB10" s="188"/>
      <c r="AC10" s="189"/>
      <c r="AD10" s="309">
        <v>100</v>
      </c>
      <c r="AE10" s="185"/>
      <c r="AF10" s="309">
        <v>0</v>
      </c>
      <c r="AG10" s="185"/>
      <c r="AH10" s="197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9"/>
      <c r="BB10" s="195"/>
      <c r="BC10" s="195"/>
      <c r="BD10" s="195"/>
      <c r="BE10" s="195"/>
      <c r="BF10" s="195"/>
      <c r="BG10" s="43"/>
      <c r="BH10" s="36"/>
      <c r="BK10" s="52" t="s">
        <v>771</v>
      </c>
      <c r="BL10" s="51" t="s">
        <v>777</v>
      </c>
    </row>
    <row r="11" spans="1:64">
      <c r="A11" s="681">
        <v>4</v>
      </c>
      <c r="B11" s="682"/>
      <c r="C11" s="386" t="s">
        <v>1532</v>
      </c>
      <c r="D11" s="390"/>
      <c r="E11" s="390"/>
      <c r="F11" s="390"/>
      <c r="G11" s="390"/>
      <c r="H11" s="390"/>
      <c r="I11" s="390"/>
      <c r="J11" s="390"/>
      <c r="K11" s="391"/>
      <c r="L11" s="1" t="s">
        <v>1397</v>
      </c>
      <c r="M11" s="198"/>
      <c r="N11" s="198"/>
      <c r="O11" s="198"/>
      <c r="P11" s="198"/>
      <c r="Q11" s="198"/>
      <c r="R11" s="198"/>
      <c r="S11" s="198"/>
      <c r="T11" s="198"/>
      <c r="U11" s="692"/>
      <c r="V11" s="693"/>
      <c r="W11" s="694"/>
      <c r="X11" s="695"/>
      <c r="Y11" s="310" t="s">
        <v>16</v>
      </c>
      <c r="Z11" s="188"/>
      <c r="AA11" s="188"/>
      <c r="AB11" s="188"/>
      <c r="AC11" s="189"/>
      <c r="AD11" s="309">
        <v>100</v>
      </c>
      <c r="AE11" s="185"/>
      <c r="AF11" s="309">
        <v>0</v>
      </c>
      <c r="AG11" s="185"/>
      <c r="AH11" s="197" t="s">
        <v>1531</v>
      </c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6"/>
      <c r="BB11" s="48"/>
      <c r="BC11" s="48"/>
      <c r="BD11" s="48"/>
      <c r="BE11" s="48"/>
      <c r="BF11" s="48"/>
      <c r="BG11" s="49"/>
      <c r="BK11" s="51" t="s">
        <v>538</v>
      </c>
      <c r="BL11" s="51" t="s">
        <v>544</v>
      </c>
    </row>
    <row r="12" spans="1:64">
      <c r="A12" s="681">
        <v>5</v>
      </c>
      <c r="B12" s="682"/>
      <c r="C12" s="59" t="str">
        <f t="shared" si="0"/>
        <v>协作队伍</v>
      </c>
      <c r="D12" s="331"/>
      <c r="E12" s="331"/>
      <c r="F12" s="331"/>
      <c r="G12" s="331"/>
      <c r="H12" s="331"/>
      <c r="I12" s="331"/>
      <c r="J12" s="331"/>
      <c r="K12" s="332"/>
      <c r="L12" s="1" t="s">
        <v>769</v>
      </c>
      <c r="M12" s="198"/>
      <c r="N12" s="198"/>
      <c r="O12" s="198"/>
      <c r="P12" s="198"/>
      <c r="Q12" s="198"/>
      <c r="R12" s="198"/>
      <c r="S12" s="198"/>
      <c r="T12" s="198"/>
      <c r="U12" s="692"/>
      <c r="V12" s="693"/>
      <c r="W12" s="694"/>
      <c r="X12" s="695"/>
      <c r="Y12" s="310" t="s">
        <v>16</v>
      </c>
      <c r="Z12" s="188"/>
      <c r="AA12" s="188"/>
      <c r="AB12" s="188"/>
      <c r="AC12" s="189"/>
      <c r="AD12" s="309">
        <v>100</v>
      </c>
      <c r="AE12" s="185"/>
      <c r="AF12" s="309">
        <v>0</v>
      </c>
      <c r="AG12" s="185"/>
      <c r="AH12" s="197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6"/>
      <c r="BB12" s="195"/>
      <c r="BC12" s="195"/>
      <c r="BD12" s="195"/>
      <c r="BE12" s="195"/>
      <c r="BF12" s="195"/>
      <c r="BG12" s="43"/>
      <c r="BK12" s="51" t="s">
        <v>27</v>
      </c>
      <c r="BL12" s="51" t="s">
        <v>542</v>
      </c>
    </row>
    <row r="13" spans="1:64">
      <c r="A13" s="681">
        <v>6</v>
      </c>
      <c r="B13" s="682"/>
      <c r="C13" s="59" t="str">
        <f t="shared" si="0"/>
        <v>编号</v>
      </c>
      <c r="D13" s="198"/>
      <c r="E13" s="198"/>
      <c r="F13" s="198"/>
      <c r="G13" s="198"/>
      <c r="H13" s="198"/>
      <c r="I13" s="198"/>
      <c r="J13" s="198"/>
      <c r="K13" s="199"/>
      <c r="L13" s="1" t="s">
        <v>770</v>
      </c>
      <c r="M13" s="198"/>
      <c r="N13" s="198"/>
      <c r="O13" s="198"/>
      <c r="P13" s="198"/>
      <c r="Q13" s="198"/>
      <c r="R13" s="198"/>
      <c r="S13" s="198"/>
      <c r="T13" s="198"/>
      <c r="U13" s="692"/>
      <c r="V13" s="693"/>
      <c r="W13" s="694"/>
      <c r="X13" s="695"/>
      <c r="Y13" s="310" t="s">
        <v>16</v>
      </c>
      <c r="Z13" s="188"/>
      <c r="AA13" s="188"/>
      <c r="AB13" s="188"/>
      <c r="AC13" s="189"/>
      <c r="AD13" s="309">
        <v>16</v>
      </c>
      <c r="AE13" s="185"/>
      <c r="AF13" s="309">
        <v>0</v>
      </c>
      <c r="AG13" s="185"/>
      <c r="AH13" s="197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6"/>
      <c r="BB13" s="195"/>
      <c r="BC13" s="195"/>
      <c r="BD13" s="195"/>
      <c r="BE13" s="195"/>
      <c r="BF13" s="195"/>
      <c r="BG13" s="43"/>
      <c r="BK13" s="51" t="s">
        <v>39</v>
      </c>
      <c r="BL13" s="51" t="s">
        <v>778</v>
      </c>
    </row>
    <row r="14" spans="1:64">
      <c r="A14" s="681">
        <v>7</v>
      </c>
      <c r="B14" s="682"/>
      <c r="C14" s="59" t="str">
        <f t="shared" si="0"/>
        <v>协作清单书名称</v>
      </c>
      <c r="D14" s="198"/>
      <c r="E14" s="198"/>
      <c r="F14" s="198"/>
      <c r="G14" s="198"/>
      <c r="H14" s="198"/>
      <c r="I14" s="198"/>
      <c r="J14" s="198"/>
      <c r="K14" s="199"/>
      <c r="L14" s="1" t="s">
        <v>771</v>
      </c>
      <c r="M14" s="198"/>
      <c r="N14" s="198"/>
      <c r="O14" s="198"/>
      <c r="P14" s="198"/>
      <c r="Q14" s="198"/>
      <c r="R14" s="198"/>
      <c r="S14" s="198"/>
      <c r="T14" s="198"/>
      <c r="U14" s="692"/>
      <c r="V14" s="693"/>
      <c r="W14" s="694"/>
      <c r="X14" s="695"/>
      <c r="Y14" s="310" t="s">
        <v>16</v>
      </c>
      <c r="Z14" s="188"/>
      <c r="AA14" s="188"/>
      <c r="AB14" s="188"/>
      <c r="AC14" s="189"/>
      <c r="AD14" s="309">
        <v>64</v>
      </c>
      <c r="AE14" s="185"/>
      <c r="AF14" s="309">
        <v>0</v>
      </c>
      <c r="AG14" s="185"/>
      <c r="AH14" s="197"/>
      <c r="AI14" s="195"/>
      <c r="AJ14" s="195"/>
      <c r="AK14" s="195"/>
      <c r="AL14" s="195"/>
      <c r="AM14" s="195"/>
      <c r="AN14" s="195"/>
      <c r="AO14" s="195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BA14" s="196"/>
      <c r="BB14" s="195"/>
      <c r="BC14" s="195"/>
      <c r="BD14" s="195"/>
      <c r="BE14" s="195"/>
      <c r="BF14" s="195"/>
      <c r="BG14" s="43"/>
      <c r="BK14" s="51" t="s">
        <v>773</v>
      </c>
      <c r="BL14" s="51" t="s">
        <v>779</v>
      </c>
    </row>
    <row r="15" spans="1:64">
      <c r="A15" s="681">
        <v>8</v>
      </c>
      <c r="B15" s="682"/>
      <c r="C15" s="59" t="str">
        <f t="shared" si="0"/>
        <v>编制人</v>
      </c>
      <c r="D15" s="198"/>
      <c r="E15" s="198"/>
      <c r="F15" s="198"/>
      <c r="G15" s="198"/>
      <c r="H15" s="198"/>
      <c r="I15" s="198"/>
      <c r="J15" s="198"/>
      <c r="K15" s="199"/>
      <c r="L15" s="1" t="s">
        <v>535</v>
      </c>
      <c r="M15" s="198"/>
      <c r="N15" s="198"/>
      <c r="O15" s="198"/>
      <c r="P15" s="198"/>
      <c r="Q15" s="198"/>
      <c r="R15" s="198"/>
      <c r="S15" s="198"/>
      <c r="T15" s="198"/>
      <c r="U15" s="692"/>
      <c r="V15" s="693"/>
      <c r="W15" s="694"/>
      <c r="X15" s="695"/>
      <c r="Y15" s="310" t="s">
        <v>16</v>
      </c>
      <c r="Z15" s="188"/>
      <c r="AA15" s="188"/>
      <c r="AB15" s="188"/>
      <c r="AC15" s="189"/>
      <c r="AD15" s="309">
        <v>64</v>
      </c>
      <c r="AE15" s="185"/>
      <c r="AF15" s="309">
        <v>0</v>
      </c>
      <c r="AG15" s="185"/>
      <c r="AH15" s="197"/>
      <c r="AI15" s="195"/>
      <c r="AJ15" s="195"/>
      <c r="AK15" s="195"/>
      <c r="AL15" s="195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6"/>
      <c r="BB15" s="195"/>
      <c r="BC15" s="195"/>
      <c r="BD15" s="195"/>
      <c r="BE15" s="195"/>
      <c r="BF15" s="195"/>
      <c r="BG15" s="43"/>
      <c r="BK15" s="51" t="s">
        <v>540</v>
      </c>
      <c r="BL15" s="51" t="s">
        <v>543</v>
      </c>
    </row>
    <row r="16" spans="1:64">
      <c r="A16" s="681">
        <v>9</v>
      </c>
      <c r="B16" s="682"/>
      <c r="C16" s="59" t="str">
        <f t="shared" si="0"/>
        <v>编制日期</v>
      </c>
      <c r="D16" s="198"/>
      <c r="E16" s="198"/>
      <c r="F16" s="198"/>
      <c r="G16" s="198"/>
      <c r="H16" s="198"/>
      <c r="I16" s="198"/>
      <c r="J16" s="198"/>
      <c r="K16" s="199"/>
      <c r="L16" s="1" t="s">
        <v>536</v>
      </c>
      <c r="M16" s="198"/>
      <c r="N16" s="198"/>
      <c r="O16" s="198"/>
      <c r="P16" s="198"/>
      <c r="Q16" s="198"/>
      <c r="R16" s="198"/>
      <c r="S16" s="198"/>
      <c r="T16" s="198"/>
      <c r="U16" s="692"/>
      <c r="V16" s="693"/>
      <c r="W16" s="694"/>
      <c r="X16" s="695"/>
      <c r="Y16" s="310" t="s">
        <v>17</v>
      </c>
      <c r="Z16" s="188"/>
      <c r="AA16" s="188"/>
      <c r="AB16" s="188"/>
      <c r="AC16" s="189"/>
      <c r="AD16" s="309"/>
      <c r="AE16" s="185"/>
      <c r="AF16" s="309"/>
      <c r="AG16" s="185"/>
      <c r="AH16" s="197" t="s">
        <v>1306</v>
      </c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6"/>
      <c r="BB16" s="195"/>
      <c r="BC16" s="195"/>
      <c r="BD16" s="195"/>
      <c r="BE16" s="195"/>
      <c r="BF16" s="195"/>
      <c r="BG16" s="43"/>
      <c r="BK16" s="51" t="s">
        <v>774</v>
      </c>
      <c r="BL16" s="51" t="s">
        <v>780</v>
      </c>
    </row>
    <row r="17" spans="1:64">
      <c r="A17" s="681">
        <v>10</v>
      </c>
      <c r="B17" s="682"/>
      <c r="C17" s="59" t="str">
        <f t="shared" si="0"/>
        <v>审核人</v>
      </c>
      <c r="D17" s="195"/>
      <c r="E17" s="195"/>
      <c r="F17" s="195"/>
      <c r="G17" s="195"/>
      <c r="H17" s="195"/>
      <c r="I17" s="195"/>
      <c r="J17" s="195"/>
      <c r="K17" s="196"/>
      <c r="L17" s="36" t="s">
        <v>537</v>
      </c>
      <c r="M17" s="195"/>
      <c r="N17" s="195"/>
      <c r="O17" s="195"/>
      <c r="P17" s="195"/>
      <c r="Q17" s="195"/>
      <c r="R17" s="195"/>
      <c r="S17" s="195"/>
      <c r="T17" s="195"/>
      <c r="U17" s="683"/>
      <c r="V17" s="682"/>
      <c r="W17" s="684"/>
      <c r="X17" s="685"/>
      <c r="Y17" s="308" t="s">
        <v>16</v>
      </c>
      <c r="Z17" s="182"/>
      <c r="AA17" s="182"/>
      <c r="AB17" s="182"/>
      <c r="AC17" s="183"/>
      <c r="AD17" s="309">
        <v>64</v>
      </c>
      <c r="AE17" s="185"/>
      <c r="AF17" s="309">
        <v>0</v>
      </c>
      <c r="AG17" s="185"/>
      <c r="AH17" s="194"/>
      <c r="AI17" s="195"/>
      <c r="AJ17" s="195"/>
      <c r="AK17" s="195"/>
      <c r="AL17" s="195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6"/>
      <c r="BB17" s="195"/>
      <c r="BC17" s="195"/>
      <c r="BD17" s="195"/>
      <c r="BE17" s="195"/>
      <c r="BF17" s="195"/>
      <c r="BG17" s="43"/>
      <c r="BK17" s="51" t="s">
        <v>29</v>
      </c>
      <c r="BL17" s="51" t="s">
        <v>49</v>
      </c>
    </row>
    <row r="18" spans="1:64">
      <c r="A18" s="681">
        <v>11</v>
      </c>
      <c r="B18" s="682"/>
      <c r="C18" s="59" t="str">
        <f t="shared" si="0"/>
        <v>审核日期</v>
      </c>
      <c r="D18" s="195"/>
      <c r="E18" s="195"/>
      <c r="F18" s="195"/>
      <c r="G18" s="195"/>
      <c r="H18" s="195"/>
      <c r="I18" s="195"/>
      <c r="J18" s="195"/>
      <c r="K18" s="196"/>
      <c r="L18" s="36" t="s">
        <v>538</v>
      </c>
      <c r="M18" s="195"/>
      <c r="N18" s="195"/>
      <c r="O18" s="195"/>
      <c r="P18" s="195"/>
      <c r="Q18" s="195"/>
      <c r="R18" s="195"/>
      <c r="S18" s="195"/>
      <c r="T18" s="195"/>
      <c r="U18" s="683"/>
      <c r="V18" s="682"/>
      <c r="W18" s="684"/>
      <c r="X18" s="685"/>
      <c r="Y18" s="308" t="s">
        <v>17</v>
      </c>
      <c r="Z18" s="182"/>
      <c r="AA18" s="182"/>
      <c r="AB18" s="182"/>
      <c r="AC18" s="183"/>
      <c r="AD18" s="309"/>
      <c r="AE18" s="185"/>
      <c r="AF18" s="309"/>
      <c r="AG18" s="185"/>
      <c r="AH18" s="330" t="s">
        <v>1317</v>
      </c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6"/>
      <c r="BB18" s="195"/>
      <c r="BC18" s="195"/>
      <c r="BD18" s="195"/>
      <c r="BE18" s="195"/>
      <c r="BF18" s="195"/>
      <c r="BG18" s="43"/>
      <c r="BK18" s="51" t="s">
        <v>775</v>
      </c>
      <c r="BL18" s="51" t="s">
        <v>781</v>
      </c>
    </row>
    <row r="19" spans="1:64">
      <c r="A19" s="681">
        <v>12</v>
      </c>
      <c r="B19" s="682"/>
      <c r="C19" s="59" t="str">
        <f t="shared" si="0"/>
        <v>审核意见</v>
      </c>
      <c r="D19" s="195"/>
      <c r="E19" s="195"/>
      <c r="F19" s="195"/>
      <c r="G19" s="195"/>
      <c r="H19" s="195"/>
      <c r="I19" s="195"/>
      <c r="J19" s="195"/>
      <c r="K19" s="196"/>
      <c r="L19" s="36" t="s">
        <v>772</v>
      </c>
      <c r="M19" s="195"/>
      <c r="N19" s="195"/>
      <c r="O19" s="195"/>
      <c r="P19" s="195"/>
      <c r="Q19" s="195"/>
      <c r="R19" s="195"/>
      <c r="S19" s="195"/>
      <c r="T19" s="195"/>
      <c r="U19" s="683"/>
      <c r="V19" s="682"/>
      <c r="W19" s="684"/>
      <c r="X19" s="685"/>
      <c r="Y19" s="308" t="s">
        <v>16</v>
      </c>
      <c r="Z19" s="182"/>
      <c r="AA19" s="182"/>
      <c r="AB19" s="182"/>
      <c r="AC19" s="183"/>
      <c r="AD19" s="309">
        <v>1024</v>
      </c>
      <c r="AE19" s="185"/>
      <c r="AF19" s="309">
        <v>0</v>
      </c>
      <c r="AG19" s="185"/>
      <c r="AH19" s="194"/>
      <c r="AI19" s="195"/>
      <c r="AJ19" s="195"/>
      <c r="AK19" s="195"/>
      <c r="AL19" s="195"/>
      <c r="AM19" s="195"/>
      <c r="AN19" s="195"/>
      <c r="AO19" s="195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BA19" s="196"/>
      <c r="BB19" s="195"/>
      <c r="BC19" s="195"/>
      <c r="BD19" s="195"/>
      <c r="BE19" s="195"/>
      <c r="BF19" s="195"/>
      <c r="BG19" s="43"/>
      <c r="BK19" s="51" t="s">
        <v>66</v>
      </c>
      <c r="BL19" s="51" t="s">
        <v>618</v>
      </c>
    </row>
    <row r="20" spans="1:64">
      <c r="A20" s="681">
        <v>13</v>
      </c>
      <c r="B20" s="682"/>
      <c r="C20" s="59" t="str">
        <f t="shared" si="0"/>
        <v>审核状态</v>
      </c>
      <c r="D20" s="195"/>
      <c r="E20" s="195"/>
      <c r="F20" s="195"/>
      <c r="G20" s="195"/>
      <c r="H20" s="195"/>
      <c r="I20" s="195"/>
      <c r="J20" s="195"/>
      <c r="K20" s="196"/>
      <c r="L20" s="36" t="s">
        <v>66</v>
      </c>
      <c r="M20" s="195"/>
      <c r="N20" s="195"/>
      <c r="O20" s="195"/>
      <c r="P20" s="195"/>
      <c r="Q20" s="195"/>
      <c r="R20" s="195"/>
      <c r="S20" s="195"/>
      <c r="T20" s="195"/>
      <c r="U20" s="683"/>
      <c r="V20" s="682"/>
      <c r="W20" s="684"/>
      <c r="X20" s="685"/>
      <c r="Y20" s="308" t="s">
        <v>16</v>
      </c>
      <c r="Z20" s="182"/>
      <c r="AA20" s="182"/>
      <c r="AB20" s="182"/>
      <c r="AC20" s="183"/>
      <c r="AD20" s="309">
        <v>16</v>
      </c>
      <c r="AE20" s="185"/>
      <c r="AF20" s="309">
        <v>0</v>
      </c>
      <c r="AG20" s="185"/>
      <c r="AH20" s="194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6"/>
      <c r="BB20" s="195"/>
      <c r="BC20" s="195"/>
      <c r="BD20" s="195"/>
      <c r="BE20" s="195"/>
      <c r="BF20" s="195"/>
      <c r="BG20" s="43"/>
      <c r="BK20" s="51" t="s">
        <v>772</v>
      </c>
      <c r="BL20" s="51" t="s">
        <v>782</v>
      </c>
    </row>
    <row r="21" spans="1:64">
      <c r="A21" s="681">
        <v>14</v>
      </c>
      <c r="B21" s="682"/>
      <c r="C21" s="59" t="str">
        <f t="shared" si="0"/>
        <v>备注</v>
      </c>
      <c r="D21" s="195"/>
      <c r="E21" s="195"/>
      <c r="F21" s="195"/>
      <c r="G21" s="195"/>
      <c r="H21" s="195"/>
      <c r="I21" s="195"/>
      <c r="J21" s="195"/>
      <c r="K21" s="196"/>
      <c r="L21" s="36" t="s">
        <v>29</v>
      </c>
      <c r="M21" s="195"/>
      <c r="N21" s="195"/>
      <c r="O21" s="195"/>
      <c r="P21" s="195"/>
      <c r="Q21" s="195"/>
      <c r="R21" s="195"/>
      <c r="S21" s="195"/>
      <c r="T21" s="195"/>
      <c r="U21" s="683"/>
      <c r="V21" s="682"/>
      <c r="W21" s="684"/>
      <c r="X21" s="685"/>
      <c r="Y21" s="308" t="s">
        <v>16</v>
      </c>
      <c r="Z21" s="182"/>
      <c r="AA21" s="182"/>
      <c r="AB21" s="182"/>
      <c r="AC21" s="183"/>
      <c r="AD21" s="309">
        <v>1024</v>
      </c>
      <c r="AE21" s="185"/>
      <c r="AF21" s="309">
        <v>0</v>
      </c>
      <c r="AG21" s="185"/>
      <c r="AH21" s="194"/>
      <c r="AI21" s="195"/>
      <c r="AJ21" s="195"/>
      <c r="AK21" s="195"/>
      <c r="AL21" s="195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6"/>
      <c r="BB21" s="195"/>
      <c r="BC21" s="195"/>
      <c r="BD21" s="195"/>
      <c r="BE21" s="195"/>
      <c r="BF21" s="195"/>
      <c r="BG21" s="43"/>
      <c r="BK21" s="51" t="s">
        <v>537</v>
      </c>
      <c r="BL21" s="51" t="s">
        <v>546</v>
      </c>
    </row>
    <row r="22" spans="1:64">
      <c r="A22" s="681">
        <v>15</v>
      </c>
      <c r="B22" s="682"/>
      <c r="C22" s="59" t="str">
        <f t="shared" si="0"/>
        <v>废弃字段</v>
      </c>
      <c r="D22" s="195"/>
      <c r="E22" s="195"/>
      <c r="F22" s="195"/>
      <c r="G22" s="195"/>
      <c r="H22" s="195"/>
      <c r="I22" s="195"/>
      <c r="J22" s="195"/>
      <c r="K22" s="196"/>
      <c r="L22" s="36" t="s">
        <v>41</v>
      </c>
      <c r="M22" s="195"/>
      <c r="N22" s="195"/>
      <c r="O22" s="195"/>
      <c r="P22" s="195"/>
      <c r="Q22" s="195"/>
      <c r="R22" s="195"/>
      <c r="S22" s="195"/>
      <c r="T22" s="195"/>
      <c r="U22" s="683"/>
      <c r="V22" s="682"/>
      <c r="W22" s="684"/>
      <c r="X22" s="685"/>
      <c r="Y22" s="308" t="s">
        <v>16</v>
      </c>
      <c r="Z22" s="182"/>
      <c r="AA22" s="182"/>
      <c r="AB22" s="182"/>
      <c r="AC22" s="183"/>
      <c r="AD22" s="309">
        <v>1024</v>
      </c>
      <c r="AE22" s="185"/>
      <c r="AF22" s="309">
        <v>0</v>
      </c>
      <c r="AG22" s="185"/>
      <c r="AH22" s="194"/>
      <c r="AI22" s="195"/>
      <c r="AJ22" s="195"/>
      <c r="AK22" s="195"/>
      <c r="AL22" s="195"/>
      <c r="AM22" s="195"/>
      <c r="AN22" s="195"/>
      <c r="AO22" s="195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BA22" s="196"/>
      <c r="BB22" s="195"/>
      <c r="BC22" s="195"/>
      <c r="BD22" s="195"/>
      <c r="BE22" s="195"/>
      <c r="BF22" s="195"/>
      <c r="BG22" s="43"/>
      <c r="BK22" s="101" t="s">
        <v>28</v>
      </c>
      <c r="BL22" s="51" t="s">
        <v>776</v>
      </c>
    </row>
    <row r="23" spans="1:64">
      <c r="A23" s="681">
        <v>16</v>
      </c>
      <c r="B23" s="682"/>
      <c r="C23" s="59" t="str">
        <f t="shared" si="0"/>
        <v>pp1</v>
      </c>
      <c r="D23" s="195"/>
      <c r="E23" s="195"/>
      <c r="F23" s="195"/>
      <c r="G23" s="195"/>
      <c r="H23" s="195"/>
      <c r="I23" s="195"/>
      <c r="J23" s="195"/>
      <c r="K23" s="196"/>
      <c r="L23" s="36" t="s">
        <v>36</v>
      </c>
      <c r="M23" s="195"/>
      <c r="N23" s="195"/>
      <c r="O23" s="195"/>
      <c r="P23" s="195"/>
      <c r="Q23" s="195"/>
      <c r="R23" s="195"/>
      <c r="S23" s="195"/>
      <c r="T23" s="195"/>
      <c r="U23" s="683"/>
      <c r="V23" s="682"/>
      <c r="W23" s="684"/>
      <c r="X23" s="685"/>
      <c r="Y23" s="308" t="s">
        <v>16</v>
      </c>
      <c r="Z23" s="182"/>
      <c r="AA23" s="182"/>
      <c r="AB23" s="182"/>
      <c r="AC23" s="183"/>
      <c r="AD23" s="309">
        <v>64</v>
      </c>
      <c r="AE23" s="185"/>
      <c r="AF23" s="309">
        <v>0</v>
      </c>
      <c r="AG23" s="185"/>
      <c r="AH23" s="194"/>
      <c r="AI23" s="195"/>
      <c r="AJ23" s="195"/>
      <c r="AK23" s="195"/>
      <c r="AL23" s="195"/>
      <c r="AM23" s="195"/>
      <c r="AN23" s="195"/>
      <c r="AO23" s="195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BA23" s="196"/>
      <c r="BB23" s="195"/>
      <c r="BC23" s="195"/>
      <c r="BD23" s="195"/>
      <c r="BE23" s="195"/>
      <c r="BF23" s="195"/>
      <c r="BG23" s="43"/>
      <c r="BK23" s="51" t="s">
        <v>769</v>
      </c>
      <c r="BL23" s="51" t="s">
        <v>779</v>
      </c>
    </row>
    <row r="24" spans="1:64">
      <c r="A24" s="681">
        <v>17</v>
      </c>
      <c r="B24" s="682"/>
      <c r="C24" s="59" t="str">
        <f t="shared" si="0"/>
        <v>pp2</v>
      </c>
      <c r="D24" s="195"/>
      <c r="E24" s="195"/>
      <c r="F24" s="195"/>
      <c r="G24" s="195"/>
      <c r="H24" s="195"/>
      <c r="I24" s="195"/>
      <c r="J24" s="195"/>
      <c r="K24" s="196"/>
      <c r="L24" s="36" t="s">
        <v>67</v>
      </c>
      <c r="M24" s="195"/>
      <c r="N24" s="195"/>
      <c r="O24" s="195"/>
      <c r="P24" s="195"/>
      <c r="Q24" s="195"/>
      <c r="R24" s="195"/>
      <c r="S24" s="195"/>
      <c r="T24" s="195"/>
      <c r="U24" s="683"/>
      <c r="V24" s="682"/>
      <c r="W24" s="684"/>
      <c r="X24" s="685"/>
      <c r="Y24" s="308" t="s">
        <v>16</v>
      </c>
      <c r="Z24" s="182"/>
      <c r="AA24" s="182"/>
      <c r="AB24" s="182"/>
      <c r="AC24" s="183"/>
      <c r="AD24" s="309">
        <v>64</v>
      </c>
      <c r="AE24" s="185"/>
      <c r="AF24" s="309">
        <v>0</v>
      </c>
      <c r="AG24" s="185"/>
      <c r="AH24" s="194"/>
      <c r="AI24" s="195"/>
      <c r="AJ24" s="195"/>
      <c r="AK24" s="195"/>
      <c r="AL24" s="195"/>
      <c r="AM24" s="195"/>
      <c r="AN24" s="195"/>
      <c r="AO24" s="195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BA24" s="196"/>
      <c r="BB24" s="195"/>
      <c r="BC24" s="195"/>
      <c r="BD24" s="195"/>
      <c r="BE24" s="195"/>
      <c r="BF24" s="195"/>
      <c r="BG24" s="43"/>
      <c r="BK24" s="51" t="s">
        <v>536</v>
      </c>
      <c r="BL24" s="51" t="s">
        <v>545</v>
      </c>
    </row>
    <row r="25" spans="1:64">
      <c r="A25" s="681">
        <v>18</v>
      </c>
      <c r="B25" s="682"/>
      <c r="C25" s="59" t="str">
        <f t="shared" si="0"/>
        <v>pp3</v>
      </c>
      <c r="D25" s="195"/>
      <c r="E25" s="195"/>
      <c r="F25" s="195"/>
      <c r="G25" s="195"/>
      <c r="H25" s="195"/>
      <c r="I25" s="195"/>
      <c r="J25" s="195"/>
      <c r="K25" s="196"/>
      <c r="L25" s="36" t="s">
        <v>68</v>
      </c>
      <c r="M25" s="195"/>
      <c r="N25" s="195"/>
      <c r="O25" s="195"/>
      <c r="P25" s="195"/>
      <c r="Q25" s="195"/>
      <c r="R25" s="195"/>
      <c r="S25" s="195"/>
      <c r="T25" s="195"/>
      <c r="U25" s="683"/>
      <c r="V25" s="682"/>
      <c r="W25" s="684"/>
      <c r="X25" s="685"/>
      <c r="Y25" s="308" t="s">
        <v>16</v>
      </c>
      <c r="Z25" s="182"/>
      <c r="AA25" s="182"/>
      <c r="AB25" s="182"/>
      <c r="AC25" s="183"/>
      <c r="AD25" s="309">
        <v>64</v>
      </c>
      <c r="AE25" s="185"/>
      <c r="AF25" s="309">
        <v>0</v>
      </c>
      <c r="AG25" s="185"/>
      <c r="AH25" s="194"/>
      <c r="AI25" s="195"/>
      <c r="AJ25" s="195"/>
      <c r="AK25" s="195"/>
      <c r="AL25" s="195"/>
      <c r="AM25" s="195"/>
      <c r="AN25" s="195"/>
      <c r="AO25" s="195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BA25" s="196"/>
      <c r="BB25" s="195"/>
      <c r="BC25" s="195"/>
      <c r="BD25" s="195"/>
      <c r="BE25" s="195"/>
      <c r="BF25" s="195"/>
      <c r="BG25" s="43"/>
      <c r="BK25" s="51" t="s">
        <v>314</v>
      </c>
      <c r="BL25" s="51" t="s">
        <v>778</v>
      </c>
    </row>
    <row r="26" spans="1:64">
      <c r="A26" s="681">
        <v>19</v>
      </c>
      <c r="B26" s="682"/>
      <c r="C26" s="59" t="str">
        <f t="shared" si="0"/>
        <v>pp4</v>
      </c>
      <c r="D26" s="195"/>
      <c r="E26" s="195"/>
      <c r="F26" s="195"/>
      <c r="G26" s="195"/>
      <c r="H26" s="195"/>
      <c r="I26" s="195"/>
      <c r="J26" s="195"/>
      <c r="K26" s="196"/>
      <c r="L26" s="36" t="s">
        <v>44</v>
      </c>
      <c r="M26" s="195"/>
      <c r="N26" s="195"/>
      <c r="O26" s="195"/>
      <c r="P26" s="195"/>
      <c r="Q26" s="195"/>
      <c r="R26" s="195"/>
      <c r="S26" s="195"/>
      <c r="T26" s="195"/>
      <c r="U26" s="683"/>
      <c r="V26" s="682"/>
      <c r="W26" s="684"/>
      <c r="X26" s="685"/>
      <c r="Y26" s="308" t="s">
        <v>16</v>
      </c>
      <c r="Z26" s="182"/>
      <c r="AA26" s="182"/>
      <c r="AB26" s="182"/>
      <c r="AC26" s="183"/>
      <c r="AD26" s="309">
        <v>64</v>
      </c>
      <c r="AE26" s="185"/>
      <c r="AF26" s="309">
        <v>0</v>
      </c>
      <c r="AG26" s="185"/>
      <c r="AH26" s="194"/>
      <c r="AI26" s="195"/>
      <c r="AJ26" s="195"/>
      <c r="AK26" s="195"/>
      <c r="AL26" s="195"/>
      <c r="AM26" s="195"/>
      <c r="AN26" s="195"/>
      <c r="AO26" s="195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BA26" s="196"/>
      <c r="BB26" s="195"/>
      <c r="BC26" s="195"/>
      <c r="BD26" s="195"/>
      <c r="BE26" s="195"/>
      <c r="BF26" s="195"/>
      <c r="BG26" s="43"/>
      <c r="BK26" s="51" t="s">
        <v>535</v>
      </c>
      <c r="BL26" s="51" t="s">
        <v>541</v>
      </c>
    </row>
    <row r="27" spans="1:64">
      <c r="A27" s="681">
        <v>20</v>
      </c>
      <c r="B27" s="682"/>
      <c r="C27" s="59" t="str">
        <f t="shared" si="0"/>
        <v>pp5</v>
      </c>
      <c r="D27" s="195"/>
      <c r="E27" s="195"/>
      <c r="F27" s="195"/>
      <c r="G27" s="195"/>
      <c r="H27" s="195"/>
      <c r="I27" s="195"/>
      <c r="J27" s="195"/>
      <c r="K27" s="196"/>
      <c r="L27" s="36" t="s">
        <v>45</v>
      </c>
      <c r="M27" s="195"/>
      <c r="N27" s="195"/>
      <c r="O27" s="195"/>
      <c r="P27" s="195"/>
      <c r="Q27" s="195"/>
      <c r="R27" s="195"/>
      <c r="S27" s="195"/>
      <c r="T27" s="195"/>
      <c r="U27" s="683"/>
      <c r="V27" s="682"/>
      <c r="W27" s="684"/>
      <c r="X27" s="685"/>
      <c r="Y27" s="308" t="s">
        <v>16</v>
      </c>
      <c r="Z27" s="182"/>
      <c r="AA27" s="182"/>
      <c r="AB27" s="182"/>
      <c r="AC27" s="183"/>
      <c r="AD27" s="309">
        <v>64</v>
      </c>
      <c r="AE27" s="185"/>
      <c r="AF27" s="309">
        <v>0</v>
      </c>
      <c r="AG27" s="185"/>
      <c r="AH27" s="194"/>
      <c r="AI27" s="195"/>
      <c r="AJ27" s="195"/>
      <c r="AK27" s="195"/>
      <c r="AL27" s="195"/>
      <c r="AM27" s="195"/>
      <c r="AN27" s="195"/>
      <c r="AO27" s="195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BA27" s="196"/>
      <c r="BB27" s="195"/>
      <c r="BC27" s="195"/>
      <c r="BD27" s="195"/>
      <c r="BE27" s="195"/>
      <c r="BF27" s="195"/>
      <c r="BG27" s="43"/>
      <c r="BK27" s="51"/>
      <c r="BL27" s="51"/>
    </row>
    <row r="28" spans="1:64">
      <c r="A28" s="681">
        <v>21</v>
      </c>
      <c r="B28" s="682"/>
      <c r="C28" s="59" t="str">
        <f t="shared" si="0"/>
        <v>pp6</v>
      </c>
      <c r="D28" s="195"/>
      <c r="E28" s="195"/>
      <c r="F28" s="195"/>
      <c r="G28" s="195"/>
      <c r="H28" s="195"/>
      <c r="I28" s="195"/>
      <c r="J28" s="195"/>
      <c r="K28" s="196"/>
      <c r="L28" s="36" t="s">
        <v>38</v>
      </c>
      <c r="M28" s="195"/>
      <c r="N28" s="195"/>
      <c r="O28" s="195"/>
      <c r="P28" s="195"/>
      <c r="Q28" s="195"/>
      <c r="R28" s="195"/>
      <c r="S28" s="195"/>
      <c r="T28" s="195"/>
      <c r="U28" s="683"/>
      <c r="V28" s="682"/>
      <c r="W28" s="684"/>
      <c r="X28" s="685"/>
      <c r="Y28" s="308" t="s">
        <v>16</v>
      </c>
      <c r="Z28" s="182"/>
      <c r="AA28" s="182"/>
      <c r="AB28" s="182"/>
      <c r="AC28" s="183"/>
      <c r="AD28" s="309">
        <v>256</v>
      </c>
      <c r="AE28" s="185"/>
      <c r="AF28" s="309">
        <v>0</v>
      </c>
      <c r="AG28" s="185"/>
      <c r="AH28" s="194"/>
      <c r="AI28" s="195"/>
      <c r="AJ28" s="195"/>
      <c r="AK28" s="195"/>
      <c r="AL28" s="195"/>
      <c r="AM28" s="195"/>
      <c r="AN28" s="195"/>
      <c r="AO28" s="195"/>
      <c r="AP28" s="195"/>
      <c r="AQ28" s="195"/>
      <c r="AR28" s="195"/>
      <c r="AS28" s="195"/>
      <c r="AT28" s="195"/>
      <c r="AU28" s="195"/>
      <c r="AV28" s="195"/>
      <c r="AW28" s="195"/>
      <c r="AX28" s="195"/>
      <c r="AY28" s="195"/>
      <c r="AZ28" s="195"/>
      <c r="BA28" s="196"/>
      <c r="BB28" s="195"/>
      <c r="BC28" s="195"/>
      <c r="BD28" s="195"/>
      <c r="BE28" s="195"/>
      <c r="BF28" s="195"/>
      <c r="BG28" s="43"/>
      <c r="BK28" s="343" t="s">
        <v>41</v>
      </c>
      <c r="BL28" s="120" t="s">
        <v>1246</v>
      </c>
    </row>
    <row r="29" spans="1:64">
      <c r="A29" s="681">
        <v>22</v>
      </c>
      <c r="B29" s="682"/>
      <c r="C29" s="59" t="str">
        <f t="shared" si="0"/>
        <v>pp7</v>
      </c>
      <c r="D29" s="195"/>
      <c r="E29" s="195"/>
      <c r="F29" s="195"/>
      <c r="G29" s="195"/>
      <c r="H29" s="195"/>
      <c r="I29" s="195"/>
      <c r="J29" s="195"/>
      <c r="K29" s="196"/>
      <c r="L29" s="36" t="s">
        <v>34</v>
      </c>
      <c r="M29" s="195"/>
      <c r="N29" s="195"/>
      <c r="O29" s="195"/>
      <c r="P29" s="195"/>
      <c r="Q29" s="195"/>
      <c r="R29" s="195"/>
      <c r="S29" s="195"/>
      <c r="T29" s="195"/>
      <c r="U29" s="683"/>
      <c r="V29" s="682"/>
      <c r="W29" s="684"/>
      <c r="X29" s="685"/>
      <c r="Y29" s="308" t="s">
        <v>16</v>
      </c>
      <c r="Z29" s="182"/>
      <c r="AA29" s="182"/>
      <c r="AB29" s="182"/>
      <c r="AC29" s="183"/>
      <c r="AD29" s="309">
        <v>256</v>
      </c>
      <c r="AE29" s="185"/>
      <c r="AF29" s="309">
        <v>0</v>
      </c>
      <c r="AG29" s="185"/>
      <c r="AH29" s="194"/>
      <c r="AI29" s="195"/>
      <c r="AJ29" s="195"/>
      <c r="AK29" s="195"/>
      <c r="AL29" s="195"/>
      <c r="AM29" s="195"/>
      <c r="AN29" s="195"/>
      <c r="AO29" s="195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BA29" s="196"/>
      <c r="BB29" s="195"/>
      <c r="BC29" s="195"/>
      <c r="BD29" s="195"/>
      <c r="BE29" s="195"/>
      <c r="BF29" s="195"/>
      <c r="BG29" s="43"/>
      <c r="BK29" s="343" t="s">
        <v>36</v>
      </c>
      <c r="BL29" s="101" t="s">
        <v>36</v>
      </c>
    </row>
    <row r="30" spans="1:64">
      <c r="A30" s="681">
        <v>23</v>
      </c>
      <c r="B30" s="682"/>
      <c r="C30" s="59" t="str">
        <f t="shared" si="0"/>
        <v>pp8</v>
      </c>
      <c r="D30" s="198"/>
      <c r="E30" s="198"/>
      <c r="F30" s="198"/>
      <c r="G30" s="198"/>
      <c r="H30" s="198"/>
      <c r="I30" s="198"/>
      <c r="J30" s="198"/>
      <c r="K30" s="199"/>
      <c r="L30" s="1" t="s">
        <v>37</v>
      </c>
      <c r="M30" s="198"/>
      <c r="N30" s="198"/>
      <c r="O30" s="198"/>
      <c r="P30" s="198"/>
      <c r="Q30" s="198"/>
      <c r="R30" s="198"/>
      <c r="S30" s="198"/>
      <c r="T30" s="198"/>
      <c r="U30" s="692"/>
      <c r="V30" s="693"/>
      <c r="W30" s="694"/>
      <c r="X30" s="695"/>
      <c r="Y30" s="310" t="s">
        <v>16</v>
      </c>
      <c r="Z30" s="188"/>
      <c r="AA30" s="188"/>
      <c r="AB30" s="188"/>
      <c r="AC30" s="189"/>
      <c r="AD30" s="309">
        <v>256</v>
      </c>
      <c r="AE30" s="185"/>
      <c r="AF30" s="309">
        <v>0</v>
      </c>
      <c r="AG30" s="185"/>
      <c r="AH30" s="197"/>
      <c r="AI30" s="195"/>
      <c r="AJ30" s="195"/>
      <c r="AK30" s="195"/>
      <c r="AL30" s="195"/>
      <c r="AM30" s="195"/>
      <c r="AN30" s="195"/>
      <c r="AO30" s="195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BA30" s="196"/>
      <c r="BB30" s="48"/>
      <c r="BC30" s="48"/>
      <c r="BD30" s="48"/>
      <c r="BE30" s="48"/>
      <c r="BF30" s="48"/>
      <c r="BG30" s="49"/>
      <c r="BK30" s="343" t="s">
        <v>67</v>
      </c>
      <c r="BL30" s="101" t="s">
        <v>67</v>
      </c>
    </row>
    <row r="31" spans="1:64">
      <c r="A31" s="681">
        <v>24</v>
      </c>
      <c r="B31" s="682"/>
      <c r="C31" s="59" t="str">
        <f t="shared" si="0"/>
        <v>pp9</v>
      </c>
      <c r="D31" s="198"/>
      <c r="E31" s="198"/>
      <c r="F31" s="198"/>
      <c r="G31" s="198"/>
      <c r="H31" s="198"/>
      <c r="I31" s="198"/>
      <c r="J31" s="198"/>
      <c r="K31" s="199"/>
      <c r="L31" s="1" t="s">
        <v>69</v>
      </c>
      <c r="M31" s="198"/>
      <c r="N31" s="198"/>
      <c r="O31" s="198"/>
      <c r="P31" s="198"/>
      <c r="Q31" s="198"/>
      <c r="R31" s="198"/>
      <c r="S31" s="198"/>
      <c r="T31" s="198"/>
      <c r="U31" s="692"/>
      <c r="V31" s="693"/>
      <c r="W31" s="694"/>
      <c r="X31" s="695"/>
      <c r="Y31" s="310" t="s">
        <v>16</v>
      </c>
      <c r="Z31" s="188"/>
      <c r="AA31" s="188"/>
      <c r="AB31" s="188"/>
      <c r="AC31" s="189"/>
      <c r="AD31" s="309">
        <v>256</v>
      </c>
      <c r="AE31" s="185"/>
      <c r="AF31" s="309">
        <v>0</v>
      </c>
      <c r="AG31" s="185"/>
      <c r="AH31" s="197"/>
      <c r="AI31" s="195"/>
      <c r="AJ31" s="195"/>
      <c r="AK31" s="195"/>
      <c r="AL31" s="195"/>
      <c r="AM31" s="195"/>
      <c r="AN31" s="195"/>
      <c r="AO31" s="195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6"/>
      <c r="BB31" s="195"/>
      <c r="BC31" s="195"/>
      <c r="BD31" s="195"/>
      <c r="BE31" s="195"/>
      <c r="BF31" s="195"/>
      <c r="BG31" s="43"/>
      <c r="BK31" s="343" t="s">
        <v>68</v>
      </c>
      <c r="BL31" s="101" t="s">
        <v>68</v>
      </c>
    </row>
    <row r="32" spans="1:64">
      <c r="A32" s="681">
        <v>25</v>
      </c>
      <c r="B32" s="682"/>
      <c r="C32" s="59" t="str">
        <f t="shared" si="0"/>
        <v>pp10</v>
      </c>
      <c r="D32" s="198"/>
      <c r="E32" s="198"/>
      <c r="F32" s="198"/>
      <c r="G32" s="198"/>
      <c r="H32" s="198"/>
      <c r="I32" s="198"/>
      <c r="J32" s="198"/>
      <c r="K32" s="199"/>
      <c r="L32" s="1" t="s">
        <v>70</v>
      </c>
      <c r="M32" s="198"/>
      <c r="N32" s="198"/>
      <c r="O32" s="198"/>
      <c r="P32" s="198"/>
      <c r="Q32" s="198"/>
      <c r="R32" s="198"/>
      <c r="S32" s="198"/>
      <c r="T32" s="198"/>
      <c r="U32" s="692"/>
      <c r="V32" s="693"/>
      <c r="W32" s="694"/>
      <c r="X32" s="695"/>
      <c r="Y32" s="310" t="s">
        <v>16</v>
      </c>
      <c r="Z32" s="188"/>
      <c r="AA32" s="188"/>
      <c r="AB32" s="188"/>
      <c r="AC32" s="189"/>
      <c r="AD32" s="309">
        <v>256</v>
      </c>
      <c r="AE32" s="185"/>
      <c r="AF32" s="309">
        <v>0</v>
      </c>
      <c r="AG32" s="185"/>
      <c r="AH32" s="197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BA32" s="196"/>
      <c r="BB32" s="195"/>
      <c r="BC32" s="195"/>
      <c r="BD32" s="195"/>
      <c r="BE32" s="195"/>
      <c r="BF32" s="195"/>
      <c r="BG32" s="43"/>
      <c r="BK32" s="343" t="s">
        <v>44</v>
      </c>
      <c r="BL32" s="101" t="s">
        <v>44</v>
      </c>
    </row>
    <row r="33" spans="1:64">
      <c r="A33" s="681">
        <v>26</v>
      </c>
      <c r="B33" s="682"/>
      <c r="C33" s="59" t="str">
        <f t="shared" si="0"/>
        <v>最后编辑时间</v>
      </c>
      <c r="D33" s="198"/>
      <c r="E33" s="198"/>
      <c r="F33" s="198"/>
      <c r="G33" s="198"/>
      <c r="H33" s="198"/>
      <c r="I33" s="198"/>
      <c r="J33" s="198"/>
      <c r="K33" s="199"/>
      <c r="L33" s="1" t="s">
        <v>30</v>
      </c>
      <c r="M33" s="198"/>
      <c r="N33" s="198"/>
      <c r="O33" s="198"/>
      <c r="P33" s="198"/>
      <c r="Q33" s="198"/>
      <c r="R33" s="198"/>
      <c r="S33" s="198"/>
      <c r="T33" s="198"/>
      <c r="U33" s="692"/>
      <c r="V33" s="693"/>
      <c r="W33" s="694"/>
      <c r="X33" s="695"/>
      <c r="Y33" s="310" t="s">
        <v>17</v>
      </c>
      <c r="Z33" s="188"/>
      <c r="AA33" s="188"/>
      <c r="AB33" s="188"/>
      <c r="AC33" s="189"/>
      <c r="AD33" s="309"/>
      <c r="AE33" s="185"/>
      <c r="AF33" s="309"/>
      <c r="AG33" s="185"/>
      <c r="AH33" s="197" t="s">
        <v>1306</v>
      </c>
      <c r="AI33" s="195"/>
      <c r="AJ33" s="195"/>
      <c r="AK33" s="195"/>
      <c r="AL33" s="195"/>
      <c r="AM33" s="195"/>
      <c r="AN33" s="195"/>
      <c r="AO33" s="195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BA33" s="196"/>
      <c r="BB33" s="195"/>
      <c r="BC33" s="195"/>
      <c r="BD33" s="195"/>
      <c r="BE33" s="195"/>
      <c r="BF33" s="195"/>
      <c r="BG33" s="43"/>
      <c r="BK33" s="343" t="s">
        <v>45</v>
      </c>
      <c r="BL33" s="101" t="s">
        <v>45</v>
      </c>
    </row>
    <row r="34" spans="1:64">
      <c r="A34" s="681">
        <v>27</v>
      </c>
      <c r="B34" s="682"/>
      <c r="C34" s="376" t="s">
        <v>49</v>
      </c>
      <c r="D34" s="377"/>
      <c r="E34" s="377"/>
      <c r="F34" s="377"/>
      <c r="G34" s="377"/>
      <c r="H34" s="377"/>
      <c r="I34" s="377"/>
      <c r="J34" s="377"/>
      <c r="K34" s="378"/>
      <c r="L34" s="379" t="s">
        <v>1332</v>
      </c>
      <c r="M34" s="379"/>
      <c r="N34" s="379"/>
      <c r="O34" s="379"/>
      <c r="P34" s="379"/>
      <c r="Q34" s="379"/>
      <c r="R34" s="379"/>
      <c r="S34" s="379"/>
      <c r="T34" s="379"/>
      <c r="U34" s="760"/>
      <c r="V34" s="761"/>
      <c r="W34" s="756"/>
      <c r="X34" s="757"/>
      <c r="Y34" s="380" t="s">
        <v>1333</v>
      </c>
      <c r="Z34" s="379"/>
      <c r="AA34" s="379"/>
      <c r="AB34" s="379"/>
      <c r="AC34" s="379"/>
      <c r="AD34" s="758">
        <v>0</v>
      </c>
      <c r="AE34" s="759"/>
      <c r="AF34" s="754"/>
      <c r="AG34" s="755"/>
      <c r="AH34" s="381"/>
      <c r="AI34" s="379"/>
      <c r="AJ34" s="379"/>
      <c r="AK34" s="334"/>
      <c r="AL34" s="334"/>
      <c r="AM34" s="334"/>
      <c r="AN34" s="334"/>
      <c r="AO34" s="334"/>
      <c r="AP34" s="334"/>
      <c r="AQ34" s="334"/>
      <c r="AR34" s="334"/>
      <c r="AS34" s="334"/>
      <c r="AT34" s="334"/>
      <c r="AU34" s="334"/>
      <c r="AV34" s="334"/>
      <c r="AW34" s="334"/>
      <c r="AX34" s="334"/>
      <c r="AY34" s="334"/>
      <c r="AZ34" s="334"/>
      <c r="BA34" s="335"/>
      <c r="BB34" s="334"/>
      <c r="BC34" s="334"/>
      <c r="BD34" s="334"/>
      <c r="BE34" s="334"/>
      <c r="BF34" s="334"/>
      <c r="BG34" s="43"/>
      <c r="BK34" s="343" t="s">
        <v>38</v>
      </c>
      <c r="BL34" s="101" t="s">
        <v>38</v>
      </c>
    </row>
    <row r="35" spans="1:64">
      <c r="A35" s="681">
        <v>28</v>
      </c>
      <c r="B35" s="682"/>
      <c r="C35" s="376" t="s">
        <v>49</v>
      </c>
      <c r="D35" s="377"/>
      <c r="E35" s="377"/>
      <c r="F35" s="377"/>
      <c r="G35" s="377"/>
      <c r="H35" s="377"/>
      <c r="I35" s="377"/>
      <c r="J35" s="377"/>
      <c r="K35" s="378"/>
      <c r="L35" s="379" t="s">
        <v>1334</v>
      </c>
      <c r="M35" s="379"/>
      <c r="N35" s="379"/>
      <c r="O35" s="379"/>
      <c r="P35" s="379"/>
      <c r="Q35" s="379"/>
      <c r="R35" s="379"/>
      <c r="S35" s="379"/>
      <c r="T35" s="379"/>
      <c r="U35" s="760"/>
      <c r="V35" s="761"/>
      <c r="W35" s="756"/>
      <c r="X35" s="757"/>
      <c r="Y35" s="380" t="s">
        <v>1333</v>
      </c>
      <c r="Z35" s="379"/>
      <c r="AA35" s="379"/>
      <c r="AB35" s="379"/>
      <c r="AC35" s="379"/>
      <c r="AD35" s="758">
        <v>0</v>
      </c>
      <c r="AE35" s="759"/>
      <c r="AF35" s="754"/>
      <c r="AG35" s="755"/>
      <c r="AH35" s="381"/>
      <c r="AI35" s="379"/>
      <c r="AJ35" s="379"/>
      <c r="AK35" s="334"/>
      <c r="AL35" s="334"/>
      <c r="AM35" s="334"/>
      <c r="AN35" s="334"/>
      <c r="AO35" s="334"/>
      <c r="AP35" s="334"/>
      <c r="AQ35" s="334"/>
      <c r="AR35" s="334"/>
      <c r="AS35" s="334"/>
      <c r="AT35" s="334"/>
      <c r="AU35" s="334"/>
      <c r="AV35" s="334"/>
      <c r="AW35" s="334"/>
      <c r="AX35" s="334"/>
      <c r="AY35" s="334"/>
      <c r="AZ35" s="334"/>
      <c r="BA35" s="335"/>
      <c r="BB35" s="334"/>
      <c r="BC35" s="334"/>
      <c r="BD35" s="334"/>
      <c r="BE35" s="334"/>
      <c r="BF35" s="334"/>
      <c r="BG35" s="43"/>
      <c r="BK35" s="343" t="s">
        <v>34</v>
      </c>
      <c r="BL35" s="101" t="s">
        <v>34</v>
      </c>
    </row>
    <row r="36" spans="1:64">
      <c r="A36" s="681">
        <v>29</v>
      </c>
      <c r="B36" s="682"/>
      <c r="C36" s="376" t="s">
        <v>49</v>
      </c>
      <c r="D36" s="377"/>
      <c r="E36" s="377"/>
      <c r="F36" s="377"/>
      <c r="G36" s="377"/>
      <c r="H36" s="377"/>
      <c r="I36" s="377"/>
      <c r="J36" s="377"/>
      <c r="K36" s="378"/>
      <c r="L36" s="379" t="s">
        <v>1335</v>
      </c>
      <c r="M36" s="379"/>
      <c r="N36" s="379"/>
      <c r="O36" s="379"/>
      <c r="P36" s="379"/>
      <c r="Q36" s="379"/>
      <c r="R36" s="379"/>
      <c r="S36" s="379"/>
      <c r="T36" s="379"/>
      <c r="U36" s="760"/>
      <c r="V36" s="761"/>
      <c r="W36" s="756"/>
      <c r="X36" s="757"/>
      <c r="Y36" s="380" t="s">
        <v>1333</v>
      </c>
      <c r="Z36" s="379"/>
      <c r="AA36" s="379"/>
      <c r="AB36" s="379"/>
      <c r="AC36" s="379"/>
      <c r="AD36" s="758">
        <v>0</v>
      </c>
      <c r="AE36" s="759"/>
      <c r="AF36" s="754"/>
      <c r="AG36" s="755"/>
      <c r="AH36" s="381"/>
      <c r="AI36" s="379"/>
      <c r="AJ36" s="379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5"/>
      <c r="BB36" s="334"/>
      <c r="BC36" s="334"/>
      <c r="BD36" s="334"/>
      <c r="BE36" s="334"/>
      <c r="BF36" s="334"/>
      <c r="BG36" s="43"/>
      <c r="BK36" s="50" t="s">
        <v>37</v>
      </c>
      <c r="BL36" s="120" t="s">
        <v>37</v>
      </c>
    </row>
    <row r="37" spans="1:64">
      <c r="A37" s="681">
        <v>30</v>
      </c>
      <c r="B37" s="682"/>
      <c r="C37" s="376" t="s">
        <v>49</v>
      </c>
      <c r="D37" s="377"/>
      <c r="E37" s="377"/>
      <c r="F37" s="377"/>
      <c r="G37" s="377"/>
      <c r="H37" s="377"/>
      <c r="I37" s="377"/>
      <c r="J37" s="377"/>
      <c r="K37" s="378"/>
      <c r="L37" s="379" t="s">
        <v>1336</v>
      </c>
      <c r="M37" s="379"/>
      <c r="N37" s="379"/>
      <c r="O37" s="379"/>
      <c r="P37" s="379"/>
      <c r="Q37" s="379"/>
      <c r="R37" s="379"/>
      <c r="S37" s="379"/>
      <c r="T37" s="379"/>
      <c r="U37" s="760"/>
      <c r="V37" s="761"/>
      <c r="W37" s="756"/>
      <c r="X37" s="757"/>
      <c r="Y37" s="380" t="s">
        <v>1333</v>
      </c>
      <c r="Z37" s="379"/>
      <c r="AA37" s="379"/>
      <c r="AB37" s="379"/>
      <c r="AC37" s="379"/>
      <c r="AD37" s="758">
        <v>0</v>
      </c>
      <c r="AE37" s="759"/>
      <c r="AF37" s="754"/>
      <c r="AG37" s="755"/>
      <c r="AH37" s="381"/>
      <c r="AI37" s="379"/>
      <c r="AJ37" s="379"/>
      <c r="AK37" s="334"/>
      <c r="AL37" s="334"/>
      <c r="AM37" s="334"/>
      <c r="AN37" s="334"/>
      <c r="AO37" s="334"/>
      <c r="AP37" s="334"/>
      <c r="AQ37" s="334"/>
      <c r="AR37" s="334"/>
      <c r="AS37" s="334"/>
      <c r="AT37" s="334"/>
      <c r="AU37" s="334"/>
      <c r="AV37" s="334"/>
      <c r="AW37" s="334"/>
      <c r="AX37" s="334"/>
      <c r="AY37" s="334"/>
      <c r="AZ37" s="334"/>
      <c r="BA37" s="335"/>
      <c r="BB37" s="334"/>
      <c r="BC37" s="334"/>
      <c r="BD37" s="334"/>
      <c r="BE37" s="334"/>
      <c r="BF37" s="334"/>
      <c r="BG37" s="43"/>
      <c r="BK37" s="50" t="s">
        <v>69</v>
      </c>
      <c r="BL37" s="120" t="s">
        <v>69</v>
      </c>
    </row>
    <row r="38" spans="1:64">
      <c r="A38" s="681">
        <v>31</v>
      </c>
      <c r="B38" s="682"/>
      <c r="C38" s="376" t="s">
        <v>49</v>
      </c>
      <c r="D38" s="377"/>
      <c r="E38" s="377"/>
      <c r="F38" s="377"/>
      <c r="G38" s="377"/>
      <c r="H38" s="377"/>
      <c r="I38" s="377"/>
      <c r="J38" s="377"/>
      <c r="K38" s="378"/>
      <c r="L38" s="379" t="s">
        <v>1348</v>
      </c>
      <c r="M38" s="379"/>
      <c r="N38" s="379"/>
      <c r="O38" s="379"/>
      <c r="P38" s="379"/>
      <c r="Q38" s="379"/>
      <c r="R38" s="379"/>
      <c r="S38" s="379"/>
      <c r="T38" s="379"/>
      <c r="U38" s="760"/>
      <c r="V38" s="761"/>
      <c r="W38" s="756"/>
      <c r="X38" s="757"/>
      <c r="Y38" s="380" t="s">
        <v>1333</v>
      </c>
      <c r="Z38" s="379"/>
      <c r="AA38" s="379"/>
      <c r="AB38" s="379"/>
      <c r="AC38" s="379"/>
      <c r="AD38" s="758">
        <v>0</v>
      </c>
      <c r="AE38" s="759"/>
      <c r="AF38" s="754"/>
      <c r="AG38" s="755"/>
      <c r="AH38" s="381"/>
      <c r="AI38" s="379"/>
      <c r="AJ38" s="379"/>
      <c r="AK38" s="334"/>
      <c r="AL38" s="334"/>
      <c r="AM38" s="334"/>
      <c r="AN38" s="334"/>
      <c r="AO38" s="334"/>
      <c r="AP38" s="334"/>
      <c r="AQ38" s="334"/>
      <c r="AR38" s="334"/>
      <c r="AS38" s="334"/>
      <c r="AT38" s="334"/>
      <c r="AU38" s="334"/>
      <c r="AV38" s="334"/>
      <c r="AW38" s="334"/>
      <c r="AX38" s="334"/>
      <c r="AY38" s="334"/>
      <c r="AZ38" s="334"/>
      <c r="BA38" s="335"/>
      <c r="BB38" s="334"/>
      <c r="BC38" s="334"/>
      <c r="BD38" s="334"/>
      <c r="BE38" s="334"/>
      <c r="BF38" s="334"/>
      <c r="BG38" s="43"/>
      <c r="BK38" s="50" t="s">
        <v>70</v>
      </c>
      <c r="BL38" s="120" t="s">
        <v>70</v>
      </c>
    </row>
    <row r="39" spans="1:64">
      <c r="A39" s="681">
        <v>32</v>
      </c>
      <c r="B39" s="682"/>
      <c r="C39" s="376" t="s">
        <v>49</v>
      </c>
      <c r="D39" s="377"/>
      <c r="E39" s="377"/>
      <c r="F39" s="377"/>
      <c r="G39" s="377"/>
      <c r="H39" s="377"/>
      <c r="I39" s="377"/>
      <c r="J39" s="377"/>
      <c r="K39" s="378"/>
      <c r="L39" s="379" t="s">
        <v>1349</v>
      </c>
      <c r="M39" s="379"/>
      <c r="N39" s="379"/>
      <c r="O39" s="379"/>
      <c r="P39" s="379"/>
      <c r="Q39" s="379"/>
      <c r="R39" s="379"/>
      <c r="S39" s="379"/>
      <c r="T39" s="379"/>
      <c r="U39" s="760"/>
      <c r="V39" s="761"/>
      <c r="W39" s="756"/>
      <c r="X39" s="757"/>
      <c r="Y39" s="380" t="s">
        <v>1333</v>
      </c>
      <c r="Z39" s="379"/>
      <c r="AA39" s="379"/>
      <c r="AB39" s="379"/>
      <c r="AC39" s="379"/>
      <c r="AD39" s="758">
        <v>0</v>
      </c>
      <c r="AE39" s="759"/>
      <c r="AF39" s="754"/>
      <c r="AG39" s="755"/>
      <c r="AH39" s="382"/>
      <c r="AI39" s="383"/>
      <c r="AJ39" s="383"/>
      <c r="AK39" s="334"/>
      <c r="AL39" s="334"/>
      <c r="AM39" s="334"/>
      <c r="AN39" s="334"/>
      <c r="AO39" s="334"/>
      <c r="AP39" s="334"/>
      <c r="AQ39" s="334"/>
      <c r="AR39" s="334"/>
      <c r="AS39" s="334"/>
      <c r="AT39" s="334"/>
      <c r="AU39" s="334"/>
      <c r="AV39" s="334"/>
      <c r="AW39" s="334"/>
      <c r="AX39" s="334"/>
      <c r="AY39" s="334"/>
      <c r="AZ39" s="334"/>
      <c r="BA39" s="335"/>
      <c r="BB39" s="334"/>
      <c r="BC39" s="334"/>
      <c r="BD39" s="334"/>
      <c r="BE39" s="334"/>
      <c r="BF39" s="334"/>
      <c r="BG39" s="43"/>
      <c r="BK39" s="50" t="s">
        <v>30</v>
      </c>
      <c r="BL39" s="120" t="s">
        <v>905</v>
      </c>
    </row>
    <row r="40" spans="1:64">
      <c r="A40" s="681">
        <v>33</v>
      </c>
      <c r="B40" s="682"/>
      <c r="C40" s="376" t="s">
        <v>49</v>
      </c>
      <c r="D40" s="377"/>
      <c r="E40" s="377"/>
      <c r="F40" s="377"/>
      <c r="G40" s="377"/>
      <c r="H40" s="377"/>
      <c r="I40" s="377"/>
      <c r="J40" s="377"/>
      <c r="K40" s="378"/>
      <c r="L40" s="379" t="s">
        <v>1350</v>
      </c>
      <c r="M40" s="379"/>
      <c r="N40" s="379"/>
      <c r="O40" s="379"/>
      <c r="P40" s="379"/>
      <c r="Q40" s="379"/>
      <c r="R40" s="379"/>
      <c r="S40" s="379"/>
      <c r="T40" s="379"/>
      <c r="U40" s="760"/>
      <c r="V40" s="761"/>
      <c r="W40" s="756"/>
      <c r="X40" s="757"/>
      <c r="Y40" s="380" t="s">
        <v>1333</v>
      </c>
      <c r="Z40" s="379"/>
      <c r="AA40" s="379"/>
      <c r="AB40" s="379"/>
      <c r="AC40" s="379"/>
      <c r="AD40" s="758">
        <v>0</v>
      </c>
      <c r="AE40" s="759"/>
      <c r="AF40" s="754"/>
      <c r="AG40" s="755"/>
      <c r="AH40" s="382"/>
      <c r="AI40" s="383"/>
      <c r="AJ40" s="383"/>
      <c r="AK40" s="334"/>
      <c r="AL40" s="334"/>
      <c r="AM40" s="334"/>
      <c r="AN40" s="334"/>
      <c r="AO40" s="334"/>
      <c r="AP40" s="334"/>
      <c r="AQ40" s="334"/>
      <c r="AR40" s="334"/>
      <c r="AS40" s="334"/>
      <c r="AT40" s="334"/>
      <c r="AU40" s="334"/>
      <c r="AV40" s="334"/>
      <c r="AW40" s="334"/>
      <c r="AX40" s="334"/>
      <c r="AY40" s="334"/>
      <c r="AZ40" s="334"/>
      <c r="BA40" s="335"/>
      <c r="BB40" s="334"/>
      <c r="BC40" s="334"/>
      <c r="BD40" s="334"/>
      <c r="BE40" s="334"/>
      <c r="BF40" s="334"/>
      <c r="BG40" s="43"/>
      <c r="BK40" s="101"/>
      <c r="BL40" s="52"/>
    </row>
    <row r="41" spans="1:64">
      <c r="A41" s="681">
        <v>34</v>
      </c>
      <c r="B41" s="682"/>
      <c r="C41" s="376" t="s">
        <v>49</v>
      </c>
      <c r="D41" s="377"/>
      <c r="E41" s="377"/>
      <c r="F41" s="377"/>
      <c r="G41" s="377"/>
      <c r="H41" s="377"/>
      <c r="I41" s="377"/>
      <c r="J41" s="377"/>
      <c r="K41" s="378"/>
      <c r="L41" s="379" t="s">
        <v>1351</v>
      </c>
      <c r="M41" s="379"/>
      <c r="N41" s="379"/>
      <c r="O41" s="379"/>
      <c r="P41" s="379"/>
      <c r="Q41" s="379"/>
      <c r="R41" s="379"/>
      <c r="S41" s="379"/>
      <c r="T41" s="379"/>
      <c r="U41" s="760"/>
      <c r="V41" s="761"/>
      <c r="W41" s="756"/>
      <c r="X41" s="757"/>
      <c r="Y41" s="380" t="s">
        <v>1333</v>
      </c>
      <c r="Z41" s="379"/>
      <c r="AA41" s="379"/>
      <c r="AB41" s="379"/>
      <c r="AC41" s="379"/>
      <c r="AD41" s="758">
        <v>0</v>
      </c>
      <c r="AE41" s="759"/>
      <c r="AF41" s="754"/>
      <c r="AG41" s="755"/>
      <c r="AH41" s="382"/>
      <c r="AI41" s="383"/>
      <c r="AJ41" s="383"/>
      <c r="AK41" s="334"/>
      <c r="AL41" s="334"/>
      <c r="AM41" s="334"/>
      <c r="AN41" s="334"/>
      <c r="AO41" s="334"/>
      <c r="AP41" s="334"/>
      <c r="AQ41" s="334"/>
      <c r="AR41" s="334"/>
      <c r="AS41" s="334"/>
      <c r="AT41" s="334"/>
      <c r="AU41" s="334"/>
      <c r="AV41" s="334"/>
      <c r="AW41" s="334"/>
      <c r="AX41" s="334"/>
      <c r="AY41" s="334"/>
      <c r="AZ41" s="334"/>
      <c r="BA41" s="335"/>
      <c r="BB41" s="334"/>
      <c r="BC41" s="334"/>
      <c r="BD41" s="334"/>
      <c r="BE41" s="334"/>
      <c r="BF41" s="334"/>
      <c r="BG41" s="43"/>
      <c r="BK41" s="51"/>
      <c r="BL41" s="51"/>
    </row>
    <row r="42" spans="1:64">
      <c r="A42" s="681">
        <v>35</v>
      </c>
      <c r="B42" s="682"/>
      <c r="C42" s="376" t="s">
        <v>49</v>
      </c>
      <c r="D42" s="377"/>
      <c r="E42" s="377"/>
      <c r="F42" s="377"/>
      <c r="G42" s="377"/>
      <c r="H42" s="377"/>
      <c r="I42" s="377"/>
      <c r="J42" s="377"/>
      <c r="K42" s="378"/>
      <c r="L42" s="379" t="s">
        <v>1352</v>
      </c>
      <c r="M42" s="379"/>
      <c r="N42" s="379"/>
      <c r="O42" s="379"/>
      <c r="P42" s="379"/>
      <c r="Q42" s="379"/>
      <c r="R42" s="379"/>
      <c r="S42" s="379"/>
      <c r="T42" s="379"/>
      <c r="U42" s="760"/>
      <c r="V42" s="761"/>
      <c r="W42" s="756"/>
      <c r="X42" s="757"/>
      <c r="Y42" s="380" t="s">
        <v>1333</v>
      </c>
      <c r="Z42" s="379"/>
      <c r="AA42" s="379"/>
      <c r="AB42" s="379"/>
      <c r="AC42" s="379"/>
      <c r="AD42" s="758">
        <v>0</v>
      </c>
      <c r="AE42" s="759"/>
      <c r="AF42" s="754"/>
      <c r="AG42" s="755"/>
      <c r="AH42" s="382"/>
      <c r="AI42" s="383"/>
      <c r="AJ42" s="383"/>
      <c r="AK42" s="334"/>
      <c r="AL42" s="334"/>
      <c r="AM42" s="334"/>
      <c r="AN42" s="334"/>
      <c r="AO42" s="334"/>
      <c r="AP42" s="334"/>
      <c r="AQ42" s="334"/>
      <c r="AR42" s="334"/>
      <c r="AS42" s="334"/>
      <c r="AT42" s="334"/>
      <c r="AU42" s="334"/>
      <c r="AV42" s="334"/>
      <c r="AW42" s="334"/>
      <c r="AX42" s="334"/>
      <c r="AY42" s="334"/>
      <c r="AZ42" s="334"/>
      <c r="BA42" s="335"/>
      <c r="BB42" s="334"/>
      <c r="BC42" s="334"/>
      <c r="BD42" s="334"/>
      <c r="BE42" s="334"/>
      <c r="BF42" s="334"/>
      <c r="BG42" s="43"/>
      <c r="BK42" s="51"/>
      <c r="BL42" s="51"/>
    </row>
    <row r="43" spans="1:64">
      <c r="A43" s="681">
        <v>36</v>
      </c>
      <c r="B43" s="682"/>
      <c r="C43" s="376" t="s">
        <v>49</v>
      </c>
      <c r="D43" s="377"/>
      <c r="E43" s="377"/>
      <c r="F43" s="377"/>
      <c r="G43" s="377"/>
      <c r="H43" s="377"/>
      <c r="I43" s="377"/>
      <c r="J43" s="377"/>
      <c r="K43" s="378"/>
      <c r="L43" s="379" t="s">
        <v>1353</v>
      </c>
      <c r="M43" s="379"/>
      <c r="N43" s="379"/>
      <c r="O43" s="379"/>
      <c r="P43" s="379"/>
      <c r="Q43" s="379"/>
      <c r="R43" s="379"/>
      <c r="S43" s="379"/>
      <c r="T43" s="379"/>
      <c r="U43" s="760"/>
      <c r="V43" s="761"/>
      <c r="W43" s="756"/>
      <c r="X43" s="757"/>
      <c r="Y43" s="380" t="s">
        <v>1333</v>
      </c>
      <c r="Z43" s="379"/>
      <c r="AA43" s="379"/>
      <c r="AB43" s="379"/>
      <c r="AC43" s="379"/>
      <c r="AD43" s="758">
        <v>0</v>
      </c>
      <c r="AE43" s="759"/>
      <c r="AF43" s="754"/>
      <c r="AG43" s="755"/>
      <c r="AH43" s="381"/>
      <c r="AI43" s="379"/>
      <c r="AJ43" s="379"/>
      <c r="AK43" s="334"/>
      <c r="AL43" s="334"/>
      <c r="AM43" s="334"/>
      <c r="AN43" s="334"/>
      <c r="AO43" s="334"/>
      <c r="AP43" s="334"/>
      <c r="AQ43" s="334"/>
      <c r="AR43" s="334"/>
      <c r="AS43" s="334"/>
      <c r="AT43" s="334"/>
      <c r="AU43" s="334"/>
      <c r="AV43" s="334"/>
      <c r="AW43" s="334"/>
      <c r="AX43" s="334"/>
      <c r="AY43" s="334"/>
      <c r="AZ43" s="334"/>
      <c r="BA43" s="335"/>
      <c r="BB43" s="334"/>
      <c r="BC43" s="334"/>
      <c r="BD43" s="334"/>
      <c r="BE43" s="334"/>
      <c r="BF43" s="334"/>
      <c r="BG43" s="43"/>
      <c r="BK43" s="51"/>
      <c r="BL43" s="51"/>
    </row>
    <row r="44" spans="1:64">
      <c r="A44" s="681">
        <v>37</v>
      </c>
      <c r="B44" s="682"/>
      <c r="C44" s="376" t="s">
        <v>1337</v>
      </c>
      <c r="D44" s="377"/>
      <c r="E44" s="377"/>
      <c r="F44" s="377"/>
      <c r="G44" s="377"/>
      <c r="H44" s="377"/>
      <c r="I44" s="377"/>
      <c r="J44" s="377"/>
      <c r="K44" s="378"/>
      <c r="L44" s="379" t="s">
        <v>1338</v>
      </c>
      <c r="M44" s="379"/>
      <c r="N44" s="379"/>
      <c r="O44" s="379"/>
      <c r="P44" s="379"/>
      <c r="Q44" s="379"/>
      <c r="R44" s="379"/>
      <c r="S44" s="379"/>
      <c r="T44" s="379"/>
      <c r="U44" s="760"/>
      <c r="V44" s="761"/>
      <c r="W44" s="756"/>
      <c r="X44" s="757"/>
      <c r="Y44" s="380" t="s">
        <v>199</v>
      </c>
      <c r="Z44" s="379"/>
      <c r="AA44" s="379"/>
      <c r="AB44" s="379"/>
      <c r="AC44" s="379"/>
      <c r="AD44" s="758">
        <v>32</v>
      </c>
      <c r="AE44" s="759"/>
      <c r="AF44" s="754"/>
      <c r="AG44" s="755"/>
      <c r="AH44" s="382" t="s">
        <v>1337</v>
      </c>
      <c r="AI44" s="383"/>
      <c r="AJ44" s="383"/>
      <c r="AK44" s="334"/>
      <c r="AL44" s="334"/>
      <c r="AM44" s="334"/>
      <c r="AN44" s="334"/>
      <c r="AO44" s="334"/>
      <c r="AP44" s="334"/>
      <c r="AQ44" s="334"/>
      <c r="AR44" s="334"/>
      <c r="AS44" s="334"/>
      <c r="AT44" s="334"/>
      <c r="AU44" s="334"/>
      <c r="AV44" s="334"/>
      <c r="AW44" s="334"/>
      <c r="AX44" s="334"/>
      <c r="AY44" s="334"/>
      <c r="AZ44" s="334"/>
      <c r="BA44" s="335"/>
      <c r="BB44" s="334"/>
      <c r="BC44" s="334"/>
      <c r="BD44" s="334"/>
      <c r="BE44" s="334"/>
      <c r="BF44" s="334"/>
      <c r="BG44" s="43"/>
      <c r="BK44" s="51"/>
      <c r="BL44" s="51"/>
    </row>
    <row r="45" spans="1:64">
      <c r="A45" s="681">
        <v>38</v>
      </c>
      <c r="B45" s="682"/>
      <c r="C45" s="376" t="s">
        <v>1339</v>
      </c>
      <c r="D45" s="377"/>
      <c r="E45" s="377"/>
      <c r="F45" s="377"/>
      <c r="G45" s="377"/>
      <c r="H45" s="377"/>
      <c r="I45" s="377"/>
      <c r="J45" s="377"/>
      <c r="K45" s="378"/>
      <c r="L45" s="379" t="s">
        <v>1340</v>
      </c>
      <c r="M45" s="379"/>
      <c r="N45" s="379"/>
      <c r="O45" s="379"/>
      <c r="P45" s="379"/>
      <c r="Q45" s="379"/>
      <c r="R45" s="379"/>
      <c r="S45" s="379"/>
      <c r="T45" s="379"/>
      <c r="U45" s="760"/>
      <c r="V45" s="761"/>
      <c r="W45" s="756"/>
      <c r="X45" s="757"/>
      <c r="Y45" s="380" t="s">
        <v>199</v>
      </c>
      <c r="Z45" s="379"/>
      <c r="AA45" s="379"/>
      <c r="AB45" s="379"/>
      <c r="AC45" s="379"/>
      <c r="AD45" s="758">
        <v>32</v>
      </c>
      <c r="AE45" s="759"/>
      <c r="AF45" s="754"/>
      <c r="AG45" s="755"/>
      <c r="AH45" s="382" t="s">
        <v>1341</v>
      </c>
      <c r="AI45" s="383"/>
      <c r="AJ45" s="383"/>
      <c r="AK45" s="334"/>
      <c r="AL45" s="334"/>
      <c r="AM45" s="334"/>
      <c r="AN45" s="334"/>
      <c r="AO45" s="334"/>
      <c r="AP45" s="331"/>
      <c r="AQ45" s="331"/>
      <c r="AR45" s="334"/>
      <c r="AS45" s="334"/>
      <c r="AT45" s="334"/>
      <c r="AU45" s="334"/>
      <c r="AV45" s="334"/>
      <c r="AW45" s="334"/>
      <c r="AX45" s="334"/>
      <c r="AY45" s="334"/>
      <c r="AZ45" s="334"/>
      <c r="BA45" s="335"/>
      <c r="BB45" s="334"/>
      <c r="BC45" s="334"/>
      <c r="BD45" s="334"/>
      <c r="BE45" s="334"/>
      <c r="BF45" s="334"/>
      <c r="BG45" s="43"/>
      <c r="BK45" s="101"/>
      <c r="BL45" s="120"/>
    </row>
    <row r="46" spans="1:64">
      <c r="A46" s="681">
        <v>39</v>
      </c>
      <c r="B46" s="682"/>
      <c r="C46" s="376" t="s">
        <v>1342</v>
      </c>
      <c r="D46" s="377"/>
      <c r="E46" s="377"/>
      <c r="F46" s="377"/>
      <c r="G46" s="377"/>
      <c r="H46" s="377"/>
      <c r="I46" s="377"/>
      <c r="J46" s="377"/>
      <c r="K46" s="378"/>
      <c r="L46" s="379" t="s">
        <v>1343</v>
      </c>
      <c r="M46" s="379"/>
      <c r="N46" s="379"/>
      <c r="O46" s="379"/>
      <c r="P46" s="379"/>
      <c r="Q46" s="379"/>
      <c r="R46" s="379"/>
      <c r="S46" s="379"/>
      <c r="T46" s="379"/>
      <c r="U46" s="760"/>
      <c r="V46" s="761"/>
      <c r="W46" s="756"/>
      <c r="X46" s="757"/>
      <c r="Y46" s="380" t="s">
        <v>199</v>
      </c>
      <c r="Z46" s="379"/>
      <c r="AA46" s="379"/>
      <c r="AB46" s="379"/>
      <c r="AC46" s="379"/>
      <c r="AD46" s="758">
        <v>2</v>
      </c>
      <c r="AE46" s="759"/>
      <c r="AF46" s="754"/>
      <c r="AG46" s="755"/>
      <c r="AH46" s="382" t="s">
        <v>1344</v>
      </c>
      <c r="AI46" s="383"/>
      <c r="AJ46" s="383"/>
      <c r="AK46" s="334"/>
      <c r="AP46" s="334"/>
      <c r="AQ46" s="334"/>
      <c r="AR46" s="334"/>
      <c r="AS46" s="334"/>
      <c r="AT46" s="334"/>
      <c r="AU46" s="334"/>
      <c r="AV46" s="334"/>
      <c r="AW46" s="334"/>
      <c r="AX46" s="334"/>
      <c r="AY46" s="334"/>
      <c r="AZ46" s="334"/>
      <c r="BA46" s="335"/>
      <c r="BB46" s="334"/>
      <c r="BC46" s="334"/>
      <c r="BD46" s="334"/>
      <c r="BE46" s="334"/>
      <c r="BF46" s="334"/>
      <c r="BG46" s="43"/>
      <c r="BK46" s="101"/>
      <c r="BL46" s="101"/>
    </row>
    <row r="47" spans="1:64">
      <c r="A47" s="681">
        <v>40</v>
      </c>
      <c r="B47" s="682"/>
      <c r="C47" s="376" t="s">
        <v>1345</v>
      </c>
      <c r="D47" s="377"/>
      <c r="E47" s="377"/>
      <c r="F47" s="377"/>
      <c r="G47" s="377"/>
      <c r="H47" s="377"/>
      <c r="I47" s="377"/>
      <c r="J47" s="377"/>
      <c r="K47" s="378"/>
      <c r="L47" s="379" t="s">
        <v>1346</v>
      </c>
      <c r="M47" s="379"/>
      <c r="N47" s="379"/>
      <c r="O47" s="379"/>
      <c r="P47" s="379"/>
      <c r="Q47" s="379"/>
      <c r="R47" s="379"/>
      <c r="S47" s="379"/>
      <c r="T47" s="379"/>
      <c r="U47" s="760"/>
      <c r="V47" s="761"/>
      <c r="W47" s="756"/>
      <c r="X47" s="757"/>
      <c r="Y47" s="380" t="s">
        <v>199</v>
      </c>
      <c r="Z47" s="379"/>
      <c r="AA47" s="379"/>
      <c r="AB47" s="379"/>
      <c r="AC47" s="379"/>
      <c r="AD47" s="758">
        <v>2</v>
      </c>
      <c r="AE47" s="759"/>
      <c r="AF47" s="754"/>
      <c r="AG47" s="755"/>
      <c r="AH47" s="382" t="s">
        <v>1347</v>
      </c>
      <c r="AI47" s="383"/>
      <c r="AJ47" s="383"/>
      <c r="AK47" s="334"/>
      <c r="AL47" s="334"/>
      <c r="AM47" s="334"/>
      <c r="AN47" s="334"/>
      <c r="AO47" s="334"/>
      <c r="AP47" s="334"/>
      <c r="AQ47" s="334"/>
      <c r="AR47" s="334"/>
      <c r="AS47" s="334"/>
      <c r="AT47" s="334"/>
      <c r="AU47" s="334"/>
      <c r="AV47" s="334"/>
      <c r="AW47" s="334"/>
      <c r="AX47" s="334"/>
      <c r="AY47" s="334"/>
      <c r="AZ47" s="334"/>
      <c r="BA47" s="335"/>
      <c r="BB47" s="48"/>
      <c r="BC47" s="48"/>
      <c r="BD47" s="48"/>
      <c r="BE47" s="48"/>
      <c r="BF47" s="48"/>
      <c r="BG47" s="49"/>
      <c r="BK47" s="101"/>
      <c r="BL47" s="101"/>
    </row>
    <row r="48" spans="1:64">
      <c r="A48" s="681"/>
      <c r="B48" s="682"/>
      <c r="C48" s="59"/>
      <c r="D48" s="331"/>
      <c r="E48" s="331"/>
      <c r="F48" s="331"/>
      <c r="G48" s="331"/>
      <c r="H48" s="331"/>
      <c r="I48" s="331"/>
      <c r="J48" s="331"/>
      <c r="K48" s="332"/>
      <c r="L48" s="1"/>
      <c r="M48" s="331"/>
      <c r="N48" s="331"/>
      <c r="O48" s="331"/>
      <c r="P48" s="331"/>
      <c r="Q48" s="331"/>
      <c r="R48" s="331"/>
      <c r="S48" s="331"/>
      <c r="T48" s="331"/>
      <c r="U48" s="692"/>
      <c r="V48" s="693"/>
      <c r="W48" s="694"/>
      <c r="X48" s="695"/>
      <c r="Y48" s="371"/>
      <c r="Z48" s="372"/>
      <c r="AA48" s="372"/>
      <c r="AB48" s="372"/>
      <c r="AC48" s="373"/>
      <c r="AD48" s="368"/>
      <c r="AE48" s="369"/>
      <c r="AF48" s="368"/>
      <c r="AG48" s="369"/>
      <c r="AH48" s="330"/>
      <c r="AI48" s="334"/>
      <c r="AJ48" s="334"/>
      <c r="AK48" s="334"/>
      <c r="AL48" s="334"/>
      <c r="AM48" s="334"/>
      <c r="AN48" s="334"/>
      <c r="AO48" s="334"/>
      <c r="AP48" s="334"/>
      <c r="AQ48" s="334"/>
      <c r="AR48" s="334"/>
      <c r="AS48" s="334"/>
      <c r="AT48" s="334"/>
      <c r="AU48" s="334"/>
      <c r="AV48" s="334"/>
      <c r="AW48" s="334"/>
      <c r="AX48" s="334"/>
      <c r="AY48" s="334"/>
      <c r="AZ48" s="334"/>
      <c r="BA48" s="335"/>
      <c r="BB48" s="334"/>
      <c r="BC48" s="334"/>
      <c r="BD48" s="334"/>
      <c r="BE48" s="334"/>
      <c r="BF48" s="334"/>
      <c r="BG48" s="43"/>
      <c r="BK48" s="101"/>
      <c r="BL48" s="101"/>
    </row>
    <row r="49" spans="1:64">
      <c r="A49" s="681"/>
      <c r="B49" s="682"/>
      <c r="C49" s="59"/>
      <c r="D49" s="331"/>
      <c r="E49" s="331"/>
      <c r="F49" s="331"/>
      <c r="G49" s="331"/>
      <c r="H49" s="331"/>
      <c r="I49" s="331"/>
      <c r="J49" s="331"/>
      <c r="K49" s="332"/>
      <c r="L49" s="1"/>
      <c r="M49" s="331"/>
      <c r="N49" s="331"/>
      <c r="O49" s="331"/>
      <c r="P49" s="331"/>
      <c r="Q49" s="331"/>
      <c r="R49" s="331"/>
      <c r="S49" s="331"/>
      <c r="T49" s="331"/>
      <c r="U49" s="692"/>
      <c r="V49" s="693"/>
      <c r="W49" s="694"/>
      <c r="X49" s="695"/>
      <c r="Y49" s="371"/>
      <c r="Z49" s="372"/>
      <c r="AA49" s="372"/>
      <c r="AB49" s="372"/>
      <c r="AC49" s="373"/>
      <c r="AD49" s="368"/>
      <c r="AE49" s="369"/>
      <c r="AF49" s="368"/>
      <c r="AG49" s="369"/>
      <c r="AH49" s="330"/>
      <c r="AQ49" s="334"/>
      <c r="AR49" s="334"/>
      <c r="AS49" s="334"/>
      <c r="AT49" s="334"/>
      <c r="AU49" s="334"/>
      <c r="AV49" s="334"/>
      <c r="AW49" s="334"/>
      <c r="AX49" s="334"/>
      <c r="AY49" s="334"/>
      <c r="AZ49" s="334"/>
      <c r="BA49" s="335"/>
      <c r="BB49" s="334"/>
      <c r="BC49" s="334"/>
      <c r="BD49" s="334"/>
      <c r="BE49" s="334"/>
      <c r="BF49" s="334"/>
      <c r="BG49" s="43"/>
      <c r="BK49" s="101"/>
      <c r="BL49" s="101"/>
    </row>
    <row r="50" spans="1:64">
      <c r="A50" s="681"/>
      <c r="B50" s="682"/>
      <c r="C50" s="59"/>
      <c r="D50" s="331"/>
      <c r="E50" s="331"/>
      <c r="F50" s="331"/>
      <c r="G50" s="331"/>
      <c r="H50" s="331"/>
      <c r="I50" s="331"/>
      <c r="J50" s="331"/>
      <c r="K50" s="332"/>
      <c r="L50" s="1"/>
      <c r="M50" s="331"/>
      <c r="N50" s="331"/>
      <c r="O50" s="331"/>
      <c r="P50" s="331"/>
      <c r="Q50" s="331"/>
      <c r="R50" s="331"/>
      <c r="S50" s="331"/>
      <c r="T50" s="331"/>
      <c r="U50" s="692"/>
      <c r="V50" s="693"/>
      <c r="W50" s="694"/>
      <c r="X50" s="695"/>
      <c r="Y50" s="371"/>
      <c r="Z50" s="372"/>
      <c r="AA50" s="372"/>
      <c r="AB50" s="372"/>
      <c r="AC50" s="373"/>
      <c r="AD50" s="368"/>
      <c r="AE50" s="369"/>
      <c r="AF50" s="368"/>
      <c r="AG50" s="369"/>
      <c r="AH50" s="330"/>
      <c r="AI50" s="334"/>
      <c r="AJ50" s="334"/>
      <c r="AK50" s="334"/>
      <c r="AL50" s="334"/>
      <c r="AM50" s="334"/>
      <c r="AN50" s="334"/>
      <c r="AO50" s="334"/>
      <c r="AP50" s="334"/>
      <c r="AQ50" s="334"/>
      <c r="AR50" s="334"/>
      <c r="AS50" s="334"/>
      <c r="AT50" s="334"/>
      <c r="AU50" s="334"/>
      <c r="AV50" s="334"/>
      <c r="AW50" s="334"/>
      <c r="AX50" s="334"/>
      <c r="AY50" s="334"/>
      <c r="AZ50" s="334"/>
      <c r="BA50" s="335"/>
      <c r="BB50" s="334"/>
      <c r="BC50" s="334"/>
      <c r="BD50" s="334"/>
      <c r="BE50" s="334"/>
      <c r="BF50" s="334"/>
      <c r="BG50" s="43"/>
      <c r="BK50" s="101"/>
      <c r="BL50" s="101"/>
    </row>
    <row r="51" spans="1:64">
      <c r="A51" s="681"/>
      <c r="B51" s="682"/>
      <c r="C51" s="59"/>
      <c r="D51" s="198"/>
      <c r="E51" s="198"/>
      <c r="F51" s="198"/>
      <c r="G51" s="198"/>
      <c r="H51" s="198"/>
      <c r="I51" s="198"/>
      <c r="J51" s="198"/>
      <c r="K51" s="199"/>
      <c r="L51" s="1"/>
      <c r="M51" s="198"/>
      <c r="N51" s="198"/>
      <c r="O51" s="198"/>
      <c r="P51" s="198"/>
      <c r="Q51" s="198"/>
      <c r="R51" s="198"/>
      <c r="S51" s="198"/>
      <c r="T51" s="198"/>
      <c r="U51" s="692"/>
      <c r="V51" s="693"/>
      <c r="W51" s="694"/>
      <c r="X51" s="695"/>
      <c r="Y51" s="187"/>
      <c r="Z51" s="188"/>
      <c r="AA51" s="188"/>
      <c r="AB51" s="188"/>
      <c r="AC51" s="189"/>
      <c r="AD51" s="184"/>
      <c r="AE51" s="185"/>
      <c r="AF51" s="184"/>
      <c r="AG51" s="185"/>
      <c r="AH51" s="197"/>
      <c r="AI51" s="19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6"/>
      <c r="BB51" s="195"/>
      <c r="BC51" s="195"/>
      <c r="BD51" s="195"/>
      <c r="BE51" s="195"/>
      <c r="BF51" s="195"/>
      <c r="BG51" s="43"/>
      <c r="BK51" s="101"/>
      <c r="BL51" s="101"/>
    </row>
    <row r="52" spans="1:64">
      <c r="A52" s="681"/>
      <c r="B52" s="682"/>
      <c r="C52" s="59"/>
      <c r="D52" s="195"/>
      <c r="E52" s="195"/>
      <c r="F52" s="195"/>
      <c r="G52" s="195"/>
      <c r="H52" s="195"/>
      <c r="I52" s="195"/>
      <c r="J52" s="195"/>
      <c r="K52" s="196"/>
      <c r="L52" s="36"/>
      <c r="M52" s="195"/>
      <c r="N52" s="195"/>
      <c r="O52" s="195"/>
      <c r="P52" s="195"/>
      <c r="Q52" s="195"/>
      <c r="R52" s="195"/>
      <c r="S52" s="195"/>
      <c r="T52" s="195"/>
      <c r="U52" s="683"/>
      <c r="V52" s="682"/>
      <c r="W52" s="684"/>
      <c r="X52" s="685"/>
      <c r="Y52" s="181"/>
      <c r="Z52" s="182"/>
      <c r="AA52" s="182"/>
      <c r="AB52" s="182"/>
      <c r="AC52" s="183"/>
      <c r="AD52" s="184"/>
      <c r="AE52" s="185"/>
      <c r="AF52" s="184"/>
      <c r="AG52" s="185"/>
      <c r="AH52" s="194"/>
      <c r="AI52" s="195"/>
      <c r="AJ52" s="195"/>
      <c r="AK52" s="195"/>
      <c r="AL52" s="195"/>
      <c r="AM52" s="195"/>
      <c r="AN52" s="195"/>
      <c r="AO52" s="195"/>
      <c r="AP52" s="195"/>
      <c r="AQ52" s="195"/>
      <c r="AR52" s="195"/>
      <c r="AS52" s="195"/>
      <c r="AT52" s="195"/>
      <c r="AU52" s="195"/>
      <c r="AV52" s="195"/>
      <c r="AW52" s="195"/>
      <c r="AX52" s="195"/>
      <c r="AY52" s="195"/>
      <c r="AZ52" s="195"/>
      <c r="BA52" s="196"/>
      <c r="BB52" s="195"/>
      <c r="BC52" s="195"/>
      <c r="BD52" s="195"/>
      <c r="BE52" s="195"/>
      <c r="BF52" s="195"/>
      <c r="BG52" s="43"/>
      <c r="BK52" s="101"/>
      <c r="BL52" s="101"/>
    </row>
    <row r="53" spans="1:64">
      <c r="A53" s="681"/>
      <c r="B53" s="682"/>
      <c r="C53" s="59"/>
      <c r="D53" s="195"/>
      <c r="E53" s="195"/>
      <c r="F53" s="195"/>
      <c r="G53" s="195"/>
      <c r="H53" s="195"/>
      <c r="I53" s="195"/>
      <c r="J53" s="195"/>
      <c r="K53" s="196"/>
      <c r="L53" s="36"/>
      <c r="M53" s="195"/>
      <c r="N53" s="195"/>
      <c r="O53" s="195"/>
      <c r="P53" s="195"/>
      <c r="Q53" s="195"/>
      <c r="R53" s="195"/>
      <c r="S53" s="195"/>
      <c r="T53" s="195"/>
      <c r="U53" s="683"/>
      <c r="V53" s="682"/>
      <c r="W53" s="684"/>
      <c r="X53" s="685"/>
      <c r="Y53" s="181"/>
      <c r="Z53" s="182"/>
      <c r="AA53" s="182"/>
      <c r="AB53" s="182"/>
      <c r="AC53" s="183"/>
      <c r="AD53" s="184"/>
      <c r="AE53" s="185"/>
      <c r="AF53" s="184"/>
      <c r="AG53" s="185"/>
      <c r="AH53" s="194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6"/>
      <c r="BB53" s="195"/>
      <c r="BC53" s="195"/>
      <c r="BD53" s="195"/>
      <c r="BE53" s="195"/>
      <c r="BF53" s="195"/>
      <c r="BG53" s="43"/>
      <c r="BK53" s="120"/>
      <c r="BL53" s="120"/>
    </row>
    <row r="54" spans="1:64">
      <c r="A54" s="681"/>
      <c r="B54" s="682"/>
      <c r="C54" s="59"/>
      <c r="D54" s="195"/>
      <c r="E54" s="195"/>
      <c r="F54" s="195"/>
      <c r="G54" s="195"/>
      <c r="H54" s="195"/>
      <c r="I54" s="195"/>
      <c r="J54" s="195"/>
      <c r="K54" s="196"/>
      <c r="L54" s="36"/>
      <c r="M54" s="195"/>
      <c r="N54" s="195"/>
      <c r="O54" s="195"/>
      <c r="P54" s="195"/>
      <c r="Q54" s="195"/>
      <c r="R54" s="195"/>
      <c r="S54" s="195"/>
      <c r="T54" s="195"/>
      <c r="U54" s="683"/>
      <c r="V54" s="682"/>
      <c r="W54" s="684"/>
      <c r="X54" s="685"/>
      <c r="Y54" s="181"/>
      <c r="Z54" s="182"/>
      <c r="AA54" s="182"/>
      <c r="AB54" s="182"/>
      <c r="AC54" s="183"/>
      <c r="AD54" s="184"/>
      <c r="AE54" s="185"/>
      <c r="AF54" s="184"/>
      <c r="AG54" s="185"/>
      <c r="AH54" s="194"/>
      <c r="AI54" s="195"/>
      <c r="AJ54" s="195"/>
      <c r="AK54" s="195"/>
      <c r="AL54" s="195"/>
      <c r="AM54" s="195"/>
      <c r="AN54" s="195"/>
      <c r="AO54" s="195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BA54" s="196"/>
      <c r="BB54" s="195"/>
      <c r="BC54" s="195"/>
      <c r="BD54" s="195"/>
      <c r="BE54" s="195"/>
      <c r="BF54" s="195"/>
      <c r="BG54" s="43"/>
      <c r="BK54" s="120"/>
      <c r="BL54" s="120"/>
    </row>
    <row r="55" spans="1:64">
      <c r="A55" s="681"/>
      <c r="B55" s="682"/>
      <c r="C55" s="59"/>
      <c r="D55" s="195"/>
      <c r="E55" s="195"/>
      <c r="F55" s="195"/>
      <c r="G55" s="195"/>
      <c r="H55" s="195"/>
      <c r="I55" s="195"/>
      <c r="J55" s="195"/>
      <c r="K55" s="196"/>
      <c r="L55" s="36"/>
      <c r="M55" s="195"/>
      <c r="N55" s="195"/>
      <c r="O55" s="195"/>
      <c r="P55" s="195"/>
      <c r="Q55" s="195"/>
      <c r="R55" s="195"/>
      <c r="S55" s="195"/>
      <c r="T55" s="195"/>
      <c r="U55" s="683"/>
      <c r="V55" s="682"/>
      <c r="W55" s="684"/>
      <c r="X55" s="685"/>
      <c r="Y55" s="181"/>
      <c r="Z55" s="182"/>
      <c r="AA55" s="182"/>
      <c r="AB55" s="182"/>
      <c r="AC55" s="183"/>
      <c r="AD55" s="184"/>
      <c r="AE55" s="185"/>
      <c r="AF55" s="184"/>
      <c r="AG55" s="185"/>
      <c r="AH55" s="194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6"/>
      <c r="BB55" s="195"/>
      <c r="BC55" s="195"/>
      <c r="BD55" s="195"/>
      <c r="BE55" s="195"/>
      <c r="BF55" s="195"/>
      <c r="BG55" s="43"/>
      <c r="BK55" s="120"/>
      <c r="BL55" s="120"/>
    </row>
    <row r="56" spans="1:64">
      <c r="A56" s="681"/>
      <c r="B56" s="682"/>
      <c r="C56" s="59"/>
      <c r="D56" s="195"/>
      <c r="E56" s="195"/>
      <c r="F56" s="195"/>
      <c r="G56" s="195"/>
      <c r="H56" s="195"/>
      <c r="I56" s="195"/>
      <c r="J56" s="195"/>
      <c r="K56" s="196"/>
      <c r="L56" s="36"/>
      <c r="M56" s="195"/>
      <c r="N56" s="195"/>
      <c r="O56" s="195"/>
      <c r="P56" s="195"/>
      <c r="Q56" s="195"/>
      <c r="R56" s="195"/>
      <c r="S56" s="195"/>
      <c r="T56" s="195"/>
      <c r="U56" s="683"/>
      <c r="V56" s="682"/>
      <c r="W56" s="684"/>
      <c r="X56" s="685"/>
      <c r="Y56" s="181"/>
      <c r="Z56" s="182"/>
      <c r="AA56" s="182"/>
      <c r="AB56" s="182"/>
      <c r="AC56" s="183"/>
      <c r="AD56" s="184"/>
      <c r="AE56" s="185"/>
      <c r="AF56" s="184"/>
      <c r="AG56" s="185"/>
      <c r="AH56" s="194"/>
      <c r="AI56" s="195"/>
      <c r="AJ56" s="195"/>
      <c r="AK56" s="195"/>
      <c r="AL56" s="195"/>
      <c r="AM56" s="195"/>
      <c r="AN56" s="195"/>
      <c r="AO56" s="195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BA56" s="196"/>
      <c r="BB56" s="195"/>
      <c r="BC56" s="195"/>
      <c r="BD56" s="195"/>
      <c r="BE56" s="195"/>
      <c r="BF56" s="195"/>
      <c r="BG56" s="43"/>
      <c r="BK56" s="120"/>
      <c r="BL56" s="120"/>
    </row>
    <row r="57" spans="1:64">
      <c r="A57" s="681"/>
      <c r="B57" s="682"/>
      <c r="C57" s="59"/>
      <c r="D57" s="195"/>
      <c r="E57" s="195"/>
      <c r="F57" s="195"/>
      <c r="G57" s="195"/>
      <c r="H57" s="195"/>
      <c r="I57" s="195"/>
      <c r="J57" s="195"/>
      <c r="K57" s="196"/>
      <c r="L57" s="36"/>
      <c r="M57" s="195"/>
      <c r="N57" s="195"/>
      <c r="O57" s="195"/>
      <c r="P57" s="195"/>
      <c r="Q57" s="195"/>
      <c r="R57" s="195"/>
      <c r="S57" s="195"/>
      <c r="T57" s="195"/>
      <c r="U57" s="683"/>
      <c r="V57" s="682"/>
      <c r="W57" s="684"/>
      <c r="X57" s="685"/>
      <c r="Y57" s="181"/>
      <c r="Z57" s="182"/>
      <c r="AA57" s="182"/>
      <c r="AB57" s="182"/>
      <c r="AC57" s="183"/>
      <c r="AD57" s="184"/>
      <c r="AE57" s="185"/>
      <c r="AF57" s="184"/>
      <c r="AG57" s="185"/>
      <c r="AH57" s="194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6"/>
      <c r="BB57" s="195"/>
      <c r="BC57" s="195"/>
      <c r="BD57" s="195"/>
      <c r="BE57" s="195"/>
      <c r="BF57" s="195"/>
      <c r="BG57" s="43"/>
      <c r="BK57" s="101"/>
      <c r="BL57" s="52"/>
    </row>
    <row r="58" spans="1:64">
      <c r="A58" s="681"/>
      <c r="B58" s="682"/>
      <c r="C58" s="59"/>
      <c r="D58" s="195"/>
      <c r="E58" s="195"/>
      <c r="F58" s="195"/>
      <c r="G58" s="195"/>
      <c r="H58" s="195"/>
      <c r="I58" s="195"/>
      <c r="J58" s="195"/>
      <c r="K58" s="196"/>
      <c r="L58" s="36"/>
      <c r="M58" s="195"/>
      <c r="N58" s="195"/>
      <c r="O58" s="195"/>
      <c r="P58" s="195"/>
      <c r="Q58" s="195"/>
      <c r="R58" s="195"/>
      <c r="S58" s="195"/>
      <c r="T58" s="195"/>
      <c r="U58" s="683"/>
      <c r="V58" s="682"/>
      <c r="W58" s="684"/>
      <c r="X58" s="685"/>
      <c r="Y58" s="181"/>
      <c r="Z58" s="182"/>
      <c r="AA58" s="182"/>
      <c r="AB58" s="182"/>
      <c r="AC58" s="183"/>
      <c r="AD58" s="184"/>
      <c r="AE58" s="185"/>
      <c r="AF58" s="184"/>
      <c r="AG58" s="185"/>
      <c r="AH58" s="194"/>
      <c r="AI58" s="195"/>
      <c r="AJ58" s="195"/>
      <c r="AK58" s="195"/>
      <c r="AL58" s="195"/>
      <c r="AM58" s="195"/>
      <c r="AN58" s="195"/>
      <c r="AO58" s="195"/>
      <c r="AP58" s="195"/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BA58" s="196"/>
      <c r="BB58" s="195"/>
      <c r="BC58" s="195"/>
      <c r="BD58" s="195"/>
      <c r="BE58" s="195"/>
      <c r="BF58" s="195"/>
      <c r="BG58" s="43"/>
      <c r="BK58" s="101"/>
      <c r="BL58" s="52"/>
    </row>
    <row r="59" spans="1:64" ht="16.2" thickBot="1">
      <c r="A59" s="201"/>
      <c r="B59" s="201"/>
      <c r="C59" s="201"/>
      <c r="D59" s="201"/>
      <c r="E59" s="201"/>
      <c r="F59" s="201"/>
      <c r="G59" s="201"/>
      <c r="H59" s="201"/>
      <c r="I59" s="201"/>
      <c r="J59" s="201"/>
      <c r="K59" s="202"/>
      <c r="L59" s="201"/>
      <c r="M59" s="201"/>
      <c r="N59" s="201"/>
      <c r="O59" s="201"/>
      <c r="P59" s="201"/>
      <c r="Q59" s="201"/>
      <c r="R59" s="201"/>
      <c r="S59" s="201"/>
      <c r="T59" s="201"/>
      <c r="U59" s="677"/>
      <c r="V59" s="678"/>
      <c r="W59" s="677"/>
      <c r="X59" s="678"/>
      <c r="Y59" s="200"/>
      <c r="Z59" s="201"/>
      <c r="AA59" s="201"/>
      <c r="AB59" s="201"/>
      <c r="AC59" s="202"/>
      <c r="AD59" s="679"/>
      <c r="AE59" s="680"/>
      <c r="AF59" s="679"/>
      <c r="AG59" s="680"/>
      <c r="AH59" s="200"/>
      <c r="AI59" s="201"/>
      <c r="AJ59" s="201"/>
      <c r="AK59" s="201"/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2"/>
      <c r="BK59" s="120"/>
      <c r="BL59" s="52"/>
    </row>
    <row r="60" spans="1:64">
      <c r="BK60" s="101"/>
      <c r="BL60" s="51"/>
    </row>
    <row r="61" spans="1:64">
      <c r="AK61" s="228"/>
      <c r="AL61" s="228"/>
      <c r="AM61" s="228"/>
      <c r="AN61" s="228"/>
      <c r="AO61" s="228"/>
      <c r="AP61" s="228"/>
      <c r="AQ61" s="228"/>
      <c r="AR61" s="228"/>
      <c r="AS61" s="228"/>
      <c r="AT61" s="228"/>
      <c r="AU61" s="228"/>
      <c r="BK61" s="101"/>
      <c r="BL61" s="51"/>
    </row>
    <row r="62" spans="1:64">
      <c r="BK62" s="101"/>
      <c r="BL62" s="51"/>
    </row>
    <row r="63" spans="1:64">
      <c r="BK63" s="101"/>
      <c r="BL63" s="51"/>
    </row>
    <row r="64" spans="1:64">
      <c r="BK64" s="101"/>
      <c r="BL64" s="51"/>
    </row>
    <row r="65" spans="63:64">
      <c r="BK65" s="51"/>
      <c r="BL65" s="51"/>
    </row>
    <row r="66" spans="63:64">
      <c r="BK66" s="51"/>
      <c r="BL66" s="51"/>
    </row>
    <row r="67" spans="63:64">
      <c r="BK67" s="51"/>
      <c r="BL67" s="51"/>
    </row>
    <row r="68" spans="63:64">
      <c r="BK68" s="51"/>
      <c r="BL68" s="51"/>
    </row>
  </sheetData>
  <mergeCells count="202">
    <mergeCell ref="A48:B48"/>
    <mergeCell ref="U48:V48"/>
    <mergeCell ref="W48:X48"/>
    <mergeCell ref="A49:B49"/>
    <mergeCell ref="U49:V49"/>
    <mergeCell ref="W49:X49"/>
    <mergeCell ref="A50:B50"/>
    <mergeCell ref="U50:V50"/>
    <mergeCell ref="W50:X50"/>
    <mergeCell ref="A45:B45"/>
    <mergeCell ref="U45:V45"/>
    <mergeCell ref="W45:X45"/>
    <mergeCell ref="A46:B46"/>
    <mergeCell ref="U46:V46"/>
    <mergeCell ref="W46:X46"/>
    <mergeCell ref="A47:B47"/>
    <mergeCell ref="U47:V47"/>
    <mergeCell ref="W47:X47"/>
    <mergeCell ref="A42:B42"/>
    <mergeCell ref="U42:V42"/>
    <mergeCell ref="W42:X42"/>
    <mergeCell ref="A43:B43"/>
    <mergeCell ref="U43:V43"/>
    <mergeCell ref="W43:X43"/>
    <mergeCell ref="A44:B44"/>
    <mergeCell ref="U44:V44"/>
    <mergeCell ref="W44:X44"/>
    <mergeCell ref="A39:B39"/>
    <mergeCell ref="U39:V39"/>
    <mergeCell ref="W39:X39"/>
    <mergeCell ref="A40:B40"/>
    <mergeCell ref="U40:V40"/>
    <mergeCell ref="W40:X40"/>
    <mergeCell ref="A41:B41"/>
    <mergeCell ref="U41:V41"/>
    <mergeCell ref="W41:X41"/>
    <mergeCell ref="AF59:AG59"/>
    <mergeCell ref="A58:B58"/>
    <mergeCell ref="U58:V58"/>
    <mergeCell ref="W58:X58"/>
    <mergeCell ref="U59:V59"/>
    <mergeCell ref="W59:X59"/>
    <mergeCell ref="AD59:AE59"/>
    <mergeCell ref="A56:B56"/>
    <mergeCell ref="U56:V56"/>
    <mergeCell ref="W56:X56"/>
    <mergeCell ref="A57:B57"/>
    <mergeCell ref="U57:V57"/>
    <mergeCell ref="W57:X57"/>
    <mergeCell ref="A55:B55"/>
    <mergeCell ref="U55:V55"/>
    <mergeCell ref="W55:X55"/>
    <mergeCell ref="A52:B52"/>
    <mergeCell ref="U52:V52"/>
    <mergeCell ref="W52:X52"/>
    <mergeCell ref="A53:B53"/>
    <mergeCell ref="U53:V53"/>
    <mergeCell ref="W53:X53"/>
    <mergeCell ref="A33:B33"/>
    <mergeCell ref="U33:V33"/>
    <mergeCell ref="W33:X33"/>
    <mergeCell ref="A51:B51"/>
    <mergeCell ref="U51:V51"/>
    <mergeCell ref="W51:X51"/>
    <mergeCell ref="A54:B54"/>
    <mergeCell ref="U54:V54"/>
    <mergeCell ref="W54:X54"/>
    <mergeCell ref="A34:B34"/>
    <mergeCell ref="U34:V34"/>
    <mergeCell ref="W34:X34"/>
    <mergeCell ref="A35:B35"/>
    <mergeCell ref="U35:V35"/>
    <mergeCell ref="W35:X35"/>
    <mergeCell ref="A36:B36"/>
    <mergeCell ref="U36:V36"/>
    <mergeCell ref="W36:X36"/>
    <mergeCell ref="A37:B37"/>
    <mergeCell ref="U37:V37"/>
    <mergeCell ref="W37:X37"/>
    <mergeCell ref="A38:B38"/>
    <mergeCell ref="U38:V38"/>
    <mergeCell ref="W38:X38"/>
    <mergeCell ref="A31:B31"/>
    <mergeCell ref="U31:V31"/>
    <mergeCell ref="W31:X31"/>
    <mergeCell ref="A32:B32"/>
    <mergeCell ref="U32:V32"/>
    <mergeCell ref="W32:X32"/>
    <mergeCell ref="A29:B29"/>
    <mergeCell ref="U29:V29"/>
    <mergeCell ref="W29:X29"/>
    <mergeCell ref="A30:B30"/>
    <mergeCell ref="U30:V30"/>
    <mergeCell ref="W30:X30"/>
    <mergeCell ref="A27:B27"/>
    <mergeCell ref="U27:V27"/>
    <mergeCell ref="W27:X27"/>
    <mergeCell ref="A28:B28"/>
    <mergeCell ref="U28:V28"/>
    <mergeCell ref="W28:X28"/>
    <mergeCell ref="A25:B25"/>
    <mergeCell ref="U25:V25"/>
    <mergeCell ref="W25:X25"/>
    <mergeCell ref="A26:B26"/>
    <mergeCell ref="U26:V26"/>
    <mergeCell ref="W26:X26"/>
    <mergeCell ref="A23:B23"/>
    <mergeCell ref="U23:V23"/>
    <mergeCell ref="W23:X23"/>
    <mergeCell ref="A24:B24"/>
    <mergeCell ref="U24:V24"/>
    <mergeCell ref="W24:X24"/>
    <mergeCell ref="A21:B21"/>
    <mergeCell ref="U21:V21"/>
    <mergeCell ref="W21:X21"/>
    <mergeCell ref="A22:B22"/>
    <mergeCell ref="U22:V22"/>
    <mergeCell ref="W22:X22"/>
    <mergeCell ref="A19:B19"/>
    <mergeCell ref="U19:V19"/>
    <mergeCell ref="W19:X19"/>
    <mergeCell ref="A20:B20"/>
    <mergeCell ref="U20:V20"/>
    <mergeCell ref="W20:X20"/>
    <mergeCell ref="A17:B17"/>
    <mergeCell ref="U17:V17"/>
    <mergeCell ref="W17:X17"/>
    <mergeCell ref="A18:B18"/>
    <mergeCell ref="U18:V18"/>
    <mergeCell ref="W18:X18"/>
    <mergeCell ref="A15:B15"/>
    <mergeCell ref="U15:V15"/>
    <mergeCell ref="W15:X15"/>
    <mergeCell ref="A16:B16"/>
    <mergeCell ref="U16:V16"/>
    <mergeCell ref="W16:X16"/>
    <mergeCell ref="A13:B13"/>
    <mergeCell ref="U13:V13"/>
    <mergeCell ref="W13:X13"/>
    <mergeCell ref="A14:B14"/>
    <mergeCell ref="U14:V14"/>
    <mergeCell ref="W14:X14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W10:X10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D6:AE7"/>
    <mergeCell ref="AF6:AG7"/>
    <mergeCell ref="AH6:BA7"/>
    <mergeCell ref="BB6:BG7"/>
    <mergeCell ref="AD34:AE34"/>
    <mergeCell ref="AF34:AG34"/>
    <mergeCell ref="AD35:AE35"/>
    <mergeCell ref="AF35:AG35"/>
    <mergeCell ref="AD36:AE36"/>
    <mergeCell ref="AF36:AG36"/>
    <mergeCell ref="AD37:AE37"/>
    <mergeCell ref="AF37:AG37"/>
    <mergeCell ref="AD38:AE38"/>
    <mergeCell ref="AF38:AG38"/>
    <mergeCell ref="AD44:AE44"/>
    <mergeCell ref="AF44:AG44"/>
    <mergeCell ref="AD45:AE45"/>
    <mergeCell ref="AF45:AG45"/>
    <mergeCell ref="AD46:AE46"/>
    <mergeCell ref="AF46:AG46"/>
    <mergeCell ref="AD47:AE47"/>
    <mergeCell ref="AF47:AG47"/>
    <mergeCell ref="AD39:AE39"/>
    <mergeCell ref="AF39:AG39"/>
    <mergeCell ref="AD40:AE40"/>
    <mergeCell ref="AF40:AG40"/>
    <mergeCell ref="AD41:AE41"/>
    <mergeCell ref="AF41:AG41"/>
    <mergeCell ref="AD42:AE42"/>
    <mergeCell ref="AF42:AG42"/>
    <mergeCell ref="AD43:AE43"/>
    <mergeCell ref="AF43:AG4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BL33"/>
  <sheetViews>
    <sheetView zoomScale="85" zoomScaleNormal="85" workbookViewId="0">
      <selection activeCell="A9" sqref="A9:B19"/>
    </sheetView>
  </sheetViews>
  <sheetFormatPr defaultColWidth="9" defaultRowHeight="15.6"/>
  <cols>
    <col min="1" max="2" width="2.6640625" style="17" customWidth="1"/>
    <col min="3" max="3" width="2.6640625" style="60" customWidth="1"/>
    <col min="4" max="10" width="2.6640625" style="17" customWidth="1"/>
    <col min="11" max="11" width="3.21875" style="17" customWidth="1"/>
    <col min="12" max="12" width="2.77734375" style="17" customWidth="1"/>
    <col min="13" max="29" width="2.6640625" style="17" customWidth="1"/>
    <col min="30" max="30" width="7.109375" style="63" customWidth="1"/>
    <col min="31" max="33" width="2.6640625" style="63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23"/>
      <c r="B3" s="23"/>
      <c r="C3" s="55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67"/>
      <c r="AE3" s="67"/>
      <c r="AF3" s="67"/>
      <c r="AG3" s="67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1356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784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1313</v>
      </c>
      <c r="BL5" s="353" t="s">
        <v>785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906</v>
      </c>
      <c r="D8" s="36"/>
      <c r="E8" s="36"/>
      <c r="F8" s="36"/>
      <c r="G8" s="36"/>
      <c r="H8" s="36"/>
      <c r="I8" s="36"/>
      <c r="J8" s="36"/>
      <c r="K8" s="37"/>
      <c r="L8" s="1" t="s">
        <v>1373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17" t="s">
        <v>16</v>
      </c>
      <c r="Z8" s="72"/>
      <c r="AA8" s="72"/>
      <c r="AB8" s="72"/>
      <c r="AC8" s="73"/>
      <c r="AD8" s="318">
        <v>100</v>
      </c>
      <c r="AE8" s="82"/>
      <c r="AF8" s="318">
        <v>0</v>
      </c>
      <c r="AG8" s="82"/>
      <c r="AH8" s="7" t="s">
        <v>1369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0" t="s">
        <v>31</v>
      </c>
      <c r="BL8" s="52" t="s">
        <v>907</v>
      </c>
    </row>
    <row r="9" spans="1:64">
      <c r="A9" s="681">
        <v>2</v>
      </c>
      <c r="B9" s="682"/>
      <c r="C9" s="386" t="s">
        <v>1534</v>
      </c>
      <c r="D9" s="387"/>
      <c r="E9" s="387"/>
      <c r="F9" s="387"/>
      <c r="G9" s="387"/>
      <c r="H9" s="387"/>
      <c r="I9" s="387"/>
      <c r="J9" s="387"/>
      <c r="K9" s="388"/>
      <c r="L9" s="320" t="s">
        <v>1398</v>
      </c>
      <c r="M9" s="23"/>
      <c r="N9" s="23"/>
      <c r="O9" s="23"/>
      <c r="P9" s="23"/>
      <c r="Q9" s="23"/>
      <c r="R9" s="23"/>
      <c r="S9" s="23"/>
      <c r="T9" s="23"/>
      <c r="U9" s="683"/>
      <c r="V9" s="682"/>
      <c r="W9" s="684"/>
      <c r="X9" s="685"/>
      <c r="Y9" s="316" t="s">
        <v>16</v>
      </c>
      <c r="Z9" s="74"/>
      <c r="AA9" s="74"/>
      <c r="AB9" s="74"/>
      <c r="AC9" s="75"/>
      <c r="AD9" s="315">
        <v>100</v>
      </c>
      <c r="AE9" s="68"/>
      <c r="AF9" s="315">
        <v>0</v>
      </c>
      <c r="AG9" s="68"/>
      <c r="AH9" s="9" t="s">
        <v>1533</v>
      </c>
      <c r="AI9" s="4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41"/>
      <c r="BB9" s="23"/>
      <c r="BC9" s="23"/>
      <c r="BD9" s="23"/>
      <c r="BE9" s="23"/>
      <c r="BF9" s="23"/>
      <c r="BG9" s="43"/>
      <c r="BH9" s="36"/>
      <c r="BK9" s="121" t="s">
        <v>908</v>
      </c>
      <c r="BL9" s="52" t="s">
        <v>909</v>
      </c>
    </row>
    <row r="10" spans="1:64">
      <c r="A10" s="681">
        <v>3</v>
      </c>
      <c r="B10" s="682"/>
      <c r="C10" s="386" t="s">
        <v>1535</v>
      </c>
      <c r="D10" s="390"/>
      <c r="E10" s="390"/>
      <c r="F10" s="390"/>
      <c r="G10" s="390"/>
      <c r="H10" s="390"/>
      <c r="I10" s="390"/>
      <c r="J10" s="390"/>
      <c r="K10" s="391"/>
      <c r="L10" s="1" t="s">
        <v>1400</v>
      </c>
      <c r="M10" s="4"/>
      <c r="N10" s="4"/>
      <c r="O10" s="4"/>
      <c r="P10" s="4"/>
      <c r="Q10" s="4"/>
      <c r="R10" s="4"/>
      <c r="S10" s="4"/>
      <c r="T10" s="4"/>
      <c r="U10" s="692"/>
      <c r="V10" s="693"/>
      <c r="W10" s="694"/>
      <c r="X10" s="695"/>
      <c r="Y10" s="316" t="s">
        <v>16</v>
      </c>
      <c r="Z10" s="74"/>
      <c r="AA10" s="74"/>
      <c r="AB10" s="74"/>
      <c r="AC10" s="75"/>
      <c r="AD10" s="315">
        <v>100</v>
      </c>
      <c r="AE10" s="68"/>
      <c r="AF10" s="315">
        <v>0</v>
      </c>
      <c r="AG10" s="68"/>
      <c r="AH10" s="9" t="s">
        <v>910</v>
      </c>
      <c r="AI10" s="4"/>
      <c r="AJ10" s="4"/>
      <c r="AK10" s="4"/>
      <c r="AL10" s="4"/>
      <c r="AM10" s="4"/>
      <c r="AN10" s="4" t="s">
        <v>1399</v>
      </c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10"/>
      <c r="BB10" s="23"/>
      <c r="BC10" s="23"/>
      <c r="BD10" s="23"/>
      <c r="BE10" s="23"/>
      <c r="BF10" s="23"/>
      <c r="BG10" s="43"/>
      <c r="BH10" s="36"/>
      <c r="BK10" s="120" t="s">
        <v>910</v>
      </c>
      <c r="BL10" s="52" t="s">
        <v>911</v>
      </c>
    </row>
    <row r="11" spans="1:64">
      <c r="A11" s="681">
        <v>4</v>
      </c>
      <c r="B11" s="682"/>
      <c r="C11" s="386" t="s">
        <v>1536</v>
      </c>
      <c r="D11" s="390"/>
      <c r="E11" s="390"/>
      <c r="F11" s="390"/>
      <c r="G11" s="390"/>
      <c r="H11" s="390"/>
      <c r="I11" s="390"/>
      <c r="J11" s="390"/>
      <c r="K11" s="391"/>
      <c r="L11" s="1" t="s">
        <v>1391</v>
      </c>
      <c r="M11" s="4"/>
      <c r="N11" s="4"/>
      <c r="O11" s="4"/>
      <c r="P11" s="4"/>
      <c r="Q11" s="4"/>
      <c r="R11" s="4"/>
      <c r="S11" s="4"/>
      <c r="T11" s="4"/>
      <c r="U11" s="692"/>
      <c r="V11" s="693"/>
      <c r="W11" s="694"/>
      <c r="X11" s="695"/>
      <c r="Y11" s="316" t="s">
        <v>16</v>
      </c>
      <c r="Z11" s="74"/>
      <c r="AA11" s="74"/>
      <c r="AB11" s="74"/>
      <c r="AC11" s="75"/>
      <c r="AD11" s="315">
        <v>100</v>
      </c>
      <c r="AE11" s="68"/>
      <c r="AF11" s="315">
        <v>0</v>
      </c>
      <c r="AG11" s="68"/>
      <c r="AH11" s="9" t="s">
        <v>835</v>
      </c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41"/>
      <c r="BB11" s="48"/>
      <c r="BC11" s="48"/>
      <c r="BD11" s="48"/>
      <c r="BE11" s="48"/>
      <c r="BF11" s="48"/>
      <c r="BG11" s="49"/>
      <c r="BK11" s="120" t="s">
        <v>912</v>
      </c>
      <c r="BL11" s="52" t="s">
        <v>1374</v>
      </c>
    </row>
    <row r="12" spans="1:64">
      <c r="A12" s="681">
        <v>5</v>
      </c>
      <c r="B12" s="682"/>
      <c r="C12" s="386" t="s">
        <v>1538</v>
      </c>
      <c r="D12" s="390"/>
      <c r="E12" s="390"/>
      <c r="F12" s="390"/>
      <c r="G12" s="390"/>
      <c r="H12" s="390"/>
      <c r="I12" s="390"/>
      <c r="J12" s="390"/>
      <c r="K12" s="391"/>
      <c r="L12" s="1" t="s">
        <v>1361</v>
      </c>
      <c r="M12" s="4"/>
      <c r="N12" s="4"/>
      <c r="O12" s="4"/>
      <c r="P12" s="4"/>
      <c r="Q12" s="4"/>
      <c r="R12" s="4"/>
      <c r="S12" s="4"/>
      <c r="T12" s="4"/>
      <c r="U12" s="692"/>
      <c r="V12" s="693"/>
      <c r="W12" s="694"/>
      <c r="X12" s="695"/>
      <c r="Y12" s="316" t="s">
        <v>16</v>
      </c>
      <c r="Z12" s="74"/>
      <c r="AA12" s="74"/>
      <c r="AB12" s="74"/>
      <c r="AC12" s="75"/>
      <c r="AD12" s="315">
        <v>100</v>
      </c>
      <c r="AE12" s="68"/>
      <c r="AF12" s="315">
        <v>0</v>
      </c>
      <c r="AG12" s="68"/>
      <c r="AH12" s="9" t="s">
        <v>1537</v>
      </c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41"/>
      <c r="BB12" s="23"/>
      <c r="BC12" s="23"/>
      <c r="BD12" s="23"/>
      <c r="BE12" s="23"/>
      <c r="BF12" s="23"/>
      <c r="BG12" s="43"/>
      <c r="BK12" s="120" t="s">
        <v>913</v>
      </c>
      <c r="BL12" s="52" t="s">
        <v>914</v>
      </c>
    </row>
    <row r="13" spans="1:64">
      <c r="A13" s="681">
        <v>6</v>
      </c>
      <c r="B13" s="682"/>
      <c r="C13" s="386" t="str">
        <f t="shared" ref="C13:C18" si="0">VLOOKUP(L13,$BK$7:$BL$33,2,FALSE)</f>
        <v>工序ID</v>
      </c>
      <c r="D13" s="390"/>
      <c r="E13" s="390"/>
      <c r="F13" s="390"/>
      <c r="G13" s="390"/>
      <c r="H13" s="390"/>
      <c r="I13" s="390"/>
      <c r="J13" s="390"/>
      <c r="K13" s="391"/>
      <c r="L13" s="1" t="s">
        <v>315</v>
      </c>
      <c r="M13" s="4"/>
      <c r="N13" s="4"/>
      <c r="O13" s="4"/>
      <c r="P13" s="4"/>
      <c r="Q13" s="4"/>
      <c r="R13" s="4"/>
      <c r="S13" s="4"/>
      <c r="T13" s="4"/>
      <c r="U13" s="692"/>
      <c r="V13" s="693"/>
      <c r="W13" s="694"/>
      <c r="X13" s="695"/>
      <c r="Y13" s="316" t="s">
        <v>16</v>
      </c>
      <c r="Z13" s="74"/>
      <c r="AA13" s="74"/>
      <c r="AB13" s="74"/>
      <c r="AC13" s="75"/>
      <c r="AD13" s="315">
        <v>100</v>
      </c>
      <c r="AE13" s="68"/>
      <c r="AF13" s="315">
        <v>0</v>
      </c>
      <c r="AG13" s="68"/>
      <c r="AH13" s="9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41"/>
      <c r="BB13" s="23"/>
      <c r="BC13" s="23"/>
      <c r="BD13" s="23"/>
      <c r="BE13" s="23"/>
      <c r="BF13" s="23"/>
      <c r="BG13" s="43"/>
      <c r="BK13" s="120" t="s">
        <v>915</v>
      </c>
      <c r="BL13" s="52" t="s">
        <v>916</v>
      </c>
    </row>
    <row r="14" spans="1:64">
      <c r="A14" s="681">
        <v>7</v>
      </c>
      <c r="B14" s="682"/>
      <c r="C14" s="59" t="str">
        <f t="shared" si="0"/>
        <v>挂接工序编号</v>
      </c>
      <c r="D14" s="4"/>
      <c r="E14" s="4"/>
      <c r="F14" s="4"/>
      <c r="G14" s="4"/>
      <c r="H14" s="4"/>
      <c r="I14" s="4"/>
      <c r="J14" s="4"/>
      <c r="K14" s="10"/>
      <c r="L14" s="1" t="s">
        <v>305</v>
      </c>
      <c r="M14" s="4"/>
      <c r="N14" s="4"/>
      <c r="O14" s="4"/>
      <c r="P14" s="4"/>
      <c r="Q14" s="4"/>
      <c r="R14" s="4"/>
      <c r="S14" s="4"/>
      <c r="T14" s="4"/>
      <c r="U14" s="692"/>
      <c r="V14" s="693"/>
      <c r="W14" s="694"/>
      <c r="X14" s="695"/>
      <c r="Y14" s="316" t="s">
        <v>16</v>
      </c>
      <c r="Z14" s="74"/>
      <c r="AA14" s="74"/>
      <c r="AB14" s="74"/>
      <c r="AC14" s="75"/>
      <c r="AD14" s="315">
        <v>100</v>
      </c>
      <c r="AE14" s="68"/>
      <c r="AF14" s="315">
        <v>0</v>
      </c>
      <c r="AG14" s="68"/>
      <c r="AH14" s="9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41"/>
      <c r="BB14" s="23"/>
      <c r="BC14" s="23"/>
      <c r="BD14" s="23"/>
      <c r="BE14" s="23"/>
      <c r="BF14" s="23"/>
      <c r="BG14" s="43"/>
      <c r="BK14" s="120" t="s">
        <v>917</v>
      </c>
      <c r="BL14" s="52" t="s">
        <v>918</v>
      </c>
    </row>
    <row r="15" spans="1:64">
      <c r="A15" s="681">
        <v>8</v>
      </c>
      <c r="B15" s="682"/>
      <c r="C15" s="59" t="str">
        <f t="shared" si="0"/>
        <v>最后编辑时间</v>
      </c>
      <c r="D15" s="4"/>
      <c r="E15" s="4"/>
      <c r="F15" s="4"/>
      <c r="G15" s="4"/>
      <c r="H15" s="4"/>
      <c r="I15" s="4"/>
      <c r="J15" s="4"/>
      <c r="K15" s="10"/>
      <c r="L15" s="1" t="s">
        <v>30</v>
      </c>
      <c r="M15" s="4"/>
      <c r="N15" s="4"/>
      <c r="O15" s="4"/>
      <c r="P15" s="4"/>
      <c r="Q15" s="4"/>
      <c r="R15" s="4"/>
      <c r="S15" s="4"/>
      <c r="T15" s="4"/>
      <c r="U15" s="692"/>
      <c r="V15" s="693"/>
      <c r="W15" s="694"/>
      <c r="X15" s="695"/>
      <c r="Y15" s="316" t="s">
        <v>17</v>
      </c>
      <c r="Z15" s="74"/>
      <c r="AA15" s="74"/>
      <c r="AB15" s="74"/>
      <c r="AC15" s="75"/>
      <c r="AD15" s="315"/>
      <c r="AE15" s="68"/>
      <c r="AF15" s="315"/>
      <c r="AG15" s="68"/>
      <c r="AH15" s="9" t="s">
        <v>1322</v>
      </c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41"/>
      <c r="BB15" s="23"/>
      <c r="BC15" s="23"/>
      <c r="BD15" s="23"/>
      <c r="BE15" s="23"/>
      <c r="BF15" s="23"/>
      <c r="BG15" s="43"/>
      <c r="BK15" s="120" t="s">
        <v>919</v>
      </c>
      <c r="BL15" s="52" t="s">
        <v>926</v>
      </c>
    </row>
    <row r="16" spans="1:64">
      <c r="A16" s="681">
        <v>9</v>
      </c>
      <c r="B16" s="682"/>
      <c r="C16" s="59" t="str">
        <f t="shared" si="0"/>
        <v>工序名称</v>
      </c>
      <c r="D16" s="4"/>
      <c r="E16" s="4"/>
      <c r="F16" s="4"/>
      <c r="G16" s="4"/>
      <c r="H16" s="4"/>
      <c r="I16" s="4"/>
      <c r="J16" s="4"/>
      <c r="K16" s="10"/>
      <c r="L16" s="1" t="s">
        <v>306</v>
      </c>
      <c r="M16" s="4"/>
      <c r="N16" s="4"/>
      <c r="O16" s="4"/>
      <c r="P16" s="4"/>
      <c r="Q16" s="4"/>
      <c r="R16" s="4"/>
      <c r="S16" s="4"/>
      <c r="T16" s="4"/>
      <c r="U16" s="692"/>
      <c r="V16" s="693"/>
      <c r="W16" s="694"/>
      <c r="X16" s="695"/>
      <c r="Y16" s="316" t="s">
        <v>16</v>
      </c>
      <c r="Z16" s="74"/>
      <c r="AA16" s="74"/>
      <c r="AB16" s="74"/>
      <c r="AC16" s="75"/>
      <c r="AD16" s="315">
        <v>100</v>
      </c>
      <c r="AE16" s="68"/>
      <c r="AF16" s="315">
        <v>0</v>
      </c>
      <c r="AG16" s="68"/>
      <c r="AH16" s="9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41"/>
      <c r="BB16" s="23"/>
      <c r="BC16" s="23"/>
      <c r="BD16" s="23"/>
      <c r="BE16" s="23"/>
      <c r="BF16" s="23"/>
      <c r="BG16" s="43"/>
      <c r="BK16" s="120" t="s">
        <v>920</v>
      </c>
      <c r="BL16" s="52" t="s">
        <v>921</v>
      </c>
    </row>
    <row r="17" spans="1:64">
      <c r="A17" s="681">
        <v>10</v>
      </c>
      <c r="B17" s="682"/>
      <c r="C17" s="59" t="str">
        <f t="shared" si="0"/>
        <v>计量单位</v>
      </c>
      <c r="D17" s="23"/>
      <c r="E17" s="23"/>
      <c r="F17" s="23"/>
      <c r="G17" s="23"/>
      <c r="H17" s="23"/>
      <c r="I17" s="23"/>
      <c r="J17" s="23"/>
      <c r="K17" s="41"/>
      <c r="L17" s="36" t="s">
        <v>307</v>
      </c>
      <c r="M17" s="23"/>
      <c r="N17" s="23"/>
      <c r="O17" s="23"/>
      <c r="P17" s="23"/>
      <c r="Q17" s="23"/>
      <c r="R17" s="23"/>
      <c r="S17" s="23"/>
      <c r="T17" s="23"/>
      <c r="U17" s="683"/>
      <c r="V17" s="682"/>
      <c r="W17" s="684"/>
      <c r="X17" s="685"/>
      <c r="Y17" s="314" t="s">
        <v>16</v>
      </c>
      <c r="Z17" s="70"/>
      <c r="AA17" s="70"/>
      <c r="AB17" s="70"/>
      <c r="AC17" s="71"/>
      <c r="AD17" s="315">
        <v>100</v>
      </c>
      <c r="AE17" s="68"/>
      <c r="AF17" s="315">
        <v>0</v>
      </c>
      <c r="AG17" s="68"/>
      <c r="AH17" s="42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41"/>
      <c r="BB17" s="23"/>
      <c r="BC17" s="23"/>
      <c r="BD17" s="23"/>
      <c r="BE17" s="23"/>
      <c r="BF17" s="23"/>
      <c r="BG17" s="43"/>
      <c r="BK17" s="120" t="s">
        <v>922</v>
      </c>
      <c r="BL17" s="52" t="s">
        <v>923</v>
      </c>
    </row>
    <row r="18" spans="1:64">
      <c r="A18" s="681">
        <v>11</v>
      </c>
      <c r="B18" s="682"/>
      <c r="C18" s="59" t="str">
        <f t="shared" si="0"/>
        <v>工序库类型</v>
      </c>
      <c r="D18" s="23"/>
      <c r="E18" s="23"/>
      <c r="F18" s="23"/>
      <c r="G18" s="23"/>
      <c r="H18" s="23"/>
      <c r="I18" s="23"/>
      <c r="J18" s="23"/>
      <c r="K18" s="41"/>
      <c r="L18" s="36" t="s">
        <v>309</v>
      </c>
      <c r="M18" s="23"/>
      <c r="N18" s="23"/>
      <c r="O18" s="23"/>
      <c r="P18" s="23"/>
      <c r="Q18" s="23"/>
      <c r="R18" s="23"/>
      <c r="S18" s="23"/>
      <c r="T18" s="23"/>
      <c r="U18" s="683"/>
      <c r="V18" s="682"/>
      <c r="W18" s="684"/>
      <c r="X18" s="685"/>
      <c r="Y18" s="314" t="s">
        <v>16</v>
      </c>
      <c r="Z18" s="70"/>
      <c r="AA18" s="70"/>
      <c r="AB18" s="70"/>
      <c r="AC18" s="71"/>
      <c r="AD18" s="315">
        <v>32</v>
      </c>
      <c r="AE18" s="68"/>
      <c r="AF18" s="315">
        <v>0</v>
      </c>
      <c r="AG18" s="68"/>
      <c r="AH18" s="42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41"/>
      <c r="BB18" s="23"/>
      <c r="BC18" s="23"/>
      <c r="BD18" s="23"/>
      <c r="BE18" s="23"/>
      <c r="BF18" s="23"/>
      <c r="BG18" s="43"/>
      <c r="BK18" s="120" t="s">
        <v>924</v>
      </c>
      <c r="BL18" s="52" t="s">
        <v>925</v>
      </c>
    </row>
    <row r="19" spans="1:64">
      <c r="A19" s="681">
        <v>12</v>
      </c>
      <c r="B19" s="682"/>
      <c r="C19" s="397" t="s">
        <v>1761</v>
      </c>
      <c r="D19" s="230"/>
      <c r="E19" s="230"/>
      <c r="F19" s="230"/>
      <c r="G19" s="230"/>
      <c r="H19" s="230"/>
      <c r="I19" s="230"/>
      <c r="J19" s="230"/>
      <c r="K19" s="238"/>
      <c r="L19" s="1" t="s">
        <v>1763</v>
      </c>
      <c r="M19" s="334"/>
      <c r="N19" s="334"/>
      <c r="O19" s="334"/>
      <c r="P19" s="334"/>
      <c r="Q19" s="334"/>
      <c r="R19" s="334"/>
      <c r="S19" s="334"/>
      <c r="T19" s="334"/>
      <c r="U19" s="683"/>
      <c r="V19" s="682"/>
      <c r="W19" s="684"/>
      <c r="X19" s="685"/>
      <c r="Y19" s="530" t="s">
        <v>303</v>
      </c>
      <c r="Z19" s="531"/>
      <c r="AA19" s="531"/>
      <c r="AB19" s="531"/>
      <c r="AC19" s="532"/>
      <c r="AD19" s="533">
        <v>0</v>
      </c>
      <c r="AE19" s="534"/>
      <c r="AF19" s="533">
        <v>0</v>
      </c>
      <c r="AG19" s="534"/>
      <c r="AH19" s="330" t="s">
        <v>1762</v>
      </c>
      <c r="AI19" s="334"/>
      <c r="AJ19" s="334"/>
      <c r="AK19" s="334"/>
      <c r="AL19" s="230"/>
      <c r="AM19" s="230"/>
      <c r="AN19" s="230"/>
      <c r="AO19" s="230"/>
      <c r="AP19" s="230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5"/>
      <c r="BB19" s="334"/>
      <c r="BC19" s="334"/>
      <c r="BD19" s="334"/>
      <c r="BE19" s="334"/>
      <c r="BF19" s="334"/>
      <c r="BG19" s="43"/>
      <c r="BK19" s="120"/>
      <c r="BL19" s="52"/>
    </row>
    <row r="20" spans="1:64">
      <c r="A20" s="681"/>
      <c r="B20" s="682"/>
      <c r="C20" s="59"/>
      <c r="D20" s="23"/>
      <c r="E20" s="23"/>
      <c r="F20" s="23"/>
      <c r="G20" s="23"/>
      <c r="H20" s="23"/>
      <c r="I20" s="23"/>
      <c r="J20" s="23"/>
      <c r="K20" s="41"/>
      <c r="L20" s="36"/>
      <c r="M20" s="23"/>
      <c r="N20" s="23"/>
      <c r="O20" s="23"/>
      <c r="P20" s="23"/>
      <c r="Q20" s="23"/>
      <c r="R20" s="23"/>
      <c r="S20" s="23"/>
      <c r="T20" s="23"/>
      <c r="U20" s="683"/>
      <c r="V20" s="682"/>
      <c r="W20" s="684"/>
      <c r="X20" s="685"/>
      <c r="Y20" s="69"/>
      <c r="Z20" s="70"/>
      <c r="AA20" s="70"/>
      <c r="AB20" s="70"/>
      <c r="AC20" s="71"/>
      <c r="AD20" s="66"/>
      <c r="AE20" s="68"/>
      <c r="AF20" s="66"/>
      <c r="AG20" s="68"/>
      <c r="AH20" s="42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41"/>
      <c r="BB20" s="23"/>
      <c r="BC20" s="23"/>
      <c r="BD20" s="23"/>
      <c r="BE20" s="23"/>
      <c r="BF20" s="23"/>
      <c r="BG20" s="43"/>
      <c r="BK20" s="51"/>
      <c r="BL20" s="51"/>
    </row>
    <row r="21" spans="1:64" ht="16.2" thickBot="1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6"/>
      <c r="L21" s="45"/>
      <c r="M21" s="45"/>
      <c r="N21" s="45"/>
      <c r="O21" s="45"/>
      <c r="P21" s="45"/>
      <c r="Q21" s="45"/>
      <c r="R21" s="45"/>
      <c r="S21" s="45"/>
      <c r="T21" s="45"/>
      <c r="U21" s="677"/>
      <c r="V21" s="678"/>
      <c r="W21" s="677"/>
      <c r="X21" s="678"/>
      <c r="Y21" s="44"/>
      <c r="Z21" s="45"/>
      <c r="AA21" s="45"/>
      <c r="AB21" s="45"/>
      <c r="AC21" s="46"/>
      <c r="AD21" s="679"/>
      <c r="AE21" s="680"/>
      <c r="AF21" s="679"/>
      <c r="AG21" s="680"/>
      <c r="AH21" s="44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6"/>
      <c r="BK21" s="51"/>
      <c r="BL21" s="51"/>
    </row>
    <row r="22" spans="1:64">
      <c r="BK22" s="51"/>
      <c r="BL22" s="51"/>
    </row>
    <row r="23" spans="1:64">
      <c r="BK23" s="51"/>
      <c r="BL23" s="51"/>
    </row>
    <row r="24" spans="1:64">
      <c r="BK24" s="51"/>
      <c r="BL24" s="51"/>
    </row>
    <row r="25" spans="1:64">
      <c r="BK25" s="51"/>
      <c r="BL25" s="51"/>
    </row>
    <row r="26" spans="1:64">
      <c r="BK26" s="51"/>
      <c r="BL26" s="51"/>
    </row>
    <row r="27" spans="1:64">
      <c r="BK27" s="51"/>
      <c r="BL27" s="51"/>
    </row>
    <row r="28" spans="1:64">
      <c r="BK28" s="51"/>
      <c r="BL28" s="51"/>
    </row>
    <row r="29" spans="1:64">
      <c r="BK29" s="51"/>
      <c r="BL29" s="51"/>
    </row>
    <row r="30" spans="1:64">
      <c r="BK30" s="51"/>
      <c r="BL30" s="51"/>
    </row>
    <row r="31" spans="1:64">
      <c r="BK31" s="51"/>
      <c r="BL31" s="51"/>
    </row>
    <row r="32" spans="1:64">
      <c r="BK32" s="51"/>
      <c r="BL32" s="51"/>
    </row>
    <row r="33" spans="63:64">
      <c r="BK33" s="51"/>
      <c r="BL33" s="51"/>
    </row>
  </sheetData>
  <mergeCells count="60">
    <mergeCell ref="U21:V21"/>
    <mergeCell ref="W21:X21"/>
    <mergeCell ref="AD21:AE21"/>
    <mergeCell ref="AF21:AG21"/>
    <mergeCell ref="A20:B20"/>
    <mergeCell ref="U20:V20"/>
    <mergeCell ref="W20:X20"/>
    <mergeCell ref="A18:B18"/>
    <mergeCell ref="U18:V18"/>
    <mergeCell ref="W18:X18"/>
    <mergeCell ref="A17:B17"/>
    <mergeCell ref="U17:V17"/>
    <mergeCell ref="W17:X17"/>
    <mergeCell ref="A16:B16"/>
    <mergeCell ref="U16:V16"/>
    <mergeCell ref="W16:X16"/>
    <mergeCell ref="A15:B15"/>
    <mergeCell ref="U15:V15"/>
    <mergeCell ref="W15:X15"/>
    <mergeCell ref="W12:X12"/>
    <mergeCell ref="A11:B11"/>
    <mergeCell ref="U11:V11"/>
    <mergeCell ref="W11:X11"/>
    <mergeCell ref="A14:B14"/>
    <mergeCell ref="U14:V14"/>
    <mergeCell ref="W14:X14"/>
    <mergeCell ref="A13:B13"/>
    <mergeCell ref="U13:V13"/>
    <mergeCell ref="W13:X13"/>
    <mergeCell ref="BB6:BG7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AS1:AX1"/>
    <mergeCell ref="BB1:BG1"/>
    <mergeCell ref="G2:T2"/>
    <mergeCell ref="AS2:AX2"/>
    <mergeCell ref="BB2:BG2"/>
    <mergeCell ref="A19:B19"/>
    <mergeCell ref="U19:V19"/>
    <mergeCell ref="W19:X19"/>
    <mergeCell ref="G1:T1"/>
    <mergeCell ref="U1:AO2"/>
    <mergeCell ref="AD6:AE7"/>
    <mergeCell ref="AF6:AG7"/>
    <mergeCell ref="AH6:BA7"/>
    <mergeCell ref="A10:B10"/>
    <mergeCell ref="U10:V10"/>
    <mergeCell ref="W10:X10"/>
    <mergeCell ref="A9:B9"/>
    <mergeCell ref="U9:V9"/>
    <mergeCell ref="W9:X9"/>
    <mergeCell ref="A12:B12"/>
    <mergeCell ref="U12:V1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L36"/>
  <sheetViews>
    <sheetView zoomScale="85" zoomScaleNormal="85" workbookViewId="0">
      <selection activeCell="H4" sqref="H4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137" customWidth="1"/>
    <col min="31" max="33" width="2.6640625" style="137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139"/>
      <c r="B3" s="139"/>
      <c r="C3" s="55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5"/>
      <c r="AE3" s="135"/>
      <c r="AF3" s="135"/>
      <c r="AG3" s="135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39"/>
      <c r="BD3" s="139"/>
      <c r="BE3" s="139"/>
      <c r="BF3" s="139"/>
      <c r="BG3" s="139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1543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800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1321</v>
      </c>
      <c r="BL5" s="353" t="s">
        <v>1323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1542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17" t="s">
        <v>16</v>
      </c>
      <c r="Z8" s="128"/>
      <c r="AA8" s="128"/>
      <c r="AB8" s="128"/>
      <c r="AC8" s="129"/>
      <c r="AD8" s="318">
        <v>100</v>
      </c>
      <c r="AE8" s="136"/>
      <c r="AF8" s="318">
        <v>0</v>
      </c>
      <c r="AG8" s="136"/>
      <c r="AH8" s="7" t="s">
        <v>1363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 t="s">
        <v>316</v>
      </c>
      <c r="BL8" s="51" t="s">
        <v>793</v>
      </c>
    </row>
    <row r="9" spans="1:64">
      <c r="A9" s="681">
        <v>2</v>
      </c>
      <c r="B9" s="682"/>
      <c r="C9" s="59" t="str">
        <f t="shared" ref="C9:C25" si="0">VLOOKUP(L9,$BK$7:$BL$36,2,FALSE)</f>
        <v>项目ID</v>
      </c>
      <c r="D9" s="139"/>
      <c r="E9" s="139"/>
      <c r="F9" s="139"/>
      <c r="G9" s="139"/>
      <c r="H9" s="139"/>
      <c r="I9" s="139"/>
      <c r="J9" s="139"/>
      <c r="K9" s="140"/>
      <c r="L9" s="320" t="s">
        <v>28</v>
      </c>
      <c r="M9" s="139"/>
      <c r="N9" s="139"/>
      <c r="O9" s="139"/>
      <c r="P9" s="139"/>
      <c r="Q9" s="139"/>
      <c r="R9" s="139"/>
      <c r="S9" s="139"/>
      <c r="T9" s="139"/>
      <c r="U9" s="683"/>
      <c r="V9" s="682"/>
      <c r="W9" s="684"/>
      <c r="X9" s="685"/>
      <c r="Y9" s="316" t="s">
        <v>16</v>
      </c>
      <c r="Z9" s="131"/>
      <c r="AA9" s="131"/>
      <c r="AB9" s="131"/>
      <c r="AC9" s="132"/>
      <c r="AD9" s="315">
        <v>100</v>
      </c>
      <c r="AE9" s="134"/>
      <c r="AF9" s="315">
        <v>0</v>
      </c>
      <c r="AG9" s="134"/>
      <c r="AH9" s="141"/>
      <c r="AI9" s="142"/>
      <c r="AJ9" s="139"/>
      <c r="AK9" s="139"/>
      <c r="AL9" s="139"/>
      <c r="AM9" s="139"/>
      <c r="AN9" s="139"/>
      <c r="AO9" s="139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40"/>
      <c r="BB9" s="139"/>
      <c r="BC9" s="139"/>
      <c r="BD9" s="139"/>
      <c r="BE9" s="139"/>
      <c r="BF9" s="139"/>
      <c r="BG9" s="43"/>
      <c r="BH9" s="36"/>
      <c r="BK9" s="51" t="s">
        <v>280</v>
      </c>
      <c r="BL9" s="52" t="s">
        <v>794</v>
      </c>
    </row>
    <row r="10" spans="1:64">
      <c r="A10" s="681">
        <v>3</v>
      </c>
      <c r="B10" s="682"/>
      <c r="C10" s="59" t="str">
        <f t="shared" si="0"/>
        <v>项目名称</v>
      </c>
      <c r="D10" s="142"/>
      <c r="E10" s="142"/>
      <c r="F10" s="142"/>
      <c r="G10" s="142"/>
      <c r="H10" s="142"/>
      <c r="I10" s="142"/>
      <c r="J10" s="142"/>
      <c r="K10" s="143"/>
      <c r="L10" s="1" t="s">
        <v>27</v>
      </c>
      <c r="M10" s="142"/>
      <c r="N10" s="142"/>
      <c r="O10" s="142"/>
      <c r="P10" s="142"/>
      <c r="Q10" s="142"/>
      <c r="R10" s="142"/>
      <c r="S10" s="142"/>
      <c r="T10" s="142"/>
      <c r="U10" s="692"/>
      <c r="V10" s="693"/>
      <c r="W10" s="694"/>
      <c r="X10" s="695"/>
      <c r="Y10" s="316" t="s">
        <v>16</v>
      </c>
      <c r="Z10" s="131"/>
      <c r="AA10" s="131"/>
      <c r="AB10" s="131"/>
      <c r="AC10" s="132"/>
      <c r="AD10" s="315">
        <v>512</v>
      </c>
      <c r="AE10" s="134"/>
      <c r="AF10" s="315">
        <v>0</v>
      </c>
      <c r="AG10" s="134"/>
      <c r="AH10" s="141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3"/>
      <c r="BB10" s="139"/>
      <c r="BC10" s="139"/>
      <c r="BD10" s="139"/>
      <c r="BE10" s="139"/>
      <c r="BF10" s="139"/>
      <c r="BG10" s="43"/>
      <c r="BH10" s="36"/>
      <c r="BK10" s="52" t="s">
        <v>791</v>
      </c>
      <c r="BL10" s="51" t="s">
        <v>795</v>
      </c>
    </row>
    <row r="11" spans="1:64">
      <c r="A11" s="681">
        <v>4</v>
      </c>
      <c r="B11" s="682"/>
      <c r="C11" s="386" t="s">
        <v>1540</v>
      </c>
      <c r="D11" s="390"/>
      <c r="E11" s="390"/>
      <c r="F11" s="390"/>
      <c r="G11" s="390"/>
      <c r="H11" s="390"/>
      <c r="I11" s="390"/>
      <c r="J11" s="390"/>
      <c r="K11" s="391"/>
      <c r="L11" s="1" t="s">
        <v>1361</v>
      </c>
      <c r="M11" s="142"/>
      <c r="N11" s="142"/>
      <c r="O11" s="142"/>
      <c r="P11" s="142"/>
      <c r="Q11" s="142"/>
      <c r="R11" s="142"/>
      <c r="S11" s="142"/>
      <c r="T11" s="142"/>
      <c r="U11" s="692"/>
      <c r="V11" s="693"/>
      <c r="W11" s="694"/>
      <c r="X11" s="695"/>
      <c r="Y11" s="316" t="s">
        <v>16</v>
      </c>
      <c r="Z11" s="131"/>
      <c r="AA11" s="131"/>
      <c r="AB11" s="131"/>
      <c r="AC11" s="132"/>
      <c r="AD11" s="315">
        <v>100</v>
      </c>
      <c r="AE11" s="134"/>
      <c r="AF11" s="315">
        <v>0</v>
      </c>
      <c r="AG11" s="134"/>
      <c r="AH11" s="141" t="s">
        <v>1539</v>
      </c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39"/>
      <c r="AZ11" s="139"/>
      <c r="BA11" s="140"/>
      <c r="BB11" s="48"/>
      <c r="BC11" s="48"/>
      <c r="BD11" s="48"/>
      <c r="BE11" s="48"/>
      <c r="BF11" s="48"/>
      <c r="BG11" s="49"/>
      <c r="BK11" s="51" t="s">
        <v>279</v>
      </c>
      <c r="BL11" s="51" t="s">
        <v>796</v>
      </c>
    </row>
    <row r="12" spans="1:64">
      <c r="A12" s="681">
        <v>5</v>
      </c>
      <c r="B12" s="682"/>
      <c r="C12" s="59" t="str">
        <f t="shared" si="0"/>
        <v>合同编号</v>
      </c>
      <c r="D12" s="142"/>
      <c r="E12" s="142"/>
      <c r="F12" s="142"/>
      <c r="G12" s="142"/>
      <c r="H12" s="142"/>
      <c r="I12" s="142"/>
      <c r="J12" s="142"/>
      <c r="K12" s="143"/>
      <c r="L12" s="1" t="s">
        <v>40</v>
      </c>
      <c r="M12" s="142"/>
      <c r="N12" s="142"/>
      <c r="O12" s="142"/>
      <c r="P12" s="142"/>
      <c r="Q12" s="142"/>
      <c r="R12" s="142"/>
      <c r="S12" s="142"/>
      <c r="T12" s="142"/>
      <c r="U12" s="692"/>
      <c r="V12" s="693"/>
      <c r="W12" s="694"/>
      <c r="X12" s="695"/>
      <c r="Y12" s="316" t="s">
        <v>16</v>
      </c>
      <c r="Z12" s="131"/>
      <c r="AA12" s="131"/>
      <c r="AB12" s="131"/>
      <c r="AC12" s="132"/>
      <c r="AD12" s="315">
        <v>64</v>
      </c>
      <c r="AE12" s="134"/>
      <c r="AF12" s="315">
        <v>0</v>
      </c>
      <c r="AG12" s="134"/>
      <c r="AH12" s="141"/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40"/>
      <c r="BB12" s="139"/>
      <c r="BC12" s="139"/>
      <c r="BD12" s="139"/>
      <c r="BE12" s="139"/>
      <c r="BF12" s="139"/>
      <c r="BG12" s="43"/>
      <c r="BK12" s="51" t="s">
        <v>40</v>
      </c>
      <c r="BL12" s="51" t="s">
        <v>54</v>
      </c>
    </row>
    <row r="13" spans="1:64">
      <c r="A13" s="681">
        <v>6</v>
      </c>
      <c r="B13" s="682"/>
      <c r="C13" s="59" t="str">
        <f t="shared" si="0"/>
        <v>合同名称</v>
      </c>
      <c r="D13" s="142"/>
      <c r="E13" s="142"/>
      <c r="F13" s="142"/>
      <c r="G13" s="142"/>
      <c r="H13" s="142"/>
      <c r="I13" s="142"/>
      <c r="J13" s="142"/>
      <c r="K13" s="143"/>
      <c r="L13" s="1" t="s">
        <v>39</v>
      </c>
      <c r="M13" s="142"/>
      <c r="N13" s="142"/>
      <c r="O13" s="142"/>
      <c r="P13" s="142"/>
      <c r="Q13" s="142"/>
      <c r="R13" s="142"/>
      <c r="S13" s="142"/>
      <c r="T13" s="142"/>
      <c r="U13" s="692"/>
      <c r="V13" s="693"/>
      <c r="W13" s="694"/>
      <c r="X13" s="695"/>
      <c r="Y13" s="316" t="s">
        <v>16</v>
      </c>
      <c r="Z13" s="131"/>
      <c r="AA13" s="131"/>
      <c r="AB13" s="131"/>
      <c r="AC13" s="132"/>
      <c r="AD13" s="315">
        <v>128</v>
      </c>
      <c r="AE13" s="134"/>
      <c r="AF13" s="315">
        <v>0</v>
      </c>
      <c r="AG13" s="134"/>
      <c r="AH13" s="141"/>
      <c r="AQ13" s="139"/>
      <c r="AR13" s="139"/>
      <c r="AS13" s="139"/>
      <c r="AT13" s="139"/>
      <c r="AU13" s="139"/>
      <c r="AV13" s="139"/>
      <c r="AW13" s="139"/>
      <c r="AX13" s="139"/>
      <c r="AY13" s="139"/>
      <c r="AZ13" s="139"/>
      <c r="BA13" s="140"/>
      <c r="BB13" s="139"/>
      <c r="BC13" s="139"/>
      <c r="BD13" s="139"/>
      <c r="BE13" s="139"/>
      <c r="BF13" s="139"/>
      <c r="BG13" s="43"/>
      <c r="BK13" s="51" t="s">
        <v>788</v>
      </c>
      <c r="BL13" s="52" t="s">
        <v>1376</v>
      </c>
    </row>
    <row r="14" spans="1:64">
      <c r="A14" s="681">
        <v>7</v>
      </c>
      <c r="B14" s="682"/>
      <c r="C14" s="386" t="s">
        <v>1541</v>
      </c>
      <c r="D14" s="390"/>
      <c r="E14" s="390"/>
      <c r="F14" s="390"/>
      <c r="G14" s="390"/>
      <c r="H14" s="390"/>
      <c r="I14" s="390"/>
      <c r="J14" s="390"/>
      <c r="K14" s="391"/>
      <c r="L14" s="1" t="s">
        <v>1371</v>
      </c>
      <c r="M14" s="142"/>
      <c r="N14" s="142"/>
      <c r="O14" s="142"/>
      <c r="P14" s="142"/>
      <c r="Q14" s="142"/>
      <c r="R14" s="142"/>
      <c r="S14" s="142"/>
      <c r="T14" s="142"/>
      <c r="U14" s="692"/>
      <c r="V14" s="693"/>
      <c r="W14" s="694"/>
      <c r="X14" s="695"/>
      <c r="Y14" s="316" t="s">
        <v>16</v>
      </c>
      <c r="Z14" s="131"/>
      <c r="AA14" s="131"/>
      <c r="AB14" s="131"/>
      <c r="AC14" s="132"/>
      <c r="AD14" s="315">
        <v>100</v>
      </c>
      <c r="AE14" s="134"/>
      <c r="AF14" s="315">
        <v>0</v>
      </c>
      <c r="AG14" s="134"/>
      <c r="AH14" s="141" t="s">
        <v>1375</v>
      </c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139"/>
      <c r="AV14" s="139"/>
      <c r="AW14" s="139"/>
      <c r="AX14" s="139"/>
      <c r="AY14" s="139"/>
      <c r="AZ14" s="139"/>
      <c r="BA14" s="140"/>
      <c r="BB14" s="139"/>
      <c r="BC14" s="139"/>
      <c r="BD14" s="139"/>
      <c r="BE14" s="139"/>
      <c r="BF14" s="139"/>
      <c r="BG14" s="43"/>
      <c r="BK14" s="51" t="s">
        <v>39</v>
      </c>
      <c r="BL14" s="51" t="s">
        <v>53</v>
      </c>
    </row>
    <row r="15" spans="1:64">
      <c r="A15" s="681">
        <v>8</v>
      </c>
      <c r="B15" s="682"/>
      <c r="C15" s="59" t="str">
        <f t="shared" si="0"/>
        <v>分包清单编号</v>
      </c>
      <c r="D15" s="142"/>
      <c r="E15" s="142"/>
      <c r="F15" s="142"/>
      <c r="G15" s="142"/>
      <c r="H15" s="142"/>
      <c r="I15" s="142"/>
      <c r="J15" s="142"/>
      <c r="K15" s="143"/>
      <c r="L15" s="1" t="s">
        <v>789</v>
      </c>
      <c r="M15" s="142"/>
      <c r="N15" s="142"/>
      <c r="O15" s="142"/>
      <c r="P15" s="142"/>
      <c r="Q15" s="142"/>
      <c r="R15" s="142"/>
      <c r="S15" s="142"/>
      <c r="T15" s="142"/>
      <c r="U15" s="692"/>
      <c r="V15" s="693"/>
      <c r="W15" s="694"/>
      <c r="X15" s="695"/>
      <c r="Y15" s="316" t="s">
        <v>16</v>
      </c>
      <c r="Z15" s="131"/>
      <c r="AA15" s="131"/>
      <c r="AB15" s="131"/>
      <c r="AC15" s="132"/>
      <c r="AD15" s="315">
        <v>256</v>
      </c>
      <c r="AE15" s="134"/>
      <c r="AF15" s="315">
        <v>0</v>
      </c>
      <c r="AG15" s="134"/>
      <c r="AH15" s="141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139"/>
      <c r="AV15" s="139"/>
      <c r="AW15" s="139"/>
      <c r="AX15" s="139"/>
      <c r="AY15" s="139"/>
      <c r="AZ15" s="139"/>
      <c r="BA15" s="140"/>
      <c r="BB15" s="139"/>
      <c r="BC15" s="139"/>
      <c r="BD15" s="139"/>
      <c r="BE15" s="139"/>
      <c r="BF15" s="139"/>
      <c r="BG15" s="43"/>
      <c r="BK15" s="51" t="s">
        <v>31</v>
      </c>
      <c r="BL15" s="51" t="s">
        <v>312</v>
      </c>
    </row>
    <row r="16" spans="1:64">
      <c r="A16" s="681">
        <v>9</v>
      </c>
      <c r="B16" s="682"/>
      <c r="C16" s="59" t="str">
        <f t="shared" si="0"/>
        <v>分包清单名称</v>
      </c>
      <c r="D16" s="142"/>
      <c r="E16" s="142"/>
      <c r="F16" s="142"/>
      <c r="G16" s="142"/>
      <c r="H16" s="142"/>
      <c r="I16" s="142"/>
      <c r="J16" s="142"/>
      <c r="K16" s="143"/>
      <c r="L16" s="1" t="s">
        <v>790</v>
      </c>
      <c r="M16" s="142"/>
      <c r="N16" s="142"/>
      <c r="O16" s="142"/>
      <c r="P16" s="142"/>
      <c r="Q16" s="142"/>
      <c r="R16" s="142"/>
      <c r="S16" s="142"/>
      <c r="T16" s="142"/>
      <c r="U16" s="692"/>
      <c r="V16" s="693"/>
      <c r="W16" s="694"/>
      <c r="X16" s="695"/>
      <c r="Y16" s="316" t="s">
        <v>16</v>
      </c>
      <c r="Z16" s="131"/>
      <c r="AA16" s="131"/>
      <c r="AB16" s="131"/>
      <c r="AC16" s="132"/>
      <c r="AD16" s="315">
        <v>256</v>
      </c>
      <c r="AE16" s="134"/>
      <c r="AF16" s="315">
        <v>0</v>
      </c>
      <c r="AG16" s="134"/>
      <c r="AH16" s="141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40"/>
      <c r="BB16" s="139"/>
      <c r="BC16" s="139"/>
      <c r="BD16" s="139"/>
      <c r="BE16" s="139"/>
      <c r="BF16" s="139"/>
      <c r="BG16" s="43"/>
      <c r="BK16" s="51" t="s">
        <v>789</v>
      </c>
      <c r="BL16" s="51" t="s">
        <v>797</v>
      </c>
    </row>
    <row r="17" spans="1:64">
      <c r="A17" s="681">
        <v>10</v>
      </c>
      <c r="B17" s="682"/>
      <c r="C17" s="59" t="str">
        <f t="shared" si="0"/>
        <v>分包清单单位</v>
      </c>
      <c r="D17" s="139"/>
      <c r="E17" s="139"/>
      <c r="F17" s="139"/>
      <c r="G17" s="139"/>
      <c r="H17" s="139"/>
      <c r="I17" s="139"/>
      <c r="J17" s="139"/>
      <c r="K17" s="140"/>
      <c r="L17" s="36" t="s">
        <v>791</v>
      </c>
      <c r="M17" s="139"/>
      <c r="N17" s="139"/>
      <c r="O17" s="139"/>
      <c r="P17" s="139"/>
      <c r="Q17" s="139"/>
      <c r="R17" s="139"/>
      <c r="S17" s="139"/>
      <c r="T17" s="139"/>
      <c r="U17" s="683"/>
      <c r="V17" s="682"/>
      <c r="W17" s="684"/>
      <c r="X17" s="685"/>
      <c r="Y17" s="314" t="s">
        <v>16</v>
      </c>
      <c r="Z17" s="126"/>
      <c r="AA17" s="126"/>
      <c r="AB17" s="126"/>
      <c r="AC17" s="127"/>
      <c r="AD17" s="315">
        <v>64</v>
      </c>
      <c r="AE17" s="134"/>
      <c r="AF17" s="315">
        <v>0</v>
      </c>
      <c r="AG17" s="134"/>
      <c r="AH17" s="138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139"/>
      <c r="AV17" s="139"/>
      <c r="AW17" s="139"/>
      <c r="AX17" s="139"/>
      <c r="AY17" s="139"/>
      <c r="AZ17" s="139"/>
      <c r="BA17" s="140"/>
      <c r="BB17" s="139"/>
      <c r="BC17" s="139"/>
      <c r="BD17" s="139"/>
      <c r="BE17" s="139"/>
      <c r="BF17" s="139"/>
      <c r="BG17" s="43"/>
      <c r="BK17" s="51" t="s">
        <v>790</v>
      </c>
      <c r="BL17" s="51" t="s">
        <v>798</v>
      </c>
    </row>
    <row r="18" spans="1:64">
      <c r="A18" s="681">
        <v>11</v>
      </c>
      <c r="B18" s="682"/>
      <c r="C18" s="59" t="str">
        <f t="shared" si="0"/>
        <v>是否为主项</v>
      </c>
      <c r="D18" s="139"/>
      <c r="E18" s="139"/>
      <c r="F18" s="139"/>
      <c r="G18" s="139"/>
      <c r="H18" s="139"/>
      <c r="I18" s="139"/>
      <c r="J18" s="139"/>
      <c r="K18" s="140"/>
      <c r="L18" s="36" t="s">
        <v>792</v>
      </c>
      <c r="M18" s="139"/>
      <c r="N18" s="139"/>
      <c r="O18" s="139"/>
      <c r="P18" s="139"/>
      <c r="Q18" s="139"/>
      <c r="R18" s="139"/>
      <c r="S18" s="139"/>
      <c r="T18" s="139"/>
      <c r="U18" s="683"/>
      <c r="V18" s="682"/>
      <c r="W18" s="684"/>
      <c r="X18" s="685"/>
      <c r="Y18" s="314" t="s">
        <v>16</v>
      </c>
      <c r="Z18" s="126"/>
      <c r="AA18" s="126"/>
      <c r="AB18" s="126"/>
      <c r="AC18" s="127"/>
      <c r="AD18" s="315">
        <v>16</v>
      </c>
      <c r="AE18" s="134"/>
      <c r="AF18" s="315">
        <v>0</v>
      </c>
      <c r="AG18" s="134"/>
      <c r="AH18" s="138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40"/>
      <c r="BB18" s="139"/>
      <c r="BC18" s="139"/>
      <c r="BD18" s="139"/>
      <c r="BE18" s="139"/>
      <c r="BF18" s="139"/>
      <c r="BG18" s="43"/>
      <c r="BK18" s="51" t="s">
        <v>792</v>
      </c>
      <c r="BL18" s="51" t="s">
        <v>799</v>
      </c>
    </row>
    <row r="19" spans="1:64">
      <c r="A19" s="681">
        <v>12</v>
      </c>
      <c r="B19" s="682"/>
      <c r="C19" s="386" t="str">
        <f t="shared" si="0"/>
        <v>业主清单ID</v>
      </c>
      <c r="D19" s="387"/>
      <c r="E19" s="387"/>
      <c r="F19" s="387"/>
      <c r="G19" s="387"/>
      <c r="H19" s="387"/>
      <c r="I19" s="387"/>
      <c r="J19" s="387"/>
      <c r="K19" s="388"/>
      <c r="L19" s="36" t="s">
        <v>316</v>
      </c>
      <c r="M19" s="139"/>
      <c r="N19" s="139"/>
      <c r="O19" s="139"/>
      <c r="P19" s="139"/>
      <c r="Q19" s="139"/>
      <c r="R19" s="139"/>
      <c r="S19" s="139"/>
      <c r="T19" s="139"/>
      <c r="U19" s="683"/>
      <c r="V19" s="682"/>
      <c r="W19" s="684"/>
      <c r="X19" s="685"/>
      <c r="Y19" s="314" t="s">
        <v>16</v>
      </c>
      <c r="Z19" s="126"/>
      <c r="AA19" s="126"/>
      <c r="AB19" s="126"/>
      <c r="AC19" s="127"/>
      <c r="AD19" s="315">
        <v>100</v>
      </c>
      <c r="AE19" s="134"/>
      <c r="AF19" s="315">
        <v>0</v>
      </c>
      <c r="AG19" s="134"/>
      <c r="AH19" s="138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40"/>
      <c r="BB19" s="139"/>
      <c r="BC19" s="139"/>
      <c r="BD19" s="139"/>
      <c r="BE19" s="139"/>
      <c r="BF19" s="139"/>
      <c r="BG19" s="43"/>
      <c r="BK19" s="51" t="s">
        <v>30</v>
      </c>
      <c r="BL19" s="51" t="s">
        <v>349</v>
      </c>
    </row>
    <row r="20" spans="1:64">
      <c r="A20" s="681">
        <v>13</v>
      </c>
      <c r="B20" s="682"/>
      <c r="C20" s="59" t="str">
        <f t="shared" si="0"/>
        <v>业主清单编号</v>
      </c>
      <c r="D20" s="139"/>
      <c r="E20" s="139"/>
      <c r="F20" s="139"/>
      <c r="G20" s="139"/>
      <c r="H20" s="139"/>
      <c r="I20" s="139"/>
      <c r="J20" s="139"/>
      <c r="K20" s="140"/>
      <c r="L20" s="36" t="s">
        <v>279</v>
      </c>
      <c r="M20" s="139"/>
      <c r="N20" s="139"/>
      <c r="O20" s="139"/>
      <c r="P20" s="139"/>
      <c r="Q20" s="139"/>
      <c r="R20" s="139"/>
      <c r="S20" s="139"/>
      <c r="T20" s="139"/>
      <c r="U20" s="683"/>
      <c r="V20" s="682"/>
      <c r="W20" s="684"/>
      <c r="X20" s="685"/>
      <c r="Y20" s="314" t="s">
        <v>16</v>
      </c>
      <c r="Z20" s="126"/>
      <c r="AA20" s="126"/>
      <c r="AB20" s="126"/>
      <c r="AC20" s="127"/>
      <c r="AD20" s="315">
        <v>256</v>
      </c>
      <c r="AE20" s="134"/>
      <c r="AF20" s="315">
        <v>0</v>
      </c>
      <c r="AG20" s="134"/>
      <c r="AH20" s="138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140"/>
      <c r="BB20" s="139"/>
      <c r="BC20" s="139"/>
      <c r="BD20" s="139"/>
      <c r="BE20" s="139"/>
      <c r="BF20" s="139"/>
      <c r="BG20" s="43"/>
      <c r="BK20" s="51" t="s">
        <v>27</v>
      </c>
      <c r="BL20" s="51" t="s">
        <v>542</v>
      </c>
    </row>
    <row r="21" spans="1:64">
      <c r="A21" s="681">
        <v>14</v>
      </c>
      <c r="B21" s="682"/>
      <c r="C21" s="59" t="str">
        <f t="shared" si="0"/>
        <v>业主清单名称</v>
      </c>
      <c r="D21" s="139"/>
      <c r="E21" s="139"/>
      <c r="F21" s="139"/>
      <c r="G21" s="139"/>
      <c r="H21" s="139"/>
      <c r="I21" s="139"/>
      <c r="J21" s="139"/>
      <c r="K21" s="140"/>
      <c r="L21" s="36" t="s">
        <v>280</v>
      </c>
      <c r="M21" s="139"/>
      <c r="N21" s="139"/>
      <c r="O21" s="139"/>
      <c r="P21" s="139"/>
      <c r="Q21" s="139"/>
      <c r="R21" s="139"/>
      <c r="S21" s="139"/>
      <c r="T21" s="139"/>
      <c r="U21" s="683"/>
      <c r="V21" s="682"/>
      <c r="W21" s="684"/>
      <c r="X21" s="685"/>
      <c r="Y21" s="314" t="s">
        <v>16</v>
      </c>
      <c r="Z21" s="126"/>
      <c r="AA21" s="126"/>
      <c r="AB21" s="126"/>
      <c r="AC21" s="127"/>
      <c r="AD21" s="315">
        <v>256</v>
      </c>
      <c r="AE21" s="134"/>
      <c r="AF21" s="315">
        <v>0</v>
      </c>
      <c r="AG21" s="134"/>
      <c r="AH21" s="138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40"/>
      <c r="BB21" s="139"/>
      <c r="BC21" s="139"/>
      <c r="BD21" s="139"/>
      <c r="BE21" s="139"/>
      <c r="BF21" s="139"/>
      <c r="BG21" s="43"/>
      <c r="BK21" s="51" t="s">
        <v>314</v>
      </c>
      <c r="BL21" s="52" t="s">
        <v>1366</v>
      </c>
    </row>
    <row r="22" spans="1:64">
      <c r="A22" s="681">
        <v>15</v>
      </c>
      <c r="B22" s="682"/>
      <c r="C22" s="59" t="str">
        <f t="shared" si="0"/>
        <v>最后编辑时间</v>
      </c>
      <c r="D22" s="139"/>
      <c r="E22" s="139"/>
      <c r="F22" s="139"/>
      <c r="G22" s="139"/>
      <c r="H22" s="139"/>
      <c r="I22" s="139"/>
      <c r="J22" s="139"/>
      <c r="K22" s="140"/>
      <c r="L22" s="36" t="s">
        <v>30</v>
      </c>
      <c r="M22" s="139"/>
      <c r="N22" s="139"/>
      <c r="O22" s="139"/>
      <c r="P22" s="139"/>
      <c r="Q22" s="139"/>
      <c r="R22" s="139"/>
      <c r="S22" s="139"/>
      <c r="T22" s="139"/>
      <c r="U22" s="683"/>
      <c r="V22" s="682"/>
      <c r="W22" s="684"/>
      <c r="X22" s="685"/>
      <c r="Y22" s="314" t="s">
        <v>17</v>
      </c>
      <c r="Z22" s="126"/>
      <c r="AA22" s="126"/>
      <c r="AB22" s="126"/>
      <c r="AC22" s="127"/>
      <c r="AD22" s="315"/>
      <c r="AE22" s="134"/>
      <c r="AF22" s="315"/>
      <c r="AG22" s="134"/>
      <c r="AH22" s="330" t="s">
        <v>1325</v>
      </c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40"/>
      <c r="BB22" s="139"/>
      <c r="BC22" s="139"/>
      <c r="BD22" s="139"/>
      <c r="BE22" s="139"/>
      <c r="BF22" s="139"/>
      <c r="BG22" s="43"/>
      <c r="BK22" s="120" t="s">
        <v>28</v>
      </c>
      <c r="BL22" s="52" t="s">
        <v>726</v>
      </c>
    </row>
    <row r="23" spans="1:64">
      <c r="A23" s="681">
        <v>16</v>
      </c>
      <c r="B23" s="682"/>
      <c r="C23" s="59" t="str">
        <f t="shared" si="0"/>
        <v>所属公司ID</v>
      </c>
      <c r="D23" s="139"/>
      <c r="E23" s="139"/>
      <c r="F23" s="139"/>
      <c r="G23" s="139"/>
      <c r="H23" s="139"/>
      <c r="I23" s="139"/>
      <c r="J23" s="139"/>
      <c r="K23" s="140"/>
      <c r="L23" s="36" t="s">
        <v>43</v>
      </c>
      <c r="M23" s="139"/>
      <c r="N23" s="139"/>
      <c r="O23" s="139"/>
      <c r="P23" s="139"/>
      <c r="Q23" s="139"/>
      <c r="R23" s="139"/>
      <c r="S23" s="139"/>
      <c r="T23" s="139"/>
      <c r="U23" s="683"/>
      <c r="V23" s="682"/>
      <c r="W23" s="684"/>
      <c r="X23" s="685"/>
      <c r="Y23" s="314" t="s">
        <v>16</v>
      </c>
      <c r="Z23" s="126"/>
      <c r="AA23" s="126"/>
      <c r="AB23" s="126"/>
      <c r="AC23" s="127"/>
      <c r="AD23" s="315">
        <v>100</v>
      </c>
      <c r="AE23" s="134"/>
      <c r="AF23" s="315">
        <v>0</v>
      </c>
      <c r="AG23" s="134"/>
      <c r="AH23" s="138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40"/>
      <c r="BB23" s="139"/>
      <c r="BC23" s="139"/>
      <c r="BD23" s="139"/>
      <c r="BE23" s="139"/>
      <c r="BF23" s="139"/>
      <c r="BG23" s="43"/>
      <c r="BK23" s="101"/>
      <c r="BL23" s="52"/>
    </row>
    <row r="24" spans="1:64">
      <c r="A24" s="681">
        <v>17</v>
      </c>
      <c r="B24" s="682"/>
      <c r="C24" s="59" t="str">
        <f t="shared" si="0"/>
        <v>所属公司名称</v>
      </c>
      <c r="D24" s="139"/>
      <c r="E24" s="139"/>
      <c r="F24" s="139"/>
      <c r="G24" s="139"/>
      <c r="H24" s="139"/>
      <c r="I24" s="139"/>
      <c r="J24" s="139"/>
      <c r="K24" s="140"/>
      <c r="L24" s="36" t="s">
        <v>308</v>
      </c>
      <c r="M24" s="139"/>
      <c r="N24" s="139"/>
      <c r="O24" s="139"/>
      <c r="P24" s="139"/>
      <c r="Q24" s="139"/>
      <c r="R24" s="139"/>
      <c r="S24" s="139"/>
      <c r="T24" s="139"/>
      <c r="U24" s="683"/>
      <c r="V24" s="682"/>
      <c r="W24" s="684"/>
      <c r="X24" s="685"/>
      <c r="Y24" s="314" t="s">
        <v>16</v>
      </c>
      <c r="Z24" s="126"/>
      <c r="AA24" s="126"/>
      <c r="AB24" s="126"/>
      <c r="AC24" s="127"/>
      <c r="AD24" s="315">
        <v>256</v>
      </c>
      <c r="AE24" s="134"/>
      <c r="AF24" s="315">
        <v>0</v>
      </c>
      <c r="AG24" s="134"/>
      <c r="AH24" s="138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40"/>
      <c r="BB24" s="139"/>
      <c r="BC24" s="139"/>
      <c r="BD24" s="139"/>
      <c r="BE24" s="139"/>
      <c r="BF24" s="139"/>
      <c r="BG24" s="43"/>
      <c r="BK24" s="763" t="s">
        <v>1251</v>
      </c>
      <c r="BL24" s="767"/>
    </row>
    <row r="25" spans="1:64">
      <c r="A25" s="681">
        <v>18</v>
      </c>
      <c r="B25" s="682"/>
      <c r="C25" s="59" t="str">
        <f t="shared" si="0"/>
        <v>所属公司排序</v>
      </c>
      <c r="D25" s="139"/>
      <c r="E25" s="139"/>
      <c r="F25" s="139"/>
      <c r="G25" s="139"/>
      <c r="H25" s="139"/>
      <c r="I25" s="139"/>
      <c r="J25" s="139"/>
      <c r="K25" s="140"/>
      <c r="L25" s="36" t="s">
        <v>714</v>
      </c>
      <c r="M25" s="139"/>
      <c r="N25" s="139"/>
      <c r="O25" s="139"/>
      <c r="P25" s="139"/>
      <c r="Q25" s="139"/>
      <c r="R25" s="139"/>
      <c r="S25" s="139"/>
      <c r="T25" s="139"/>
      <c r="U25" s="683"/>
      <c r="V25" s="682"/>
      <c r="W25" s="684"/>
      <c r="X25" s="685"/>
      <c r="Y25" s="314" t="s">
        <v>16</v>
      </c>
      <c r="Z25" s="126"/>
      <c r="AA25" s="126"/>
      <c r="AB25" s="126"/>
      <c r="AC25" s="127"/>
      <c r="AD25" s="315">
        <v>100</v>
      </c>
      <c r="AE25" s="134"/>
      <c r="AF25" s="315">
        <v>0</v>
      </c>
      <c r="AG25" s="134"/>
      <c r="AH25" s="138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40"/>
      <c r="BB25" s="139"/>
      <c r="BC25" s="139"/>
      <c r="BD25" s="139"/>
      <c r="BE25" s="139"/>
      <c r="BF25" s="139"/>
      <c r="BG25" s="43"/>
      <c r="BK25" s="343" t="s">
        <v>43</v>
      </c>
      <c r="BL25" s="120" t="s">
        <v>1250</v>
      </c>
    </row>
    <row r="26" spans="1:64">
      <c r="A26" s="681"/>
      <c r="B26" s="682"/>
      <c r="C26" s="59"/>
      <c r="D26" s="139"/>
      <c r="E26" s="139"/>
      <c r="F26" s="139"/>
      <c r="G26" s="139"/>
      <c r="H26" s="139"/>
      <c r="I26" s="139"/>
      <c r="J26" s="139"/>
      <c r="K26" s="140"/>
      <c r="L26" s="36"/>
      <c r="M26" s="139"/>
      <c r="N26" s="139"/>
      <c r="O26" s="139"/>
      <c r="P26" s="139"/>
      <c r="Q26" s="139"/>
      <c r="R26" s="139"/>
      <c r="S26" s="139"/>
      <c r="T26" s="139"/>
      <c r="U26" s="683"/>
      <c r="V26" s="682"/>
      <c r="W26" s="684"/>
      <c r="X26" s="685"/>
      <c r="Y26" s="206"/>
      <c r="Z26" s="126"/>
      <c r="AA26" s="126"/>
      <c r="AB26" s="126"/>
      <c r="AC26" s="127"/>
      <c r="AD26" s="205"/>
      <c r="AE26" s="134"/>
      <c r="AF26" s="205"/>
      <c r="AG26" s="134"/>
      <c r="AH26" s="138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  <c r="AU26" s="139"/>
      <c r="AV26" s="139"/>
      <c r="AW26" s="139"/>
      <c r="AX26" s="139"/>
      <c r="AY26" s="139"/>
      <c r="AZ26" s="139"/>
      <c r="BA26" s="140"/>
      <c r="BB26" s="139"/>
      <c r="BC26" s="139"/>
      <c r="BD26" s="139"/>
      <c r="BE26" s="139"/>
      <c r="BF26" s="139"/>
      <c r="BG26" s="43"/>
      <c r="BK26" s="343" t="s">
        <v>308</v>
      </c>
      <c r="BL26" s="120" t="s">
        <v>1249</v>
      </c>
    </row>
    <row r="27" spans="1:64">
      <c r="A27" s="681"/>
      <c r="B27" s="682"/>
      <c r="C27" s="59"/>
      <c r="D27" s="139"/>
      <c r="E27" s="139"/>
      <c r="F27" s="139"/>
      <c r="G27" s="139"/>
      <c r="H27" s="139"/>
      <c r="I27" s="139"/>
      <c r="J27" s="139"/>
      <c r="K27" s="140"/>
      <c r="L27" s="36"/>
      <c r="M27" s="139"/>
      <c r="N27" s="139"/>
      <c r="O27" s="139"/>
      <c r="P27" s="139"/>
      <c r="Q27" s="139"/>
      <c r="R27" s="139"/>
      <c r="S27" s="139"/>
      <c r="T27" s="139"/>
      <c r="U27" s="683"/>
      <c r="V27" s="682"/>
      <c r="W27" s="684"/>
      <c r="X27" s="685"/>
      <c r="Y27" s="206"/>
      <c r="Z27" s="126"/>
      <c r="AA27" s="126"/>
      <c r="AB27" s="126"/>
      <c r="AC27" s="127"/>
      <c r="AD27" s="205"/>
      <c r="AE27" s="134"/>
      <c r="AF27" s="205"/>
      <c r="AG27" s="134"/>
      <c r="AH27" s="138"/>
      <c r="AI27" s="139"/>
      <c r="AJ27" s="139"/>
      <c r="AK27" s="139"/>
      <c r="AL27" s="139"/>
      <c r="AM27" s="139"/>
      <c r="AN27" s="139"/>
      <c r="AO27" s="139"/>
      <c r="AP27" s="139"/>
      <c r="AQ27" s="139"/>
      <c r="AR27" s="139"/>
      <c r="AS27" s="139"/>
      <c r="AT27" s="139"/>
      <c r="AU27" s="139"/>
      <c r="AV27" s="139"/>
      <c r="AW27" s="139"/>
      <c r="AX27" s="139"/>
      <c r="AY27" s="139"/>
      <c r="AZ27" s="139"/>
      <c r="BA27" s="140"/>
      <c r="BB27" s="139"/>
      <c r="BC27" s="139"/>
      <c r="BD27" s="139"/>
      <c r="BE27" s="139"/>
      <c r="BF27" s="139"/>
      <c r="BG27" s="43"/>
      <c r="BK27" s="50" t="s">
        <v>1247</v>
      </c>
      <c r="BL27" s="120" t="s">
        <v>1248</v>
      </c>
    </row>
    <row r="28" spans="1:64">
      <c r="A28" s="681"/>
      <c r="B28" s="682"/>
      <c r="C28" s="59"/>
      <c r="D28" s="139"/>
      <c r="E28" s="139"/>
      <c r="F28" s="139"/>
      <c r="G28" s="139"/>
      <c r="H28" s="139"/>
      <c r="I28" s="139"/>
      <c r="J28" s="139"/>
      <c r="K28" s="140"/>
      <c r="L28" s="36"/>
      <c r="M28" s="139"/>
      <c r="N28" s="139"/>
      <c r="O28" s="139"/>
      <c r="P28" s="139"/>
      <c r="Q28" s="139"/>
      <c r="R28" s="139"/>
      <c r="S28" s="139"/>
      <c r="T28" s="139"/>
      <c r="U28" s="683"/>
      <c r="V28" s="682"/>
      <c r="W28" s="684"/>
      <c r="X28" s="685"/>
      <c r="Y28" s="206"/>
      <c r="Z28" s="126"/>
      <c r="AA28" s="126"/>
      <c r="AB28" s="126"/>
      <c r="AC28" s="127"/>
      <c r="AD28" s="205"/>
      <c r="AE28" s="134"/>
      <c r="AF28" s="205"/>
      <c r="AG28" s="134"/>
      <c r="AH28" s="138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40"/>
      <c r="BB28" s="139"/>
      <c r="BC28" s="139"/>
      <c r="BD28" s="139"/>
      <c r="BE28" s="139"/>
      <c r="BF28" s="139"/>
      <c r="BG28" s="43"/>
      <c r="BK28" s="101"/>
      <c r="BL28" s="101"/>
    </row>
    <row r="29" spans="1:64">
      <c r="A29" s="681"/>
      <c r="B29" s="682"/>
      <c r="C29" s="59"/>
      <c r="D29" s="139"/>
      <c r="E29" s="139"/>
      <c r="F29" s="139"/>
      <c r="G29" s="139"/>
      <c r="H29" s="139"/>
      <c r="I29" s="139"/>
      <c r="J29" s="139"/>
      <c r="K29" s="140"/>
      <c r="L29" s="36"/>
      <c r="M29" s="139"/>
      <c r="N29" s="139"/>
      <c r="O29" s="139"/>
      <c r="P29" s="139"/>
      <c r="Q29" s="139"/>
      <c r="R29" s="139"/>
      <c r="S29" s="139"/>
      <c r="T29" s="139"/>
      <c r="U29" s="683"/>
      <c r="V29" s="682"/>
      <c r="W29" s="684"/>
      <c r="X29" s="685"/>
      <c r="Y29" s="206"/>
      <c r="Z29" s="126"/>
      <c r="AA29" s="126"/>
      <c r="AB29" s="126"/>
      <c r="AC29" s="127"/>
      <c r="AD29" s="205"/>
      <c r="AE29" s="134"/>
      <c r="AF29" s="205"/>
      <c r="AG29" s="134"/>
      <c r="AH29" s="138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40"/>
      <c r="BB29" s="139"/>
      <c r="BC29" s="139"/>
      <c r="BD29" s="139"/>
      <c r="BE29" s="139"/>
      <c r="BF29" s="139"/>
      <c r="BG29" s="43"/>
      <c r="BK29" s="101"/>
      <c r="BL29" s="101"/>
    </row>
    <row r="30" spans="1:64">
      <c r="A30" s="681"/>
      <c r="B30" s="682"/>
      <c r="C30" s="59"/>
      <c r="D30" s="142"/>
      <c r="E30" s="142"/>
      <c r="F30" s="142"/>
      <c r="G30" s="142"/>
      <c r="H30" s="142"/>
      <c r="I30" s="142"/>
      <c r="J30" s="142"/>
      <c r="K30" s="143"/>
      <c r="L30" s="36"/>
      <c r="M30" s="142"/>
      <c r="N30" s="142"/>
      <c r="O30" s="142"/>
      <c r="P30" s="142"/>
      <c r="Q30" s="142"/>
      <c r="R30" s="142"/>
      <c r="S30" s="142"/>
      <c r="T30" s="142"/>
      <c r="U30" s="692"/>
      <c r="V30" s="693"/>
      <c r="W30" s="694"/>
      <c r="X30" s="695"/>
      <c r="Y30" s="204"/>
      <c r="Z30" s="131"/>
      <c r="AA30" s="131"/>
      <c r="AB30" s="131"/>
      <c r="AC30" s="132"/>
      <c r="AD30" s="205"/>
      <c r="AE30" s="134"/>
      <c r="AF30" s="205"/>
      <c r="AG30" s="134"/>
      <c r="AH30" s="141"/>
      <c r="AI30" s="139"/>
      <c r="AJ30" s="139"/>
      <c r="AK30" s="139"/>
      <c r="AL30" s="139"/>
      <c r="AM30" s="139"/>
      <c r="AN30" s="139"/>
      <c r="AO30" s="139"/>
      <c r="AP30" s="139"/>
      <c r="AQ30" s="139"/>
      <c r="AR30" s="139"/>
      <c r="AS30" s="139"/>
      <c r="AT30" s="139"/>
      <c r="AU30" s="139"/>
      <c r="AV30" s="139"/>
      <c r="AW30" s="139"/>
      <c r="AX30" s="139"/>
      <c r="AY30" s="139"/>
      <c r="AZ30" s="139"/>
      <c r="BA30" s="140"/>
      <c r="BB30" s="139"/>
      <c r="BC30" s="139"/>
      <c r="BD30" s="139"/>
      <c r="BE30" s="139"/>
      <c r="BF30" s="139"/>
      <c r="BG30" s="43"/>
      <c r="BK30" s="101"/>
      <c r="BL30" s="101"/>
    </row>
    <row r="31" spans="1:64">
      <c r="A31" s="681"/>
      <c r="B31" s="682"/>
      <c r="C31" s="59"/>
      <c r="D31" s="142"/>
      <c r="E31" s="142"/>
      <c r="F31" s="142"/>
      <c r="G31" s="142"/>
      <c r="H31" s="142"/>
      <c r="I31" s="142"/>
      <c r="J31" s="142"/>
      <c r="K31" s="143"/>
      <c r="L31" s="1"/>
      <c r="M31" s="142"/>
      <c r="N31" s="142"/>
      <c r="O31" s="142"/>
      <c r="P31" s="142"/>
      <c r="Q31" s="142"/>
      <c r="R31" s="142"/>
      <c r="S31" s="142"/>
      <c r="T31" s="142"/>
      <c r="U31" s="692"/>
      <c r="V31" s="693"/>
      <c r="W31" s="694"/>
      <c r="X31" s="695"/>
      <c r="Y31" s="204"/>
      <c r="Z31" s="131"/>
      <c r="AA31" s="131"/>
      <c r="AB31" s="131"/>
      <c r="AC31" s="132"/>
      <c r="AD31" s="205"/>
      <c r="AE31" s="134"/>
      <c r="AF31" s="205"/>
      <c r="AG31" s="134"/>
      <c r="AH31" s="141"/>
      <c r="AQ31" s="139"/>
      <c r="AR31" s="139"/>
      <c r="AS31" s="139"/>
      <c r="AT31" s="139"/>
      <c r="AU31" s="139"/>
      <c r="AV31" s="139"/>
      <c r="AW31" s="139"/>
      <c r="AX31" s="139"/>
      <c r="AY31" s="139"/>
      <c r="AZ31" s="139"/>
      <c r="BA31" s="140"/>
      <c r="BB31" s="139"/>
      <c r="BC31" s="139"/>
      <c r="BD31" s="139"/>
      <c r="BE31" s="139"/>
      <c r="BF31" s="139"/>
      <c r="BG31" s="43"/>
      <c r="BK31" s="101"/>
      <c r="BL31" s="101"/>
    </row>
    <row r="32" spans="1:64">
      <c r="A32" s="681"/>
      <c r="B32" s="682"/>
      <c r="C32" s="59"/>
      <c r="D32" s="142"/>
      <c r="E32" s="142"/>
      <c r="F32" s="142"/>
      <c r="G32" s="142"/>
      <c r="H32" s="142"/>
      <c r="I32" s="142"/>
      <c r="J32" s="142"/>
      <c r="K32" s="143"/>
      <c r="L32" s="1"/>
      <c r="M32" s="142"/>
      <c r="N32" s="142"/>
      <c r="O32" s="142"/>
      <c r="P32" s="142"/>
      <c r="Q32" s="142"/>
      <c r="R32" s="142"/>
      <c r="S32" s="142"/>
      <c r="T32" s="142"/>
      <c r="U32" s="692"/>
      <c r="V32" s="693"/>
      <c r="W32" s="694"/>
      <c r="X32" s="695"/>
      <c r="Y32" s="130"/>
      <c r="Z32" s="131"/>
      <c r="AA32" s="131"/>
      <c r="AB32" s="131"/>
      <c r="AC32" s="132"/>
      <c r="AD32" s="133"/>
      <c r="AE32" s="134"/>
      <c r="AF32" s="133"/>
      <c r="AG32" s="134"/>
      <c r="AH32" s="141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40"/>
      <c r="BB32" s="139"/>
      <c r="BC32" s="139"/>
      <c r="BD32" s="139"/>
      <c r="BE32" s="139"/>
      <c r="BF32" s="139"/>
      <c r="BG32" s="43"/>
      <c r="BK32" s="101"/>
      <c r="BL32" s="101"/>
    </row>
    <row r="33" spans="1:64" ht="16.2" thickBot="1">
      <c r="A33" s="375"/>
      <c r="B33" s="375"/>
      <c r="C33" s="374"/>
      <c r="D33" s="145"/>
      <c r="E33" s="145"/>
      <c r="F33" s="145"/>
      <c r="G33" s="145"/>
      <c r="H33" s="145"/>
      <c r="I33" s="145"/>
      <c r="J33" s="145"/>
      <c r="K33" s="146"/>
      <c r="L33" s="145"/>
      <c r="M33" s="145"/>
      <c r="N33" s="145"/>
      <c r="O33" s="145"/>
      <c r="P33" s="145"/>
      <c r="Q33" s="145"/>
      <c r="R33" s="145"/>
      <c r="S33" s="145"/>
      <c r="T33" s="145"/>
      <c r="U33" s="677"/>
      <c r="V33" s="678"/>
      <c r="W33" s="677"/>
      <c r="X33" s="678"/>
      <c r="Y33" s="144"/>
      <c r="Z33" s="145"/>
      <c r="AA33" s="145"/>
      <c r="AB33" s="145"/>
      <c r="AC33" s="146"/>
      <c r="AD33" s="679"/>
      <c r="AE33" s="680"/>
      <c r="AF33" s="679"/>
      <c r="AG33" s="680"/>
      <c r="AH33" s="144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6"/>
      <c r="BK33" s="101"/>
      <c r="BL33" s="101"/>
    </row>
    <row r="34" spans="1:64">
      <c r="BK34" s="101"/>
      <c r="BL34" s="51"/>
    </row>
    <row r="35" spans="1:64">
      <c r="BK35" s="120"/>
      <c r="BL35" s="51"/>
    </row>
    <row r="36" spans="1:64">
      <c r="BK36" s="51"/>
      <c r="BL36" s="51"/>
    </row>
  </sheetData>
  <mergeCells count="97">
    <mergeCell ref="BK24:BL24"/>
    <mergeCell ref="AD33:AE33"/>
    <mergeCell ref="AF33:AG33"/>
    <mergeCell ref="A30:B30"/>
    <mergeCell ref="U30:V30"/>
    <mergeCell ref="W30:X30"/>
    <mergeCell ref="A31:B31"/>
    <mergeCell ref="U31:V31"/>
    <mergeCell ref="W31:X31"/>
    <mergeCell ref="A32:B32"/>
    <mergeCell ref="U32:V32"/>
    <mergeCell ref="W32:X32"/>
    <mergeCell ref="U33:V33"/>
    <mergeCell ref="W33:X33"/>
    <mergeCell ref="A29:B29"/>
    <mergeCell ref="U29:V29"/>
    <mergeCell ref="W29:X29"/>
    <mergeCell ref="A27:B27"/>
    <mergeCell ref="U27:V27"/>
    <mergeCell ref="W27:X27"/>
    <mergeCell ref="A28:B28"/>
    <mergeCell ref="U28:V28"/>
    <mergeCell ref="W28:X28"/>
    <mergeCell ref="A25:B25"/>
    <mergeCell ref="U25:V25"/>
    <mergeCell ref="W25:X25"/>
    <mergeCell ref="A26:B26"/>
    <mergeCell ref="U26:V26"/>
    <mergeCell ref="W26:X26"/>
    <mergeCell ref="A23:B23"/>
    <mergeCell ref="U23:V23"/>
    <mergeCell ref="W23:X23"/>
    <mergeCell ref="A24:B24"/>
    <mergeCell ref="U24:V24"/>
    <mergeCell ref="W24:X24"/>
    <mergeCell ref="A21:B21"/>
    <mergeCell ref="U21:V21"/>
    <mergeCell ref="W21:X21"/>
    <mergeCell ref="A22:B22"/>
    <mergeCell ref="U22:V22"/>
    <mergeCell ref="W22:X22"/>
    <mergeCell ref="A19:B19"/>
    <mergeCell ref="U19:V19"/>
    <mergeCell ref="W19:X19"/>
    <mergeCell ref="A20:B20"/>
    <mergeCell ref="U20:V20"/>
    <mergeCell ref="W20:X20"/>
    <mergeCell ref="A17:B17"/>
    <mergeCell ref="U17:V17"/>
    <mergeCell ref="W17:X17"/>
    <mergeCell ref="A18:B18"/>
    <mergeCell ref="U18:V18"/>
    <mergeCell ref="W18:X18"/>
    <mergeCell ref="A15:B15"/>
    <mergeCell ref="U15:V15"/>
    <mergeCell ref="W15:X15"/>
    <mergeCell ref="A16:B16"/>
    <mergeCell ref="U16:V16"/>
    <mergeCell ref="W16:X16"/>
    <mergeCell ref="A13:B13"/>
    <mergeCell ref="U13:V13"/>
    <mergeCell ref="W13:X13"/>
    <mergeCell ref="A14:B14"/>
    <mergeCell ref="U14:V14"/>
    <mergeCell ref="W14:X14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W10:X10"/>
    <mergeCell ref="AD6:AE7"/>
    <mergeCell ref="AF6:AG7"/>
    <mergeCell ref="AH6:BA7"/>
    <mergeCell ref="BB6:BG7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BL29"/>
  <sheetViews>
    <sheetView zoomScale="85" zoomScaleNormal="85" workbookViewId="0">
      <selection activeCell="G13" sqref="G13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6.5546875" style="218" customWidth="1"/>
    <col min="31" max="33" width="2.6640625" style="218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4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14"/>
      <c r="AT1" s="715"/>
      <c r="AU1" s="715"/>
      <c r="AV1" s="715"/>
      <c r="AW1" s="715"/>
      <c r="AX1" s="716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4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20"/>
      <c r="AT2" s="721"/>
      <c r="AU2" s="721"/>
      <c r="AV2" s="721"/>
      <c r="AW2" s="721"/>
      <c r="AX2" s="722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4" ht="16.2" thickBot="1">
      <c r="A3" s="220"/>
      <c r="B3" s="220"/>
      <c r="C3" s="55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17"/>
      <c r="AE3" s="217"/>
      <c r="AF3" s="217"/>
      <c r="AG3" s="217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  <c r="AT3" s="220"/>
      <c r="AU3" s="220"/>
      <c r="AV3" s="220"/>
      <c r="AW3" s="220"/>
      <c r="AX3" s="220"/>
      <c r="AY3" s="220"/>
      <c r="AZ3" s="220"/>
      <c r="BA3" s="220"/>
      <c r="BB3" s="220"/>
      <c r="BC3" s="220"/>
      <c r="BD3" s="220"/>
      <c r="BE3" s="220"/>
      <c r="BF3" s="220"/>
      <c r="BG3" s="220"/>
    </row>
    <row r="4" spans="1:64" ht="16.2" thickBot="1">
      <c r="A4" s="24" t="s">
        <v>5</v>
      </c>
      <c r="B4" s="25"/>
      <c r="C4" s="56"/>
      <c r="D4" s="25"/>
      <c r="E4" s="25"/>
      <c r="F4" s="25"/>
      <c r="G4" s="26"/>
      <c r="H4" s="5" t="s">
        <v>1544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802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4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1326</v>
      </c>
      <c r="BL5" s="353" t="s">
        <v>1327</v>
      </c>
    </row>
    <row r="6" spans="1:64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99" t="s">
        <v>19</v>
      </c>
      <c r="V6" s="701"/>
      <c r="W6" s="742" t="s">
        <v>22</v>
      </c>
      <c r="X6" s="743"/>
      <c r="Y6" s="699" t="s">
        <v>11</v>
      </c>
      <c r="Z6" s="700"/>
      <c r="AA6" s="700"/>
      <c r="AB6" s="700"/>
      <c r="AC6" s="701"/>
      <c r="AD6" s="746" t="s">
        <v>12</v>
      </c>
      <c r="AE6" s="747"/>
      <c r="AF6" s="750" t="s">
        <v>13</v>
      </c>
      <c r="AG6" s="751"/>
      <c r="AH6" s="699" t="s">
        <v>14</v>
      </c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4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702"/>
      <c r="V7" s="704"/>
      <c r="W7" s="744"/>
      <c r="X7" s="745"/>
      <c r="Y7" s="702"/>
      <c r="Z7" s="703"/>
      <c r="AA7" s="703"/>
      <c r="AB7" s="703"/>
      <c r="AC7" s="704"/>
      <c r="AD7" s="748"/>
      <c r="AE7" s="749"/>
      <c r="AF7" s="752"/>
      <c r="AG7" s="753"/>
      <c r="AH7" s="702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  <c r="AZ7" s="703"/>
      <c r="BA7" s="70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4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1377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17" t="s">
        <v>16</v>
      </c>
      <c r="Z8" s="207"/>
      <c r="AA8" s="207"/>
      <c r="AB8" s="207"/>
      <c r="AC8" s="208"/>
      <c r="AD8" s="318">
        <v>100</v>
      </c>
      <c r="AE8" s="209"/>
      <c r="AF8" s="318">
        <v>0</v>
      </c>
      <c r="AG8" s="209"/>
      <c r="AH8" s="7" t="s">
        <v>1378</v>
      </c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52" t="s">
        <v>29</v>
      </c>
      <c r="BL8" s="51" t="s">
        <v>49</v>
      </c>
    </row>
    <row r="9" spans="1:64">
      <c r="A9" s="681">
        <v>2</v>
      </c>
      <c r="B9" s="682"/>
      <c r="C9" s="59" t="str">
        <f t="shared" ref="C9:C21" si="0">VLOOKUP(L9,$BK$7:$BL$29,2,FALSE)</f>
        <v>项目ID</v>
      </c>
      <c r="D9" s="220"/>
      <c r="E9" s="220"/>
      <c r="F9" s="220"/>
      <c r="G9" s="220"/>
      <c r="H9" s="220"/>
      <c r="I9" s="220"/>
      <c r="J9" s="220"/>
      <c r="K9" s="221"/>
      <c r="L9" s="320" t="s">
        <v>28</v>
      </c>
      <c r="M9" s="220"/>
      <c r="N9" s="220"/>
      <c r="O9" s="220"/>
      <c r="P9" s="220"/>
      <c r="Q9" s="220"/>
      <c r="R9" s="220"/>
      <c r="S9" s="220"/>
      <c r="T9" s="220"/>
      <c r="U9" s="683"/>
      <c r="V9" s="682"/>
      <c r="W9" s="684"/>
      <c r="X9" s="685"/>
      <c r="Y9" s="316" t="s">
        <v>16</v>
      </c>
      <c r="Z9" s="210"/>
      <c r="AA9" s="210"/>
      <c r="AB9" s="210"/>
      <c r="AC9" s="211"/>
      <c r="AD9" s="315">
        <v>100</v>
      </c>
      <c r="AE9" s="213"/>
      <c r="AF9" s="315">
        <v>0</v>
      </c>
      <c r="AG9" s="213"/>
      <c r="AH9" s="222"/>
      <c r="AI9" s="223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1"/>
      <c r="BB9" s="220"/>
      <c r="BC9" s="220"/>
      <c r="BD9" s="220"/>
      <c r="BE9" s="220"/>
      <c r="BF9" s="220"/>
      <c r="BG9" s="43"/>
      <c r="BH9" s="36"/>
      <c r="BK9" s="51" t="s">
        <v>715</v>
      </c>
      <c r="BL9" s="52" t="s">
        <v>718</v>
      </c>
    </row>
    <row r="10" spans="1:64">
      <c r="A10" s="681">
        <v>3</v>
      </c>
      <c r="B10" s="682"/>
      <c r="C10" s="386" t="s">
        <v>1519</v>
      </c>
      <c r="D10" s="390"/>
      <c r="E10" s="390"/>
      <c r="F10" s="390"/>
      <c r="G10" s="390"/>
      <c r="H10" s="390"/>
      <c r="I10" s="390"/>
      <c r="J10" s="390"/>
      <c r="K10" s="391"/>
      <c r="L10" s="1" t="s">
        <v>1401</v>
      </c>
      <c r="M10" s="223"/>
      <c r="N10" s="223"/>
      <c r="O10" s="223"/>
      <c r="P10" s="223"/>
      <c r="Q10" s="223"/>
      <c r="R10" s="223"/>
      <c r="S10" s="223"/>
      <c r="T10" s="223"/>
      <c r="U10" s="692"/>
      <c r="V10" s="693"/>
      <c r="W10" s="694"/>
      <c r="X10" s="695"/>
      <c r="Y10" s="316" t="s">
        <v>16</v>
      </c>
      <c r="Z10" s="210"/>
      <c r="AA10" s="210"/>
      <c r="AB10" s="210"/>
      <c r="AC10" s="211"/>
      <c r="AD10" s="315">
        <v>100</v>
      </c>
      <c r="AE10" s="213"/>
      <c r="AF10" s="315">
        <v>0</v>
      </c>
      <c r="AG10" s="213"/>
      <c r="AH10" s="222" t="s">
        <v>913</v>
      </c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4"/>
      <c r="BB10" s="220"/>
      <c r="BC10" s="220"/>
      <c r="BD10" s="220"/>
      <c r="BE10" s="220"/>
      <c r="BF10" s="220"/>
      <c r="BG10" s="43"/>
      <c r="BH10" s="36"/>
      <c r="BK10" s="52" t="s">
        <v>712</v>
      </c>
      <c r="BL10" s="51" t="s">
        <v>719</v>
      </c>
    </row>
    <row r="11" spans="1:64">
      <c r="A11" s="681">
        <v>4</v>
      </c>
      <c r="B11" s="682"/>
      <c r="C11" s="59" t="str">
        <f t="shared" si="0"/>
        <v>保证金编号</v>
      </c>
      <c r="D11" s="223"/>
      <c r="E11" s="223"/>
      <c r="F11" s="223"/>
      <c r="G11" s="223"/>
      <c r="H11" s="223"/>
      <c r="I11" s="223"/>
      <c r="J11" s="223"/>
      <c r="K11" s="224"/>
      <c r="L11" s="1" t="s">
        <v>708</v>
      </c>
      <c r="M11" s="223"/>
      <c r="N11" s="223"/>
      <c r="O11" s="223"/>
      <c r="P11" s="223"/>
      <c r="Q11" s="223"/>
      <c r="R11" s="223"/>
      <c r="S11" s="223"/>
      <c r="T11" s="223"/>
      <c r="U11" s="692"/>
      <c r="V11" s="693"/>
      <c r="W11" s="694"/>
      <c r="X11" s="695"/>
      <c r="Y11" s="316" t="s">
        <v>16</v>
      </c>
      <c r="Z11" s="210"/>
      <c r="AA11" s="210"/>
      <c r="AB11" s="210"/>
      <c r="AC11" s="211"/>
      <c r="AD11" s="315">
        <v>32</v>
      </c>
      <c r="AE11" s="213"/>
      <c r="AF11" s="315">
        <v>0</v>
      </c>
      <c r="AG11" s="213"/>
      <c r="AH11" s="222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1"/>
      <c r="BB11" s="48"/>
      <c r="BC11" s="48"/>
      <c r="BD11" s="48"/>
      <c r="BE11" s="48"/>
      <c r="BF11" s="48"/>
      <c r="BG11" s="49"/>
      <c r="BK11" s="51" t="s">
        <v>31</v>
      </c>
      <c r="BL11" s="51" t="s">
        <v>312</v>
      </c>
    </row>
    <row r="12" spans="1:64">
      <c r="A12" s="681">
        <v>5</v>
      </c>
      <c r="B12" s="682"/>
      <c r="C12" s="457" t="str">
        <f t="shared" si="0"/>
        <v>保证金</v>
      </c>
      <c r="D12" s="458"/>
      <c r="E12" s="458"/>
      <c r="F12" s="458"/>
      <c r="G12" s="458"/>
      <c r="H12" s="458"/>
      <c r="I12" s="458"/>
      <c r="J12" s="458"/>
      <c r="K12" s="459"/>
      <c r="L12" s="1" t="s">
        <v>709</v>
      </c>
      <c r="M12" s="223"/>
      <c r="N12" s="223"/>
      <c r="O12" s="223"/>
      <c r="P12" s="223"/>
      <c r="Q12" s="223"/>
      <c r="R12" s="223"/>
      <c r="S12" s="223"/>
      <c r="T12" s="223"/>
      <c r="U12" s="692"/>
      <c r="V12" s="693"/>
      <c r="W12" s="694"/>
      <c r="X12" s="695"/>
      <c r="Y12" s="316" t="s">
        <v>16</v>
      </c>
      <c r="Z12" s="210"/>
      <c r="AA12" s="210"/>
      <c r="AB12" s="210"/>
      <c r="AC12" s="211"/>
      <c r="AD12" s="315">
        <v>128</v>
      </c>
      <c r="AE12" s="213"/>
      <c r="AF12" s="315">
        <v>0</v>
      </c>
      <c r="AG12" s="213"/>
      <c r="AH12" s="222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1"/>
      <c r="BB12" s="220"/>
      <c r="BC12" s="220"/>
      <c r="BD12" s="220"/>
      <c r="BE12" s="220"/>
      <c r="BF12" s="220"/>
      <c r="BG12" s="43"/>
      <c r="BK12" s="51" t="s">
        <v>314</v>
      </c>
      <c r="BL12" s="52" t="s">
        <v>1366</v>
      </c>
    </row>
    <row r="13" spans="1:64">
      <c r="A13" s="681">
        <v>6</v>
      </c>
      <c r="B13" s="682"/>
      <c r="C13" s="457" t="str">
        <f t="shared" si="0"/>
        <v>扣除比例(%)</v>
      </c>
      <c r="D13" s="458"/>
      <c r="E13" s="458"/>
      <c r="F13" s="458"/>
      <c r="G13" s="458"/>
      <c r="H13" s="458"/>
      <c r="I13" s="458"/>
      <c r="J13" s="458"/>
      <c r="K13" s="459"/>
      <c r="L13" s="1" t="s">
        <v>710</v>
      </c>
      <c r="M13" s="223"/>
      <c r="N13" s="223"/>
      <c r="O13" s="223"/>
      <c r="P13" s="223"/>
      <c r="Q13" s="223"/>
      <c r="R13" s="223"/>
      <c r="S13" s="223"/>
      <c r="T13" s="223"/>
      <c r="U13" s="692"/>
      <c r="V13" s="693"/>
      <c r="W13" s="694"/>
      <c r="X13" s="695"/>
      <c r="Y13" s="316" t="s">
        <v>1309</v>
      </c>
      <c r="Z13" s="210"/>
      <c r="AA13" s="210"/>
      <c r="AB13" s="210"/>
      <c r="AC13" s="211"/>
      <c r="AD13" s="315">
        <v>19</v>
      </c>
      <c r="AE13" s="213"/>
      <c r="AF13" s="315">
        <v>6</v>
      </c>
      <c r="AG13" s="213"/>
      <c r="AH13" s="222" t="s">
        <v>1324</v>
      </c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1"/>
      <c r="BB13" s="220"/>
      <c r="BC13" s="220"/>
      <c r="BD13" s="220"/>
      <c r="BE13" s="220"/>
      <c r="BF13" s="220"/>
      <c r="BG13" s="43"/>
      <c r="BK13" s="51" t="s">
        <v>709</v>
      </c>
      <c r="BL13" s="51" t="s">
        <v>720</v>
      </c>
    </row>
    <row r="14" spans="1:64">
      <c r="A14" s="681">
        <v>7</v>
      </c>
      <c r="B14" s="682"/>
      <c r="C14" s="457" t="str">
        <f t="shared" si="0"/>
        <v>返还条件</v>
      </c>
      <c r="D14" s="458"/>
      <c r="E14" s="458"/>
      <c r="F14" s="458"/>
      <c r="G14" s="458"/>
      <c r="H14" s="458"/>
      <c r="I14" s="458"/>
      <c r="J14" s="458"/>
      <c r="K14" s="459"/>
      <c r="L14" s="1" t="s">
        <v>711</v>
      </c>
      <c r="M14" s="223"/>
      <c r="N14" s="223"/>
      <c r="O14" s="223"/>
      <c r="P14" s="223"/>
      <c r="Q14" s="223"/>
      <c r="R14" s="223"/>
      <c r="S14" s="223"/>
      <c r="T14" s="223"/>
      <c r="U14" s="692"/>
      <c r="V14" s="693"/>
      <c r="W14" s="694"/>
      <c r="X14" s="695"/>
      <c r="Y14" s="316" t="s">
        <v>16</v>
      </c>
      <c r="Z14" s="210"/>
      <c r="AA14" s="210"/>
      <c r="AB14" s="210"/>
      <c r="AC14" s="211"/>
      <c r="AD14" s="315">
        <v>256</v>
      </c>
      <c r="AE14" s="213"/>
      <c r="AF14" s="315">
        <v>0</v>
      </c>
      <c r="AG14" s="213"/>
      <c r="AH14" s="222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1"/>
      <c r="BB14" s="220"/>
      <c r="BC14" s="220"/>
      <c r="BD14" s="220"/>
      <c r="BE14" s="220"/>
      <c r="BF14" s="220"/>
      <c r="BG14" s="43"/>
      <c r="BK14" s="51" t="s">
        <v>716</v>
      </c>
      <c r="BL14" s="51" t="s">
        <v>721</v>
      </c>
    </row>
    <row r="15" spans="1:64">
      <c r="A15" s="681">
        <v>8</v>
      </c>
      <c r="B15" s="682"/>
      <c r="C15" s="457" t="str">
        <f t="shared" si="0"/>
        <v>期限</v>
      </c>
      <c r="D15" s="458"/>
      <c r="E15" s="458"/>
      <c r="F15" s="458"/>
      <c r="G15" s="458"/>
      <c r="H15" s="458"/>
      <c r="I15" s="458"/>
      <c r="J15" s="458"/>
      <c r="K15" s="459"/>
      <c r="L15" s="1" t="s">
        <v>712</v>
      </c>
      <c r="M15" s="223"/>
      <c r="N15" s="223"/>
      <c r="O15" s="223"/>
      <c r="P15" s="223"/>
      <c r="Q15" s="223"/>
      <c r="R15" s="223"/>
      <c r="S15" s="223"/>
      <c r="T15" s="223"/>
      <c r="U15" s="692"/>
      <c r="V15" s="693"/>
      <c r="W15" s="694"/>
      <c r="X15" s="695"/>
      <c r="Y15" s="316" t="s">
        <v>16</v>
      </c>
      <c r="Z15" s="210"/>
      <c r="AA15" s="210"/>
      <c r="AB15" s="210"/>
      <c r="AC15" s="211"/>
      <c r="AD15" s="315">
        <v>64</v>
      </c>
      <c r="AE15" s="213"/>
      <c r="AF15" s="315">
        <v>0</v>
      </c>
      <c r="AG15" s="213"/>
      <c r="AH15" s="222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1"/>
      <c r="BB15" s="220"/>
      <c r="BC15" s="220"/>
      <c r="BD15" s="220"/>
      <c r="BE15" s="220"/>
      <c r="BF15" s="220"/>
      <c r="BG15" s="43"/>
      <c r="BK15" s="51" t="s">
        <v>713</v>
      </c>
      <c r="BL15" s="51" t="s">
        <v>722</v>
      </c>
    </row>
    <row r="16" spans="1:64">
      <c r="A16" s="681">
        <v>9</v>
      </c>
      <c r="B16" s="682"/>
      <c r="C16" s="414" t="str">
        <f t="shared" si="0"/>
        <v>备注</v>
      </c>
      <c r="D16" s="417"/>
      <c r="E16" s="417"/>
      <c r="F16" s="417"/>
      <c r="G16" s="417"/>
      <c r="H16" s="417"/>
      <c r="I16" s="417"/>
      <c r="J16" s="417"/>
      <c r="K16" s="418"/>
      <c r="L16" s="1" t="s">
        <v>29</v>
      </c>
      <c r="M16" s="223"/>
      <c r="N16" s="223"/>
      <c r="O16" s="223"/>
      <c r="P16" s="223"/>
      <c r="Q16" s="223"/>
      <c r="R16" s="223"/>
      <c r="S16" s="223"/>
      <c r="T16" s="223"/>
      <c r="U16" s="692"/>
      <c r="V16" s="693"/>
      <c r="W16" s="694"/>
      <c r="X16" s="695"/>
      <c r="Y16" s="316" t="s">
        <v>16</v>
      </c>
      <c r="Z16" s="210"/>
      <c r="AA16" s="210"/>
      <c r="AB16" s="210"/>
      <c r="AC16" s="211"/>
      <c r="AD16" s="315">
        <v>512</v>
      </c>
      <c r="AE16" s="213"/>
      <c r="AF16" s="315">
        <v>0</v>
      </c>
      <c r="AG16" s="213"/>
      <c r="AH16" s="222"/>
      <c r="AI16" s="220"/>
      <c r="AJ16" s="220"/>
      <c r="AK16" s="220"/>
      <c r="AL16" s="220"/>
      <c r="AM16" s="220"/>
      <c r="AN16" s="220"/>
      <c r="AO16" s="220"/>
      <c r="AP16" s="220"/>
      <c r="AQ16" s="220"/>
      <c r="AR16" s="220"/>
      <c r="AS16" s="220"/>
      <c r="AT16" s="220"/>
      <c r="AU16" s="220"/>
      <c r="AV16" s="220"/>
      <c r="AW16" s="220"/>
      <c r="AX16" s="220"/>
      <c r="AY16" s="220"/>
      <c r="AZ16" s="220"/>
      <c r="BA16" s="221"/>
      <c r="BB16" s="220"/>
      <c r="BC16" s="220"/>
      <c r="BD16" s="220"/>
      <c r="BE16" s="220"/>
      <c r="BF16" s="220"/>
      <c r="BG16" s="43"/>
      <c r="BK16" s="51" t="s">
        <v>711</v>
      </c>
      <c r="BL16" s="51" t="s">
        <v>723</v>
      </c>
    </row>
    <row r="17" spans="1:64">
      <c r="A17" s="681">
        <v>10</v>
      </c>
      <c r="B17" s="682"/>
      <c r="C17" s="59" t="str">
        <f t="shared" si="0"/>
        <v>是否允许删除</v>
      </c>
      <c r="D17" s="220"/>
      <c r="E17" s="220"/>
      <c r="F17" s="220"/>
      <c r="G17" s="220"/>
      <c r="H17" s="220"/>
      <c r="I17" s="220"/>
      <c r="J17" s="220"/>
      <c r="K17" s="221"/>
      <c r="L17" s="36" t="s">
        <v>713</v>
      </c>
      <c r="M17" s="220"/>
      <c r="N17" s="220"/>
      <c r="O17" s="220"/>
      <c r="P17" s="220"/>
      <c r="Q17" s="220"/>
      <c r="R17" s="220"/>
      <c r="S17" s="220"/>
      <c r="T17" s="220"/>
      <c r="U17" s="683"/>
      <c r="V17" s="682"/>
      <c r="W17" s="684"/>
      <c r="X17" s="685"/>
      <c r="Y17" s="314" t="s">
        <v>16</v>
      </c>
      <c r="Z17" s="215"/>
      <c r="AA17" s="215"/>
      <c r="AB17" s="215"/>
      <c r="AC17" s="216"/>
      <c r="AD17" s="315">
        <v>16</v>
      </c>
      <c r="AE17" s="213"/>
      <c r="AF17" s="315">
        <v>0</v>
      </c>
      <c r="AG17" s="213"/>
      <c r="AH17" s="219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1"/>
      <c r="BB17" s="220"/>
      <c r="BC17" s="220"/>
      <c r="BD17" s="220"/>
      <c r="BE17" s="220"/>
      <c r="BF17" s="220"/>
      <c r="BG17" s="43"/>
      <c r="BK17" s="51" t="s">
        <v>30</v>
      </c>
      <c r="BL17" s="51" t="s">
        <v>349</v>
      </c>
    </row>
    <row r="18" spans="1:64">
      <c r="A18" s="681">
        <v>11</v>
      </c>
      <c r="B18" s="682"/>
      <c r="C18" s="59" t="str">
        <f t="shared" si="0"/>
        <v>最后编辑时间</v>
      </c>
      <c r="D18" s="220"/>
      <c r="E18" s="220"/>
      <c r="F18" s="220"/>
      <c r="G18" s="220"/>
      <c r="H18" s="220"/>
      <c r="I18" s="220"/>
      <c r="J18" s="220"/>
      <c r="K18" s="221"/>
      <c r="L18" s="36" t="s">
        <v>30</v>
      </c>
      <c r="M18" s="220"/>
      <c r="N18" s="220"/>
      <c r="O18" s="220"/>
      <c r="P18" s="220"/>
      <c r="Q18" s="220"/>
      <c r="R18" s="220"/>
      <c r="S18" s="220"/>
      <c r="T18" s="220"/>
      <c r="U18" s="683"/>
      <c r="V18" s="682"/>
      <c r="W18" s="684"/>
      <c r="X18" s="685"/>
      <c r="Y18" s="314" t="s">
        <v>17</v>
      </c>
      <c r="Z18" s="215"/>
      <c r="AA18" s="215"/>
      <c r="AB18" s="215"/>
      <c r="AC18" s="216"/>
      <c r="AD18" s="315"/>
      <c r="AE18" s="213"/>
      <c r="AF18" s="315"/>
      <c r="AG18" s="213"/>
      <c r="AH18" s="330" t="s">
        <v>1322</v>
      </c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1"/>
      <c r="BB18" s="220"/>
      <c r="BC18" s="220"/>
      <c r="BD18" s="220"/>
      <c r="BE18" s="220"/>
      <c r="BF18" s="220"/>
      <c r="BG18" s="43"/>
      <c r="BK18" s="51" t="s">
        <v>710</v>
      </c>
      <c r="BL18" s="51" t="s">
        <v>724</v>
      </c>
    </row>
    <row r="19" spans="1:64">
      <c r="A19" s="681">
        <v>12</v>
      </c>
      <c r="B19" s="682"/>
      <c r="C19" s="59" t="str">
        <f t="shared" si="0"/>
        <v>所属公司ID</v>
      </c>
      <c r="D19" s="220"/>
      <c r="E19" s="220"/>
      <c r="F19" s="220"/>
      <c r="G19" s="220"/>
      <c r="H19" s="220"/>
      <c r="I19" s="220"/>
      <c r="J19" s="220"/>
      <c r="K19" s="221"/>
      <c r="L19" s="36" t="s">
        <v>43</v>
      </c>
      <c r="M19" s="220"/>
      <c r="N19" s="220"/>
      <c r="O19" s="220"/>
      <c r="P19" s="220"/>
      <c r="Q19" s="220"/>
      <c r="R19" s="220"/>
      <c r="S19" s="220"/>
      <c r="T19" s="220"/>
      <c r="U19" s="683"/>
      <c r="V19" s="682"/>
      <c r="W19" s="684"/>
      <c r="X19" s="685"/>
      <c r="Y19" s="314" t="s">
        <v>16</v>
      </c>
      <c r="Z19" s="215"/>
      <c r="AA19" s="215"/>
      <c r="AB19" s="215"/>
      <c r="AC19" s="216"/>
      <c r="AD19" s="315">
        <v>100</v>
      </c>
      <c r="AE19" s="213"/>
      <c r="AF19" s="315">
        <v>0</v>
      </c>
      <c r="AG19" s="213"/>
      <c r="AH19" s="219"/>
      <c r="AI19" s="220"/>
      <c r="AJ19" s="220"/>
      <c r="AK19" s="220"/>
      <c r="AL19" s="220"/>
      <c r="AM19" s="220"/>
      <c r="AN19" s="220"/>
      <c r="AO19" s="220"/>
      <c r="AP19" s="220"/>
      <c r="AQ19" s="220"/>
      <c r="AR19" s="220"/>
      <c r="AS19" s="220"/>
      <c r="AT19" s="220"/>
      <c r="AU19" s="220"/>
      <c r="AV19" s="220"/>
      <c r="AW19" s="220"/>
      <c r="AX19" s="220"/>
      <c r="AY19" s="220"/>
      <c r="AZ19" s="220"/>
      <c r="BA19" s="221"/>
      <c r="BB19" s="220"/>
      <c r="BC19" s="220"/>
      <c r="BD19" s="220"/>
      <c r="BE19" s="220"/>
      <c r="BF19" s="220"/>
      <c r="BG19" s="43"/>
      <c r="BK19" s="51" t="s">
        <v>708</v>
      </c>
      <c r="BL19" s="51" t="s">
        <v>725</v>
      </c>
    </row>
    <row r="20" spans="1:64">
      <c r="A20" s="681">
        <v>13</v>
      </c>
      <c r="B20" s="682"/>
      <c r="C20" s="59" t="str">
        <f t="shared" si="0"/>
        <v>所属公司名称</v>
      </c>
      <c r="D20" s="220"/>
      <c r="E20" s="220"/>
      <c r="F20" s="220"/>
      <c r="G20" s="220"/>
      <c r="H20" s="220"/>
      <c r="I20" s="220"/>
      <c r="J20" s="220"/>
      <c r="K20" s="221"/>
      <c r="L20" s="36" t="s">
        <v>308</v>
      </c>
      <c r="M20" s="220"/>
      <c r="N20" s="220"/>
      <c r="O20" s="220"/>
      <c r="P20" s="220"/>
      <c r="Q20" s="220"/>
      <c r="R20" s="220"/>
      <c r="S20" s="220"/>
      <c r="T20" s="220"/>
      <c r="U20" s="683"/>
      <c r="V20" s="682"/>
      <c r="W20" s="684"/>
      <c r="X20" s="685"/>
      <c r="Y20" s="314" t="s">
        <v>16</v>
      </c>
      <c r="Z20" s="215"/>
      <c r="AA20" s="215"/>
      <c r="AB20" s="215"/>
      <c r="AC20" s="216"/>
      <c r="AD20" s="315">
        <v>256</v>
      </c>
      <c r="AE20" s="213"/>
      <c r="AF20" s="315">
        <v>0</v>
      </c>
      <c r="AG20" s="213"/>
      <c r="AH20" s="219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1"/>
      <c r="BB20" s="220"/>
      <c r="BC20" s="220"/>
      <c r="BD20" s="220"/>
      <c r="BE20" s="220"/>
      <c r="BF20" s="220"/>
      <c r="BG20" s="43"/>
      <c r="BK20" s="51" t="s">
        <v>28</v>
      </c>
      <c r="BL20" s="51" t="s">
        <v>726</v>
      </c>
    </row>
    <row r="21" spans="1:64">
      <c r="A21" s="681">
        <v>14</v>
      </c>
      <c r="B21" s="682"/>
      <c r="C21" s="59" t="str">
        <f t="shared" si="0"/>
        <v>所属公司排序</v>
      </c>
      <c r="D21" s="220"/>
      <c r="E21" s="220"/>
      <c r="F21" s="220"/>
      <c r="G21" s="220"/>
      <c r="H21" s="220"/>
      <c r="I21" s="220"/>
      <c r="J21" s="220"/>
      <c r="K21" s="221"/>
      <c r="L21" s="36" t="s">
        <v>714</v>
      </c>
      <c r="M21" s="220"/>
      <c r="N21" s="220"/>
      <c r="O21" s="220"/>
      <c r="P21" s="220"/>
      <c r="Q21" s="220"/>
      <c r="R21" s="220"/>
      <c r="S21" s="220"/>
      <c r="T21" s="220"/>
      <c r="U21" s="683"/>
      <c r="V21" s="682"/>
      <c r="W21" s="684"/>
      <c r="X21" s="685"/>
      <c r="Y21" s="314" t="s">
        <v>16</v>
      </c>
      <c r="Z21" s="215"/>
      <c r="AA21" s="215"/>
      <c r="AB21" s="215"/>
      <c r="AC21" s="216"/>
      <c r="AD21" s="315">
        <v>100</v>
      </c>
      <c r="AE21" s="213"/>
      <c r="AF21" s="315">
        <v>0</v>
      </c>
      <c r="AG21" s="213"/>
      <c r="AH21" s="219"/>
      <c r="AI21" s="220"/>
      <c r="AJ21" s="220"/>
      <c r="AK21" s="220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0"/>
      <c r="AW21" s="220"/>
      <c r="AX21" s="220"/>
      <c r="AY21" s="220"/>
      <c r="AZ21" s="220"/>
      <c r="BA21" s="221"/>
      <c r="BB21" s="220"/>
      <c r="BC21" s="220"/>
      <c r="BD21" s="220"/>
      <c r="BE21" s="220"/>
      <c r="BF21" s="220"/>
      <c r="BG21" s="43"/>
      <c r="BK21" s="51" t="s">
        <v>717</v>
      </c>
      <c r="BL21" s="51" t="s">
        <v>727</v>
      </c>
    </row>
    <row r="22" spans="1:64">
      <c r="A22" s="681"/>
      <c r="B22" s="682"/>
      <c r="C22" s="59"/>
      <c r="D22" s="220"/>
      <c r="E22" s="220"/>
      <c r="F22" s="220"/>
      <c r="G22" s="220"/>
      <c r="H22" s="220"/>
      <c r="I22" s="220"/>
      <c r="J22" s="220"/>
      <c r="K22" s="221"/>
      <c r="L22" s="36"/>
      <c r="M22" s="220"/>
      <c r="N22" s="220"/>
      <c r="O22" s="220"/>
      <c r="P22" s="220"/>
      <c r="Q22" s="220"/>
      <c r="R22" s="220"/>
      <c r="S22" s="220"/>
      <c r="T22" s="220"/>
      <c r="U22" s="683"/>
      <c r="V22" s="682"/>
      <c r="W22" s="684"/>
      <c r="X22" s="685"/>
      <c r="Y22" s="214"/>
      <c r="Z22" s="215"/>
      <c r="AA22" s="215"/>
      <c r="AB22" s="215"/>
      <c r="AC22" s="216"/>
      <c r="AD22" s="212"/>
      <c r="AE22" s="213"/>
      <c r="AF22" s="212"/>
      <c r="AG22" s="213"/>
      <c r="AH22" s="219"/>
      <c r="AI22" s="220"/>
      <c r="AJ22" s="220"/>
      <c r="AK22" s="220"/>
      <c r="AL22" s="220"/>
      <c r="AM22" s="220"/>
      <c r="AN22" s="220"/>
      <c r="AO22" s="220"/>
      <c r="AP22" s="220"/>
      <c r="AQ22" s="220"/>
      <c r="AR22" s="220"/>
      <c r="AS22" s="220"/>
      <c r="AT22" s="220"/>
      <c r="AU22" s="220"/>
      <c r="AV22" s="220"/>
      <c r="AW22" s="220"/>
      <c r="AX22" s="220"/>
      <c r="AY22" s="220"/>
      <c r="AZ22" s="220"/>
      <c r="BA22" s="221"/>
      <c r="BB22" s="220"/>
      <c r="BC22" s="220"/>
      <c r="BD22" s="220"/>
      <c r="BE22" s="220"/>
      <c r="BF22" s="220"/>
      <c r="BG22" s="43"/>
      <c r="BK22" s="101"/>
      <c r="BL22" s="51"/>
    </row>
    <row r="23" spans="1:64">
      <c r="A23" s="681"/>
      <c r="B23" s="682"/>
      <c r="C23" s="59"/>
      <c r="D23" s="220"/>
      <c r="E23" s="220"/>
      <c r="F23" s="220"/>
      <c r="G23" s="220"/>
      <c r="H23" s="220"/>
      <c r="I23" s="220"/>
      <c r="J23" s="220"/>
      <c r="K23" s="221"/>
      <c r="L23" s="36"/>
      <c r="M23" s="220"/>
      <c r="N23" s="220"/>
      <c r="O23" s="220"/>
      <c r="P23" s="220"/>
      <c r="Q23" s="220"/>
      <c r="R23" s="220"/>
      <c r="S23" s="220"/>
      <c r="T23" s="220"/>
      <c r="U23" s="683"/>
      <c r="V23" s="682"/>
      <c r="W23" s="684"/>
      <c r="X23" s="685"/>
      <c r="Y23" s="214"/>
      <c r="Z23" s="215"/>
      <c r="AA23" s="215"/>
      <c r="AB23" s="215"/>
      <c r="AC23" s="216"/>
      <c r="AD23" s="212"/>
      <c r="AE23" s="213"/>
      <c r="AF23" s="212"/>
      <c r="AG23" s="213"/>
      <c r="AH23" s="219"/>
      <c r="AI23" s="220"/>
      <c r="AJ23" s="220"/>
      <c r="AK23" s="220"/>
      <c r="AL23" s="220"/>
      <c r="AM23" s="220"/>
      <c r="AN23" s="220"/>
      <c r="AO23" s="220"/>
      <c r="AP23" s="220"/>
      <c r="AQ23" s="220"/>
      <c r="AR23" s="220"/>
      <c r="AS23" s="220"/>
      <c r="AT23" s="220"/>
      <c r="AU23" s="220"/>
      <c r="AV23" s="220"/>
      <c r="AW23" s="220"/>
      <c r="AX23" s="220"/>
      <c r="AY23" s="220"/>
      <c r="AZ23" s="220"/>
      <c r="BA23" s="221"/>
      <c r="BB23" s="220"/>
      <c r="BC23" s="220"/>
      <c r="BD23" s="220"/>
      <c r="BE23" s="220"/>
      <c r="BF23" s="220"/>
      <c r="BG23" s="43"/>
      <c r="BK23" s="101"/>
      <c r="BL23" s="52"/>
    </row>
    <row r="24" spans="1:64" ht="16.2" thickBot="1">
      <c r="A24" s="226"/>
      <c r="B24" s="226"/>
      <c r="C24" s="226"/>
      <c r="D24" s="226"/>
      <c r="E24" s="226"/>
      <c r="F24" s="226"/>
      <c r="G24" s="226"/>
      <c r="H24" s="226"/>
      <c r="I24" s="226"/>
      <c r="J24" s="226"/>
      <c r="K24" s="227"/>
      <c r="L24" s="226"/>
      <c r="M24" s="226"/>
      <c r="N24" s="226"/>
      <c r="O24" s="226"/>
      <c r="P24" s="226"/>
      <c r="Q24" s="226"/>
      <c r="R24" s="226"/>
      <c r="S24" s="226"/>
      <c r="T24" s="226"/>
      <c r="U24" s="677"/>
      <c r="V24" s="678"/>
      <c r="W24" s="677"/>
      <c r="X24" s="678"/>
      <c r="Y24" s="225"/>
      <c r="Z24" s="226"/>
      <c r="AA24" s="226"/>
      <c r="AB24" s="226"/>
      <c r="AC24" s="227"/>
      <c r="AD24" s="679"/>
      <c r="AE24" s="680"/>
      <c r="AF24" s="679"/>
      <c r="AG24" s="680"/>
      <c r="AH24" s="225"/>
      <c r="AI24" s="226"/>
      <c r="AJ24" s="226"/>
      <c r="AK24" s="226"/>
      <c r="AL24" s="226"/>
      <c r="AM24" s="226"/>
      <c r="AN24" s="226"/>
      <c r="AO24" s="226"/>
      <c r="AP24" s="226"/>
      <c r="AQ24" s="226"/>
      <c r="AR24" s="226"/>
      <c r="AS24" s="226"/>
      <c r="AT24" s="226"/>
      <c r="AU24" s="226"/>
      <c r="AV24" s="226"/>
      <c r="AW24" s="226"/>
      <c r="AX24" s="226"/>
      <c r="AY24" s="226"/>
      <c r="AZ24" s="226"/>
      <c r="BA24" s="227"/>
      <c r="BK24" s="763" t="s">
        <v>1251</v>
      </c>
      <c r="BL24" s="767"/>
    </row>
    <row r="25" spans="1:64">
      <c r="BK25" s="343" t="s">
        <v>43</v>
      </c>
      <c r="BL25" s="120" t="s">
        <v>1250</v>
      </c>
    </row>
    <row r="26" spans="1:64">
      <c r="BK26" s="343" t="s">
        <v>308</v>
      </c>
      <c r="BL26" s="120" t="s">
        <v>1249</v>
      </c>
    </row>
    <row r="27" spans="1:64">
      <c r="BK27" s="50" t="s">
        <v>1247</v>
      </c>
      <c r="BL27" s="120" t="s">
        <v>1248</v>
      </c>
    </row>
    <row r="28" spans="1:64">
      <c r="BK28" s="51"/>
      <c r="BL28" s="51"/>
    </row>
    <row r="29" spans="1:64">
      <c r="BK29" s="51"/>
      <c r="BL29" s="51"/>
    </row>
  </sheetData>
  <mergeCells count="70">
    <mergeCell ref="BK24:BL24"/>
    <mergeCell ref="AF24:AG24"/>
    <mergeCell ref="A23:B23"/>
    <mergeCell ref="U23:V23"/>
    <mergeCell ref="W23:X23"/>
    <mergeCell ref="U24:V24"/>
    <mergeCell ref="W24:X24"/>
    <mergeCell ref="AD24:AE24"/>
    <mergeCell ref="A21:B21"/>
    <mergeCell ref="U21:V21"/>
    <mergeCell ref="W21:X21"/>
    <mergeCell ref="A22:B22"/>
    <mergeCell ref="U22:V22"/>
    <mergeCell ref="W22:X22"/>
    <mergeCell ref="A19:B19"/>
    <mergeCell ref="U19:V19"/>
    <mergeCell ref="W19:X19"/>
    <mergeCell ref="A20:B20"/>
    <mergeCell ref="U20:V20"/>
    <mergeCell ref="W20:X20"/>
    <mergeCell ref="A17:B17"/>
    <mergeCell ref="U17:V17"/>
    <mergeCell ref="W17:X17"/>
    <mergeCell ref="A18:B18"/>
    <mergeCell ref="U18:V18"/>
    <mergeCell ref="W18:X18"/>
    <mergeCell ref="A15:B15"/>
    <mergeCell ref="U15:V15"/>
    <mergeCell ref="W15:X15"/>
    <mergeCell ref="A16:B16"/>
    <mergeCell ref="U16:V16"/>
    <mergeCell ref="W16:X16"/>
    <mergeCell ref="A13:B13"/>
    <mergeCell ref="U13:V13"/>
    <mergeCell ref="W13:X13"/>
    <mergeCell ref="A14:B14"/>
    <mergeCell ref="U14:V14"/>
    <mergeCell ref="W14:X14"/>
    <mergeCell ref="A11:B11"/>
    <mergeCell ref="U11:V11"/>
    <mergeCell ref="W11:X11"/>
    <mergeCell ref="A12:B12"/>
    <mergeCell ref="U12:V12"/>
    <mergeCell ref="W12:X12"/>
    <mergeCell ref="A9:B9"/>
    <mergeCell ref="U9:V9"/>
    <mergeCell ref="W9:X9"/>
    <mergeCell ref="A10:B10"/>
    <mergeCell ref="U10:V10"/>
    <mergeCell ref="W10:X10"/>
    <mergeCell ref="AD6:AE7"/>
    <mergeCell ref="AF6:AG7"/>
    <mergeCell ref="AH6:BA7"/>
    <mergeCell ref="BB6:BG7"/>
    <mergeCell ref="A8:B8"/>
    <mergeCell ref="U8:V8"/>
    <mergeCell ref="W8:X8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BM39"/>
  <sheetViews>
    <sheetView zoomScale="85" zoomScaleNormal="85" workbookViewId="0">
      <selection activeCell="AT23" sqref="AT23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33203125" style="63" customWidth="1"/>
    <col min="31" max="33" width="2.6640625" style="63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5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76"/>
      <c r="AT1" s="77"/>
      <c r="AU1" s="77"/>
      <c r="AV1" s="77"/>
      <c r="AW1" s="77"/>
      <c r="AX1" s="78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5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79"/>
      <c r="AT2" s="80"/>
      <c r="AU2" s="80"/>
      <c r="AV2" s="80"/>
      <c r="AW2" s="80"/>
      <c r="AX2" s="81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5" ht="16.2" thickBot="1">
      <c r="A3" s="23"/>
      <c r="B3" s="23"/>
      <c r="C3" s="55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67"/>
      <c r="AE3" s="67"/>
      <c r="AF3" s="67"/>
      <c r="AG3" s="67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</row>
    <row r="4" spans="1:65" ht="16.2" thickBot="1">
      <c r="A4" s="24" t="s">
        <v>5</v>
      </c>
      <c r="B4" s="25"/>
      <c r="C4" s="56"/>
      <c r="D4" s="25"/>
      <c r="E4" s="25"/>
      <c r="F4" s="25"/>
      <c r="G4" s="26"/>
      <c r="H4" s="5" t="s">
        <v>1554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820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5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1331</v>
      </c>
      <c r="BL5" s="353" t="s">
        <v>1330</v>
      </c>
    </row>
    <row r="6" spans="1:65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91" t="s">
        <v>19</v>
      </c>
      <c r="V6" s="93"/>
      <c r="W6" s="97" t="s">
        <v>22</v>
      </c>
      <c r="X6" s="98"/>
      <c r="Y6" s="91" t="s">
        <v>11</v>
      </c>
      <c r="Z6" s="92"/>
      <c r="AA6" s="92"/>
      <c r="AB6" s="92"/>
      <c r="AC6" s="93"/>
      <c r="AD6" s="83" t="s">
        <v>12</v>
      </c>
      <c r="AE6" s="84"/>
      <c r="AF6" s="87" t="s">
        <v>13</v>
      </c>
      <c r="AG6" s="88"/>
      <c r="AH6" s="91" t="s">
        <v>14</v>
      </c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3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5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94"/>
      <c r="V7" s="96"/>
      <c r="W7" s="99"/>
      <c r="X7" s="100"/>
      <c r="Y7" s="94"/>
      <c r="Z7" s="95"/>
      <c r="AA7" s="95"/>
      <c r="AB7" s="95"/>
      <c r="AC7" s="96"/>
      <c r="AD7" s="85"/>
      <c r="AE7" s="86"/>
      <c r="AF7" s="89"/>
      <c r="AG7" s="90"/>
      <c r="AH7" s="94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6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5" ht="16.2" thickTop="1">
      <c r="A8" s="681">
        <v>1</v>
      </c>
      <c r="B8" s="682"/>
      <c r="C8" s="58" t="s">
        <v>24</v>
      </c>
      <c r="D8" s="36"/>
      <c r="E8" s="36"/>
      <c r="F8" s="36"/>
      <c r="G8" s="36"/>
      <c r="H8" s="36"/>
      <c r="I8" s="36"/>
      <c r="J8" s="36"/>
      <c r="K8" s="37"/>
      <c r="L8" s="1" t="s">
        <v>1555</v>
      </c>
      <c r="M8" s="36"/>
      <c r="N8" s="36"/>
      <c r="O8" s="36"/>
      <c r="P8" s="36"/>
      <c r="Q8" s="36"/>
      <c r="R8" s="36"/>
      <c r="S8" s="36"/>
      <c r="T8" s="36"/>
      <c r="U8" s="727" t="s">
        <v>18</v>
      </c>
      <c r="V8" s="728"/>
      <c r="W8" s="727" t="s">
        <v>18</v>
      </c>
      <c r="X8" s="728"/>
      <c r="Y8" s="327" t="s">
        <v>16</v>
      </c>
      <c r="Z8" s="328"/>
      <c r="AA8" s="328"/>
      <c r="AB8" s="328"/>
      <c r="AC8" s="329"/>
      <c r="AD8" s="325">
        <v>100</v>
      </c>
      <c r="AE8" s="326"/>
      <c r="AF8" s="325">
        <v>0</v>
      </c>
      <c r="AG8" s="326"/>
      <c r="AH8" s="7"/>
      <c r="AI8" s="36"/>
      <c r="AJ8" s="36"/>
      <c r="AK8" s="36"/>
      <c r="AL8" s="36"/>
      <c r="AM8" s="36"/>
      <c r="AN8" s="36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 t="s">
        <v>931</v>
      </c>
      <c r="BL8" s="52" t="s">
        <v>935</v>
      </c>
    </row>
    <row r="9" spans="1:65">
      <c r="A9" s="681">
        <v>2</v>
      </c>
      <c r="B9" s="682"/>
      <c r="C9" s="386" t="str">
        <f t="shared" ref="C9:C20" si="0">VLOOKUP(L9,$BK$7:$BL$39,2,FALSE)</f>
        <v>主表id</v>
      </c>
      <c r="D9" s="387"/>
      <c r="E9" s="387"/>
      <c r="F9" s="387"/>
      <c r="G9" s="387"/>
      <c r="H9" s="387"/>
      <c r="I9" s="387"/>
      <c r="J9" s="387"/>
      <c r="K9" s="388"/>
      <c r="L9" s="331" t="s">
        <v>821</v>
      </c>
      <c r="M9" s="23"/>
      <c r="N9" s="23"/>
      <c r="O9" s="23"/>
      <c r="P9" s="23"/>
      <c r="Q9" s="23"/>
      <c r="R9" s="23"/>
      <c r="S9" s="23"/>
      <c r="T9" s="23"/>
      <c r="U9" s="683"/>
      <c r="V9" s="682"/>
      <c r="W9" s="684"/>
      <c r="X9" s="685"/>
      <c r="Y9" s="330" t="s">
        <v>16</v>
      </c>
      <c r="Z9" s="331"/>
      <c r="AA9" s="331"/>
      <c r="AB9" s="331"/>
      <c r="AC9" s="332"/>
      <c r="AD9" s="323">
        <v>100</v>
      </c>
      <c r="AE9" s="324"/>
      <c r="AF9" s="323">
        <v>0</v>
      </c>
      <c r="AG9" s="324"/>
      <c r="AH9" s="9"/>
      <c r="AI9" s="4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41"/>
      <c r="BB9" s="23"/>
      <c r="BC9" s="23"/>
      <c r="BD9" s="23"/>
      <c r="BE9" s="23"/>
      <c r="BF9" s="23"/>
      <c r="BG9" s="43"/>
      <c r="BH9" s="36"/>
      <c r="BK9" s="120" t="s">
        <v>932</v>
      </c>
      <c r="BL9" s="52" t="s">
        <v>934</v>
      </c>
    </row>
    <row r="10" spans="1:65">
      <c r="A10" s="681">
        <v>3</v>
      </c>
      <c r="B10" s="682"/>
      <c r="C10" s="59" t="str">
        <f t="shared" si="0"/>
        <v>子系统</v>
      </c>
      <c r="D10" s="4"/>
      <c r="E10" s="4"/>
      <c r="F10" s="4"/>
      <c r="G10" s="4"/>
      <c r="H10" s="4"/>
      <c r="I10" s="4"/>
      <c r="J10" s="4"/>
      <c r="K10" s="10"/>
      <c r="L10" s="1" t="s">
        <v>822</v>
      </c>
      <c r="M10" s="4"/>
      <c r="N10" s="4"/>
      <c r="O10" s="4"/>
      <c r="P10" s="4"/>
      <c r="Q10" s="4"/>
      <c r="R10" s="4"/>
      <c r="S10" s="4"/>
      <c r="T10" s="4"/>
      <c r="U10" s="692"/>
      <c r="V10" s="693"/>
      <c r="W10" s="694"/>
      <c r="X10" s="695"/>
      <c r="Y10" s="330" t="s">
        <v>16</v>
      </c>
      <c r="Z10" s="331"/>
      <c r="AA10" s="331"/>
      <c r="AB10" s="331"/>
      <c r="AC10" s="332"/>
      <c r="AD10" s="323">
        <v>64</v>
      </c>
      <c r="AE10" s="324"/>
      <c r="AF10" s="323">
        <v>0</v>
      </c>
      <c r="AG10" s="324"/>
      <c r="AH10" s="9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10"/>
      <c r="BB10" s="23"/>
      <c r="BC10" s="23"/>
      <c r="BD10" s="23"/>
      <c r="BE10" s="23"/>
      <c r="BF10" s="23"/>
      <c r="BG10" s="43"/>
      <c r="BH10" s="36"/>
      <c r="BK10" s="120" t="s">
        <v>936</v>
      </c>
      <c r="BL10" s="52" t="s">
        <v>937</v>
      </c>
    </row>
    <row r="11" spans="1:65">
      <c r="A11" s="681">
        <v>4</v>
      </c>
      <c r="B11" s="682"/>
      <c r="C11" s="59" t="str">
        <f t="shared" si="0"/>
        <v>模块名</v>
      </c>
      <c r="D11" s="4"/>
      <c r="E11" s="4"/>
      <c r="F11" s="4"/>
      <c r="G11" s="4"/>
      <c r="H11" s="4"/>
      <c r="I11" s="4"/>
      <c r="J11" s="4"/>
      <c r="K11" s="10"/>
      <c r="L11" s="1" t="s">
        <v>823</v>
      </c>
      <c r="M11" s="4"/>
      <c r="N11" s="4"/>
      <c r="O11" s="4"/>
      <c r="P11" s="4"/>
      <c r="Q11" s="4"/>
      <c r="R11" s="4"/>
      <c r="S11" s="4"/>
      <c r="T11" s="4"/>
      <c r="U11" s="692"/>
      <c r="V11" s="693"/>
      <c r="W11" s="694"/>
      <c r="X11" s="695"/>
      <c r="Y11" s="330" t="s">
        <v>16</v>
      </c>
      <c r="Z11" s="331"/>
      <c r="AA11" s="331"/>
      <c r="AB11" s="331"/>
      <c r="AC11" s="332"/>
      <c r="AD11" s="323">
        <v>64</v>
      </c>
      <c r="AE11" s="324"/>
      <c r="AF11" s="323">
        <v>0</v>
      </c>
      <c r="AG11" s="324"/>
      <c r="AH11" s="9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41"/>
      <c r="BB11" s="48"/>
      <c r="BC11" s="48"/>
      <c r="BD11" s="48"/>
      <c r="BE11" s="48"/>
      <c r="BF11" s="48"/>
      <c r="BG11" s="49"/>
      <c r="BK11" s="120" t="s">
        <v>933</v>
      </c>
      <c r="BL11" s="52" t="s">
        <v>938</v>
      </c>
    </row>
    <row r="12" spans="1:65">
      <c r="A12" s="681">
        <v>5</v>
      </c>
      <c r="B12" s="682"/>
      <c r="C12" s="59" t="str">
        <f t="shared" si="0"/>
        <v>saveDateStr</v>
      </c>
      <c r="D12" s="4"/>
      <c r="E12" s="4"/>
      <c r="F12" s="4"/>
      <c r="G12" s="4"/>
      <c r="H12" s="4"/>
      <c r="I12" s="4"/>
      <c r="J12" s="4"/>
      <c r="K12" s="10"/>
      <c r="L12" s="1" t="s">
        <v>824</v>
      </c>
      <c r="M12" s="4"/>
      <c r="N12" s="4"/>
      <c r="O12" s="4"/>
      <c r="P12" s="4"/>
      <c r="Q12" s="4"/>
      <c r="R12" s="4"/>
      <c r="S12" s="4"/>
      <c r="T12" s="4"/>
      <c r="U12" s="692"/>
      <c r="V12" s="693"/>
      <c r="W12" s="694"/>
      <c r="X12" s="695"/>
      <c r="Y12" s="330" t="s">
        <v>16</v>
      </c>
      <c r="Z12" s="331"/>
      <c r="AA12" s="331"/>
      <c r="AB12" s="331"/>
      <c r="AC12" s="332"/>
      <c r="AD12" s="323">
        <v>64</v>
      </c>
      <c r="AE12" s="324"/>
      <c r="AF12" s="323">
        <v>0</v>
      </c>
      <c r="AG12" s="324"/>
      <c r="AH12" s="9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41"/>
      <c r="BB12" s="23"/>
      <c r="BC12" s="23"/>
      <c r="BD12" s="23"/>
      <c r="BE12" s="23"/>
      <c r="BF12" s="23"/>
      <c r="BG12" s="43"/>
      <c r="BK12" s="120" t="s">
        <v>939</v>
      </c>
      <c r="BL12" s="52" t="s">
        <v>942</v>
      </c>
    </row>
    <row r="13" spans="1:65">
      <c r="A13" s="681">
        <v>6</v>
      </c>
      <c r="B13" s="682"/>
      <c r="C13" s="59" t="str">
        <f t="shared" si="0"/>
        <v>附件大小</v>
      </c>
      <c r="D13" s="4"/>
      <c r="E13" s="4"/>
      <c r="F13" s="4"/>
      <c r="G13" s="4"/>
      <c r="H13" s="4"/>
      <c r="I13" s="4"/>
      <c r="J13" s="4"/>
      <c r="K13" s="10"/>
      <c r="L13" s="1" t="s">
        <v>825</v>
      </c>
      <c r="M13" s="4"/>
      <c r="N13" s="4"/>
      <c r="O13" s="4"/>
      <c r="P13" s="4"/>
      <c r="Q13" s="4"/>
      <c r="R13" s="4"/>
      <c r="S13" s="4"/>
      <c r="T13" s="4"/>
      <c r="U13" s="692"/>
      <c r="V13" s="693"/>
      <c r="W13" s="694"/>
      <c r="X13" s="695"/>
      <c r="Y13" s="330" t="s">
        <v>1311</v>
      </c>
      <c r="Z13" s="331"/>
      <c r="AA13" s="331"/>
      <c r="AB13" s="331"/>
      <c r="AC13" s="332"/>
      <c r="AD13" s="323">
        <v>19</v>
      </c>
      <c r="AE13" s="324"/>
      <c r="AF13" s="323">
        <v>6</v>
      </c>
      <c r="AG13" s="324"/>
      <c r="AH13" s="9" t="s">
        <v>1328</v>
      </c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41"/>
      <c r="BB13" s="23"/>
      <c r="BC13" s="23"/>
      <c r="BD13" s="23"/>
      <c r="BE13" s="23"/>
      <c r="BF13" s="23"/>
      <c r="BG13" s="43"/>
      <c r="BK13" s="120" t="s">
        <v>940</v>
      </c>
      <c r="BL13" s="52" t="s">
        <v>941</v>
      </c>
    </row>
    <row r="14" spans="1:65">
      <c r="A14" s="681">
        <v>7</v>
      </c>
      <c r="B14" s="682"/>
      <c r="C14" s="59" t="str">
        <f t="shared" si="0"/>
        <v>附件名</v>
      </c>
      <c r="D14" s="4"/>
      <c r="E14" s="4"/>
      <c r="F14" s="4"/>
      <c r="G14" s="4"/>
      <c r="H14" s="4"/>
      <c r="I14" s="4"/>
      <c r="J14" s="4"/>
      <c r="K14" s="10"/>
      <c r="L14" s="1" t="s">
        <v>826</v>
      </c>
      <c r="M14" s="4"/>
      <c r="N14" s="4"/>
      <c r="O14" s="4"/>
      <c r="P14" s="4"/>
      <c r="Q14" s="4"/>
      <c r="R14" s="4"/>
      <c r="S14" s="4"/>
      <c r="T14" s="4"/>
      <c r="U14" s="692"/>
      <c r="V14" s="693"/>
      <c r="W14" s="694"/>
      <c r="X14" s="695"/>
      <c r="Y14" s="330" t="s">
        <v>16</v>
      </c>
      <c r="Z14" s="331"/>
      <c r="AA14" s="331"/>
      <c r="AB14" s="331"/>
      <c r="AC14" s="332"/>
      <c r="AD14" s="323">
        <v>512</v>
      </c>
      <c r="AE14" s="324"/>
      <c r="AF14" s="323">
        <v>0</v>
      </c>
      <c r="AG14" s="324"/>
      <c r="AH14" s="9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41"/>
      <c r="BB14" s="23"/>
      <c r="BC14" s="23"/>
      <c r="BD14" s="23"/>
      <c r="BE14" s="23"/>
      <c r="BF14" s="23"/>
      <c r="BG14" s="43"/>
      <c r="BK14" s="120" t="s">
        <v>943</v>
      </c>
      <c r="BL14" s="52" t="s">
        <v>944</v>
      </c>
      <c r="BM14" s="3" t="s">
        <v>930</v>
      </c>
    </row>
    <row r="15" spans="1:65">
      <c r="A15" s="681">
        <v>8</v>
      </c>
      <c r="B15" s="682"/>
      <c r="C15" s="59" t="str">
        <f t="shared" si="0"/>
        <v>是否删除</v>
      </c>
      <c r="D15" s="4"/>
      <c r="E15" s="4"/>
      <c r="F15" s="4"/>
      <c r="G15" s="4"/>
      <c r="H15" s="4"/>
      <c r="I15" s="4"/>
      <c r="J15" s="4"/>
      <c r="K15" s="10"/>
      <c r="L15" s="1" t="s">
        <v>284</v>
      </c>
      <c r="M15" s="4"/>
      <c r="N15" s="4"/>
      <c r="O15" s="4"/>
      <c r="P15" s="4"/>
      <c r="Q15" s="4"/>
      <c r="R15" s="4"/>
      <c r="S15" s="4"/>
      <c r="T15" s="4"/>
      <c r="U15" s="692"/>
      <c r="V15" s="693"/>
      <c r="W15" s="694"/>
      <c r="X15" s="695"/>
      <c r="Y15" s="330" t="s">
        <v>303</v>
      </c>
      <c r="Z15" s="331"/>
      <c r="AA15" s="331"/>
      <c r="AB15" s="331"/>
      <c r="AC15" s="332"/>
      <c r="AD15" s="323">
        <v>0</v>
      </c>
      <c r="AE15" s="324"/>
      <c r="AF15" s="323">
        <v>0</v>
      </c>
      <c r="AG15" s="324"/>
      <c r="AH15" s="9" t="s">
        <v>1437</v>
      </c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41"/>
      <c r="BB15" s="23"/>
      <c r="BC15" s="23"/>
      <c r="BD15" s="23"/>
      <c r="BE15" s="23"/>
      <c r="BF15" s="23"/>
      <c r="BG15" s="43"/>
      <c r="BK15" s="120" t="s">
        <v>945</v>
      </c>
      <c r="BL15" s="52" t="s">
        <v>946</v>
      </c>
    </row>
    <row r="16" spans="1:65">
      <c r="A16" s="681">
        <v>9</v>
      </c>
      <c r="B16" s="682"/>
      <c r="C16" s="59" t="str">
        <f t="shared" si="0"/>
        <v>最后编辑时间</v>
      </c>
      <c r="D16" s="4"/>
      <c r="E16" s="4"/>
      <c r="F16" s="4"/>
      <c r="G16" s="4"/>
      <c r="H16" s="4"/>
      <c r="I16" s="4"/>
      <c r="J16" s="4"/>
      <c r="K16" s="10"/>
      <c r="L16" s="1" t="s">
        <v>30</v>
      </c>
      <c r="M16" s="4"/>
      <c r="N16" s="4"/>
      <c r="O16" s="4"/>
      <c r="P16" s="4"/>
      <c r="Q16" s="4"/>
      <c r="R16" s="4"/>
      <c r="S16" s="4"/>
      <c r="T16" s="4"/>
      <c r="U16" s="692"/>
      <c r="V16" s="693"/>
      <c r="W16" s="694"/>
      <c r="X16" s="695"/>
      <c r="Y16" s="330" t="s">
        <v>17</v>
      </c>
      <c r="Z16" s="331"/>
      <c r="AA16" s="331"/>
      <c r="AB16" s="331"/>
      <c r="AC16" s="332"/>
      <c r="AD16" s="323"/>
      <c r="AE16" s="324"/>
      <c r="AF16" s="323"/>
      <c r="AG16" s="324"/>
      <c r="AH16" s="9" t="s">
        <v>1329</v>
      </c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41"/>
      <c r="BB16" s="23"/>
      <c r="BC16" s="23"/>
      <c r="BD16" s="23"/>
      <c r="BE16" s="23"/>
      <c r="BF16" s="23"/>
      <c r="BG16" s="43"/>
      <c r="BK16" s="120" t="s">
        <v>947</v>
      </c>
      <c r="BL16" s="52" t="s">
        <v>948</v>
      </c>
    </row>
    <row r="17" spans="1:65">
      <c r="A17" s="681">
        <v>10</v>
      </c>
      <c r="B17" s="682"/>
      <c r="C17" s="59" t="str">
        <f t="shared" si="0"/>
        <v>请求地址</v>
      </c>
      <c r="D17" s="23"/>
      <c r="E17" s="23"/>
      <c r="F17" s="23"/>
      <c r="G17" s="23"/>
      <c r="H17" s="23"/>
      <c r="I17" s="23"/>
      <c r="J17" s="23"/>
      <c r="K17" s="41"/>
      <c r="L17" s="1" t="s">
        <v>827</v>
      </c>
      <c r="M17" s="23"/>
      <c r="N17" s="23"/>
      <c r="O17" s="23"/>
      <c r="P17" s="23"/>
      <c r="Q17" s="23"/>
      <c r="R17" s="23"/>
      <c r="S17" s="23"/>
      <c r="T17" s="23"/>
      <c r="U17" s="683"/>
      <c r="V17" s="682"/>
      <c r="W17" s="684"/>
      <c r="X17" s="685"/>
      <c r="Y17" s="333" t="s">
        <v>16</v>
      </c>
      <c r="Z17" s="334"/>
      <c r="AA17" s="334"/>
      <c r="AB17" s="334"/>
      <c r="AC17" s="335"/>
      <c r="AD17" s="323">
        <v>256</v>
      </c>
      <c r="AE17" s="324"/>
      <c r="AF17" s="323">
        <v>0</v>
      </c>
      <c r="AG17" s="324"/>
      <c r="AH17" s="42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41"/>
      <c r="BB17" s="23"/>
      <c r="BC17" s="23"/>
      <c r="BD17" s="23"/>
      <c r="BE17" s="23"/>
      <c r="BF17" s="23"/>
      <c r="BG17" s="43"/>
      <c r="BK17" s="120" t="s">
        <v>927</v>
      </c>
      <c r="BL17" s="339" t="s">
        <v>928</v>
      </c>
      <c r="BM17" s="3" t="s">
        <v>929</v>
      </c>
    </row>
    <row r="18" spans="1:65">
      <c r="A18" s="681">
        <v>11</v>
      </c>
      <c r="B18" s="682"/>
      <c r="C18" s="59" t="str">
        <f t="shared" si="0"/>
        <v>标识</v>
      </c>
      <c r="D18" s="23"/>
      <c r="E18" s="23"/>
      <c r="F18" s="23"/>
      <c r="G18" s="23"/>
      <c r="H18" s="23"/>
      <c r="I18" s="23"/>
      <c r="J18" s="23"/>
      <c r="K18" s="41"/>
      <c r="L18" s="36" t="s">
        <v>828</v>
      </c>
      <c r="M18" s="23"/>
      <c r="N18" s="23"/>
      <c r="O18" s="23"/>
      <c r="P18" s="23"/>
      <c r="Q18" s="23"/>
      <c r="R18" s="23"/>
      <c r="S18" s="23"/>
      <c r="T18" s="23"/>
      <c r="U18" s="683"/>
      <c r="V18" s="682"/>
      <c r="W18" s="684"/>
      <c r="X18" s="685"/>
      <c r="Y18" s="333" t="s">
        <v>16</v>
      </c>
      <c r="Z18" s="334"/>
      <c r="AA18" s="334"/>
      <c r="AB18" s="334"/>
      <c r="AC18" s="335"/>
      <c r="AD18" s="323">
        <v>32</v>
      </c>
      <c r="AE18" s="324"/>
      <c r="AF18" s="323">
        <v>0</v>
      </c>
      <c r="AG18" s="324"/>
      <c r="AH18" s="330" t="s">
        <v>1438</v>
      </c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41"/>
      <c r="BB18" s="23"/>
      <c r="BC18" s="23"/>
      <c r="BD18" s="23"/>
      <c r="BE18" s="23"/>
      <c r="BF18" s="23"/>
      <c r="BG18" s="43"/>
      <c r="BK18" s="120" t="s">
        <v>949</v>
      </c>
      <c r="BL18" s="52" t="s">
        <v>952</v>
      </c>
    </row>
    <row r="19" spans="1:65">
      <c r="A19" s="681">
        <v>12</v>
      </c>
      <c r="B19" s="682"/>
      <c r="C19" s="59" t="str">
        <f t="shared" si="0"/>
        <v>分公司ID</v>
      </c>
      <c r="D19" s="23"/>
      <c r="E19" s="23"/>
      <c r="F19" s="23"/>
      <c r="G19" s="23"/>
      <c r="H19" s="23"/>
      <c r="I19" s="23"/>
      <c r="J19" s="23"/>
      <c r="K19" s="41"/>
      <c r="L19" s="1" t="s">
        <v>43</v>
      </c>
      <c r="M19" s="23"/>
      <c r="N19" s="23"/>
      <c r="O19" s="23"/>
      <c r="P19" s="23"/>
      <c r="Q19" s="23"/>
      <c r="R19" s="23"/>
      <c r="S19" s="23"/>
      <c r="T19" s="23"/>
      <c r="U19" s="683"/>
      <c r="V19" s="682"/>
      <c r="W19" s="684"/>
      <c r="X19" s="685"/>
      <c r="Y19" s="333" t="s">
        <v>16</v>
      </c>
      <c r="Z19" s="334"/>
      <c r="AA19" s="334"/>
      <c r="AB19" s="334"/>
      <c r="AC19" s="335"/>
      <c r="AD19" s="323">
        <v>100</v>
      </c>
      <c r="AE19" s="324"/>
      <c r="AF19" s="323">
        <v>0</v>
      </c>
      <c r="AG19" s="324"/>
      <c r="AH19" s="42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41"/>
      <c r="BB19" s="23"/>
      <c r="BC19" s="23"/>
      <c r="BD19" s="23"/>
      <c r="BE19" s="23"/>
      <c r="BF19" s="23"/>
      <c r="BG19" s="43"/>
      <c r="BK19" s="101" t="s">
        <v>308</v>
      </c>
      <c r="BL19" s="52" t="s">
        <v>951</v>
      </c>
    </row>
    <row r="20" spans="1:65">
      <c r="A20" s="681">
        <v>13</v>
      </c>
      <c r="B20" s="682"/>
      <c r="C20" s="59" t="str">
        <f t="shared" si="0"/>
        <v>分公司名称</v>
      </c>
      <c r="D20" s="23"/>
      <c r="E20" s="23"/>
      <c r="F20" s="23"/>
      <c r="G20" s="23"/>
      <c r="H20" s="23"/>
      <c r="I20" s="23"/>
      <c r="J20" s="23"/>
      <c r="K20" s="41"/>
      <c r="L20" s="36" t="s">
        <v>308</v>
      </c>
      <c r="M20" s="23"/>
      <c r="N20" s="23"/>
      <c r="O20" s="23"/>
      <c r="P20" s="23"/>
      <c r="Q20" s="23"/>
      <c r="R20" s="23"/>
      <c r="S20" s="23"/>
      <c r="T20" s="23"/>
      <c r="U20" s="683"/>
      <c r="V20" s="682"/>
      <c r="W20" s="684"/>
      <c r="X20" s="685"/>
      <c r="Y20" s="333" t="s">
        <v>16</v>
      </c>
      <c r="Z20" s="334"/>
      <c r="AA20" s="334"/>
      <c r="AB20" s="334"/>
      <c r="AC20" s="335"/>
      <c r="AD20" s="323">
        <v>100</v>
      </c>
      <c r="AE20" s="324"/>
      <c r="AF20" s="323">
        <v>0</v>
      </c>
      <c r="AG20" s="324"/>
      <c r="AH20" s="42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41"/>
      <c r="BB20" s="23"/>
      <c r="BC20" s="23"/>
      <c r="BD20" s="23"/>
      <c r="BE20" s="23"/>
      <c r="BF20" s="23"/>
      <c r="BG20" s="43"/>
      <c r="BK20" s="51"/>
      <c r="BL20" s="51"/>
    </row>
    <row r="21" spans="1:65">
      <c r="A21" s="681"/>
      <c r="B21" s="682"/>
      <c r="C21" s="59"/>
      <c r="D21" s="23"/>
      <c r="E21" s="23"/>
      <c r="F21" s="23"/>
      <c r="G21" s="23"/>
      <c r="H21" s="23"/>
      <c r="I21" s="23"/>
      <c r="J21" s="23"/>
      <c r="K21" s="41"/>
      <c r="L21" s="1"/>
      <c r="M21" s="23"/>
      <c r="N21" s="23"/>
      <c r="O21" s="23"/>
      <c r="P21" s="23"/>
      <c r="Q21" s="23"/>
      <c r="R21" s="23"/>
      <c r="S21" s="23"/>
      <c r="T21" s="23"/>
      <c r="U21" s="683"/>
      <c r="V21" s="682"/>
      <c r="W21" s="684"/>
      <c r="X21" s="685"/>
      <c r="Y21" s="333"/>
      <c r="Z21" s="334"/>
      <c r="AA21" s="334"/>
      <c r="AB21" s="334"/>
      <c r="AC21" s="335"/>
      <c r="AD21" s="323"/>
      <c r="AE21" s="324"/>
      <c r="AF21" s="323"/>
      <c r="AG21" s="324"/>
      <c r="AH21" s="42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41"/>
      <c r="BB21" s="23"/>
      <c r="BC21" s="23"/>
      <c r="BD21" s="23"/>
      <c r="BE21" s="23"/>
      <c r="BF21" s="23"/>
      <c r="BG21" s="43"/>
      <c r="BK21" s="51"/>
      <c r="BL21" s="52"/>
    </row>
    <row r="22" spans="1:65">
      <c r="A22" s="681"/>
      <c r="B22" s="682"/>
      <c r="C22" s="59"/>
      <c r="D22" s="23"/>
      <c r="E22" s="23"/>
      <c r="F22" s="23"/>
      <c r="G22" s="23"/>
      <c r="H22" s="23"/>
      <c r="I22" s="23"/>
      <c r="J22" s="23"/>
      <c r="K22" s="41"/>
      <c r="L22" s="36"/>
      <c r="M22" s="23"/>
      <c r="N22" s="23"/>
      <c r="O22" s="23"/>
      <c r="P22" s="23"/>
      <c r="Q22" s="23"/>
      <c r="R22" s="23"/>
      <c r="S22" s="23"/>
      <c r="T22" s="23"/>
      <c r="U22" s="683"/>
      <c r="V22" s="682"/>
      <c r="W22" s="684"/>
      <c r="X22" s="685"/>
      <c r="Y22" s="333"/>
      <c r="Z22" s="334"/>
      <c r="AA22" s="334"/>
      <c r="AB22" s="334"/>
      <c r="AC22" s="335"/>
      <c r="AD22" s="323"/>
      <c r="AE22" s="324"/>
      <c r="AF22" s="323"/>
      <c r="AG22" s="324"/>
      <c r="AH22" s="42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41"/>
      <c r="BB22" s="23"/>
      <c r="BC22" s="23"/>
      <c r="BD22" s="23"/>
      <c r="BE22" s="23"/>
      <c r="BF22" s="23"/>
      <c r="BG22" s="43"/>
      <c r="BK22" s="101"/>
      <c r="BL22" s="51"/>
    </row>
    <row r="23" spans="1:65">
      <c r="A23" s="681"/>
      <c r="B23" s="682"/>
      <c r="C23" s="59"/>
      <c r="D23" s="23"/>
      <c r="E23" s="23"/>
      <c r="F23" s="23"/>
      <c r="G23" s="23"/>
      <c r="H23" s="23"/>
      <c r="I23" s="23"/>
      <c r="J23" s="23"/>
      <c r="K23" s="41"/>
      <c r="L23" s="36"/>
      <c r="M23" s="23"/>
      <c r="N23" s="23"/>
      <c r="O23" s="23"/>
      <c r="P23" s="23"/>
      <c r="Q23" s="23"/>
      <c r="R23" s="23"/>
      <c r="S23" s="23"/>
      <c r="T23" s="23"/>
      <c r="U23" s="683"/>
      <c r="V23" s="682"/>
      <c r="W23" s="684"/>
      <c r="X23" s="685"/>
      <c r="Y23" s="333"/>
      <c r="Z23" s="334"/>
      <c r="AA23" s="334"/>
      <c r="AB23" s="334"/>
      <c r="AC23" s="335"/>
      <c r="AD23" s="323"/>
      <c r="AE23" s="324"/>
      <c r="AF23" s="323"/>
      <c r="AG23" s="324"/>
      <c r="AH23" s="42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41"/>
      <c r="BB23" s="23"/>
      <c r="BC23" s="23"/>
      <c r="BD23" s="23"/>
      <c r="BE23" s="23"/>
      <c r="BF23" s="23"/>
      <c r="BG23" s="43"/>
      <c r="BK23" s="51"/>
      <c r="BL23" s="51"/>
    </row>
    <row r="24" spans="1:65">
      <c r="A24" s="681"/>
      <c r="B24" s="682"/>
      <c r="C24" s="59"/>
      <c r="D24" s="23"/>
      <c r="E24" s="23"/>
      <c r="F24" s="23"/>
      <c r="G24" s="23"/>
      <c r="H24" s="23"/>
      <c r="I24" s="23"/>
      <c r="J24" s="23"/>
      <c r="K24" s="41"/>
      <c r="L24" s="36"/>
      <c r="M24" s="23"/>
      <c r="N24" s="23"/>
      <c r="O24" s="23"/>
      <c r="P24" s="23"/>
      <c r="Q24" s="23"/>
      <c r="R24" s="23"/>
      <c r="S24" s="23"/>
      <c r="T24" s="23"/>
      <c r="U24" s="683"/>
      <c r="V24" s="682"/>
      <c r="W24" s="684"/>
      <c r="X24" s="685"/>
      <c r="Y24" s="333"/>
      <c r="Z24" s="334"/>
      <c r="AA24" s="334"/>
      <c r="AB24" s="334"/>
      <c r="AC24" s="335"/>
      <c r="AD24" s="323"/>
      <c r="AE24" s="324"/>
      <c r="AF24" s="323"/>
      <c r="AG24" s="324"/>
      <c r="AH24" s="42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41"/>
      <c r="BB24" s="23"/>
      <c r="BC24" s="23"/>
      <c r="BD24" s="23"/>
      <c r="BE24" s="23"/>
      <c r="BF24" s="23"/>
      <c r="BG24" s="43"/>
      <c r="BK24" s="120"/>
      <c r="BL24" s="52"/>
    </row>
    <row r="25" spans="1:65">
      <c r="A25" s="681"/>
      <c r="B25" s="682"/>
      <c r="C25" s="59"/>
      <c r="D25" s="23"/>
      <c r="E25" s="23"/>
      <c r="F25" s="23"/>
      <c r="G25" s="23"/>
      <c r="H25" s="23"/>
      <c r="I25" s="23"/>
      <c r="J25" s="23"/>
      <c r="K25" s="41"/>
      <c r="L25" s="36"/>
      <c r="M25" s="23"/>
      <c r="N25" s="23"/>
      <c r="O25" s="23"/>
      <c r="P25" s="23"/>
      <c r="Q25" s="23"/>
      <c r="R25" s="23"/>
      <c r="S25" s="23"/>
      <c r="T25" s="23"/>
      <c r="U25" s="683"/>
      <c r="V25" s="682"/>
      <c r="W25" s="684"/>
      <c r="X25" s="685"/>
      <c r="Y25" s="333"/>
      <c r="Z25" s="334"/>
      <c r="AA25" s="334"/>
      <c r="AB25" s="334"/>
      <c r="AC25" s="335"/>
      <c r="AD25" s="323"/>
      <c r="AE25" s="324"/>
      <c r="AF25" s="323"/>
      <c r="AG25" s="324"/>
      <c r="AH25" s="42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41"/>
      <c r="BB25" s="23"/>
      <c r="BC25" s="23"/>
      <c r="BD25" s="23"/>
      <c r="BE25" s="23"/>
      <c r="BF25" s="23"/>
      <c r="BG25" s="43"/>
      <c r="BK25" s="120"/>
      <c r="BL25" s="52"/>
    </row>
    <row r="26" spans="1:65">
      <c r="A26" s="681"/>
      <c r="B26" s="682"/>
      <c r="C26" s="59"/>
      <c r="D26" s="23"/>
      <c r="E26" s="23"/>
      <c r="F26" s="23"/>
      <c r="G26" s="23"/>
      <c r="H26" s="23"/>
      <c r="I26" s="23"/>
      <c r="J26" s="23"/>
      <c r="K26" s="41"/>
      <c r="L26" s="36"/>
      <c r="M26" s="23"/>
      <c r="N26" s="23"/>
      <c r="O26" s="23"/>
      <c r="P26" s="23"/>
      <c r="Q26" s="23"/>
      <c r="R26" s="23"/>
      <c r="S26" s="23"/>
      <c r="T26" s="23"/>
      <c r="U26" s="683"/>
      <c r="V26" s="682"/>
      <c r="W26" s="684"/>
      <c r="X26" s="685"/>
      <c r="Y26" s="333"/>
      <c r="Z26" s="334"/>
      <c r="AA26" s="334"/>
      <c r="AB26" s="334"/>
      <c r="AC26" s="335"/>
      <c r="AD26" s="323"/>
      <c r="AE26" s="324"/>
      <c r="AF26" s="323"/>
      <c r="AG26" s="324"/>
      <c r="AH26" s="42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41"/>
      <c r="BB26" s="23"/>
      <c r="BC26" s="23"/>
      <c r="BD26" s="23"/>
      <c r="BE26" s="23"/>
      <c r="BF26" s="23"/>
      <c r="BG26" s="43"/>
      <c r="BK26" s="120"/>
      <c r="BL26" s="52"/>
    </row>
    <row r="27" spans="1:65" ht="16.2" thickBot="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6"/>
      <c r="L27" s="45"/>
      <c r="M27" s="45"/>
      <c r="N27" s="45"/>
      <c r="O27" s="45"/>
      <c r="P27" s="45"/>
      <c r="Q27" s="45"/>
      <c r="R27" s="45"/>
      <c r="S27" s="45"/>
      <c r="T27" s="45"/>
      <c r="U27" s="677"/>
      <c r="V27" s="678"/>
      <c r="W27" s="677"/>
      <c r="X27" s="678"/>
      <c r="Y27" s="768"/>
      <c r="Z27" s="769"/>
      <c r="AA27" s="769"/>
      <c r="AB27" s="769"/>
      <c r="AC27" s="770"/>
      <c r="AD27" s="679"/>
      <c r="AE27" s="680"/>
      <c r="AF27" s="679"/>
      <c r="AG27" s="680"/>
      <c r="AH27" s="44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6"/>
      <c r="BK27" s="120"/>
      <c r="BL27" s="52"/>
    </row>
    <row r="28" spans="1:65">
      <c r="BK28" s="120"/>
      <c r="BL28" s="52"/>
    </row>
    <row r="29" spans="1:65">
      <c r="BK29" s="101"/>
      <c r="BL29" s="51"/>
    </row>
    <row r="30" spans="1:65">
      <c r="BK30" s="51"/>
      <c r="BL30" s="51"/>
    </row>
    <row r="31" spans="1:65">
      <c r="BK31" s="51"/>
      <c r="BL31" s="51"/>
    </row>
    <row r="32" spans="1:65">
      <c r="BK32" s="51"/>
      <c r="BL32" s="51"/>
    </row>
    <row r="33" spans="63:64">
      <c r="BK33" s="51"/>
      <c r="BL33" s="51"/>
    </row>
    <row r="34" spans="63:64">
      <c r="BK34" s="51"/>
      <c r="BL34" s="51"/>
    </row>
    <row r="35" spans="63:64">
      <c r="BK35" s="51"/>
      <c r="BL35" s="51"/>
    </row>
    <row r="36" spans="63:64">
      <c r="BK36" s="51"/>
      <c r="BL36" s="51"/>
    </row>
    <row r="37" spans="63:64">
      <c r="BK37" s="51"/>
      <c r="BL37" s="51"/>
    </row>
    <row r="38" spans="63:64">
      <c r="BK38" s="51"/>
      <c r="BL38" s="51"/>
    </row>
    <row r="39" spans="63:64">
      <c r="BK39" s="51"/>
      <c r="BL39" s="51"/>
    </row>
  </sheetData>
  <mergeCells count="71">
    <mergeCell ref="W20:X20"/>
    <mergeCell ref="W21:X21"/>
    <mergeCell ref="W22:X22"/>
    <mergeCell ref="W23:X23"/>
    <mergeCell ref="A14:B14"/>
    <mergeCell ref="A18:B18"/>
    <mergeCell ref="A17:B17"/>
    <mergeCell ref="A16:B16"/>
    <mergeCell ref="A15:B15"/>
    <mergeCell ref="A13:B13"/>
    <mergeCell ref="A12:B12"/>
    <mergeCell ref="A11:B11"/>
    <mergeCell ref="U26:V26"/>
    <mergeCell ref="U20:V20"/>
    <mergeCell ref="U21:V21"/>
    <mergeCell ref="U22:V22"/>
    <mergeCell ref="U23:V23"/>
    <mergeCell ref="U24:V24"/>
    <mergeCell ref="U25:V25"/>
    <mergeCell ref="U14:V14"/>
    <mergeCell ref="U15:V15"/>
    <mergeCell ref="U16:V16"/>
    <mergeCell ref="U17:V17"/>
    <mergeCell ref="U18:V18"/>
    <mergeCell ref="A19:B19"/>
    <mergeCell ref="A24:B24"/>
    <mergeCell ref="A23:B23"/>
    <mergeCell ref="A22:B22"/>
    <mergeCell ref="A21:B21"/>
    <mergeCell ref="A20:B20"/>
    <mergeCell ref="Y27:AC27"/>
    <mergeCell ref="AD27:AE27"/>
    <mergeCell ref="AF27:AG27"/>
    <mergeCell ref="A26:B26"/>
    <mergeCell ref="A25:B25"/>
    <mergeCell ref="W25:X25"/>
    <mergeCell ref="W26:X26"/>
    <mergeCell ref="U11:V11"/>
    <mergeCell ref="U12:V12"/>
    <mergeCell ref="U13:V13"/>
    <mergeCell ref="U27:V27"/>
    <mergeCell ref="W27:X27"/>
    <mergeCell ref="W11:X11"/>
    <mergeCell ref="W12:X12"/>
    <mergeCell ref="W13:X13"/>
    <mergeCell ref="W14:X14"/>
    <mergeCell ref="W15:X15"/>
    <mergeCell ref="W16:X16"/>
    <mergeCell ref="W17:X17"/>
    <mergeCell ref="U19:V19"/>
    <mergeCell ref="W18:X18"/>
    <mergeCell ref="W19:X19"/>
    <mergeCell ref="W24:X24"/>
    <mergeCell ref="A10:B10"/>
    <mergeCell ref="A9:B9"/>
    <mergeCell ref="BB6:BG7"/>
    <mergeCell ref="A8:B8"/>
    <mergeCell ref="U8:V8"/>
    <mergeCell ref="W8:X8"/>
    <mergeCell ref="A6:B7"/>
    <mergeCell ref="C6:K7"/>
    <mergeCell ref="L6:T7"/>
    <mergeCell ref="W9:X9"/>
    <mergeCell ref="W10:X10"/>
    <mergeCell ref="U9:V9"/>
    <mergeCell ref="U10:V10"/>
    <mergeCell ref="G1:T1"/>
    <mergeCell ref="U1:AO2"/>
    <mergeCell ref="BB1:BG1"/>
    <mergeCell ref="G2:T2"/>
    <mergeCell ref="BB2:BG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BM44"/>
  <sheetViews>
    <sheetView tabSelected="1" zoomScale="85" zoomScaleNormal="85" workbookViewId="0">
      <selection activeCell="AX16" sqref="AX16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33203125" style="295" customWidth="1"/>
    <col min="31" max="33" width="2.6640625" style="295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5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440"/>
      <c r="AT1" s="441"/>
      <c r="AU1" s="441"/>
      <c r="AV1" s="441"/>
      <c r="AW1" s="441"/>
      <c r="AX1" s="442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5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443"/>
      <c r="AT2" s="444"/>
      <c r="AU2" s="444"/>
      <c r="AV2" s="444"/>
      <c r="AW2" s="444"/>
      <c r="AX2" s="445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5" ht="16.2" thickBot="1">
      <c r="A3" s="334"/>
      <c r="B3" s="334"/>
      <c r="C3" s="55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421"/>
      <c r="AE3" s="421"/>
      <c r="AF3" s="421"/>
      <c r="AG3" s="421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</row>
    <row r="4" spans="1:65" ht="16.2" thickBot="1">
      <c r="A4" s="24" t="s">
        <v>5</v>
      </c>
      <c r="B4" s="25"/>
      <c r="C4" s="56"/>
      <c r="D4" s="25"/>
      <c r="E4" s="25"/>
      <c r="F4" s="25"/>
      <c r="G4" s="26"/>
      <c r="H4" s="5" t="s">
        <v>1789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1589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5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1277</v>
      </c>
      <c r="BL5" s="353" t="s">
        <v>812</v>
      </c>
    </row>
    <row r="6" spans="1:65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424" t="s">
        <v>19</v>
      </c>
      <c r="V6" s="422"/>
      <c r="W6" s="428" t="s">
        <v>22</v>
      </c>
      <c r="X6" s="429"/>
      <c r="Y6" s="424" t="s">
        <v>11</v>
      </c>
      <c r="Z6" s="425"/>
      <c r="AA6" s="425"/>
      <c r="AB6" s="425"/>
      <c r="AC6" s="422"/>
      <c r="AD6" s="432" t="s">
        <v>12</v>
      </c>
      <c r="AE6" s="433"/>
      <c r="AF6" s="436" t="s">
        <v>13</v>
      </c>
      <c r="AG6" s="437"/>
      <c r="AH6" s="424" t="s">
        <v>14</v>
      </c>
      <c r="AI6" s="425"/>
      <c r="AJ6" s="425"/>
      <c r="AK6" s="425"/>
      <c r="AL6" s="425"/>
      <c r="AM6" s="425"/>
      <c r="AN6" s="425"/>
      <c r="AO6" s="425"/>
      <c r="AP6" s="425"/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2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5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426"/>
      <c r="V7" s="423"/>
      <c r="W7" s="430"/>
      <c r="X7" s="431"/>
      <c r="Y7" s="426"/>
      <c r="Z7" s="427"/>
      <c r="AA7" s="427"/>
      <c r="AB7" s="427"/>
      <c r="AC7" s="423"/>
      <c r="AD7" s="434"/>
      <c r="AE7" s="435"/>
      <c r="AF7" s="438"/>
      <c r="AG7" s="439"/>
      <c r="AH7" s="426"/>
      <c r="AI7" s="427"/>
      <c r="AJ7" s="427"/>
      <c r="AK7" s="427"/>
      <c r="AL7" s="427"/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3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5" ht="16.2" thickTop="1">
      <c r="A8" s="771">
        <v>1</v>
      </c>
      <c r="B8" s="772"/>
      <c r="C8" s="58" t="s">
        <v>1779</v>
      </c>
      <c r="D8" s="449"/>
      <c r="E8" s="450"/>
      <c r="F8" s="450"/>
      <c r="G8" s="450"/>
      <c r="H8" s="450"/>
      <c r="I8" s="450"/>
      <c r="J8" s="450"/>
      <c r="K8" s="451"/>
      <c r="L8" s="538" t="s">
        <v>1787</v>
      </c>
      <c r="M8" s="539"/>
      <c r="N8" s="539"/>
      <c r="O8" s="539"/>
      <c r="P8" s="539"/>
      <c r="Q8" s="539"/>
      <c r="R8" s="539"/>
      <c r="S8" s="539"/>
      <c r="T8" s="539"/>
      <c r="U8" s="773" t="s">
        <v>1556</v>
      </c>
      <c r="V8" s="774"/>
      <c r="W8" s="773" t="s">
        <v>1556</v>
      </c>
      <c r="X8" s="774"/>
      <c r="Y8" s="3" t="s">
        <v>199</v>
      </c>
      <c r="Z8" s="450"/>
      <c r="AA8" s="450"/>
      <c r="AB8" s="3"/>
      <c r="AC8" s="3"/>
      <c r="AD8" s="777">
        <v>32</v>
      </c>
      <c r="AE8" s="777"/>
      <c r="AF8" s="777"/>
      <c r="AG8" s="777"/>
      <c r="AH8" s="449"/>
      <c r="AI8" s="3"/>
      <c r="AJ8" s="3"/>
      <c r="AK8" s="3"/>
      <c r="AL8" s="3"/>
      <c r="AM8" s="3"/>
      <c r="AN8" s="450"/>
      <c r="AO8" s="3"/>
      <c r="AP8" s="3"/>
      <c r="AQ8" s="3"/>
      <c r="AR8" s="3"/>
      <c r="AS8" s="3"/>
      <c r="AT8" s="3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/>
      <c r="BL8" s="52"/>
    </row>
    <row r="9" spans="1:65">
      <c r="A9" s="771">
        <v>2</v>
      </c>
      <c r="B9" s="772"/>
      <c r="C9" s="3" t="s">
        <v>1557</v>
      </c>
      <c r="D9" s="450"/>
      <c r="E9" s="450"/>
      <c r="F9" s="450"/>
      <c r="G9" s="450"/>
      <c r="H9" s="450"/>
      <c r="I9" s="450"/>
      <c r="J9" s="450"/>
      <c r="K9" s="451"/>
      <c r="L9" s="3" t="s">
        <v>1781</v>
      </c>
      <c r="M9" s="3"/>
      <c r="N9" s="3"/>
      <c r="O9" s="3"/>
      <c r="P9" s="3"/>
      <c r="Q9" s="3"/>
      <c r="R9" s="3"/>
      <c r="S9" s="3"/>
      <c r="T9" s="3"/>
      <c r="U9" s="775"/>
      <c r="V9" s="776"/>
      <c r="W9" s="775"/>
      <c r="X9" s="776"/>
      <c r="Y9" s="3" t="s">
        <v>1558</v>
      </c>
      <c r="Z9" s="450"/>
      <c r="AA9" s="450"/>
      <c r="AB9" s="3"/>
      <c r="AC9" s="3"/>
      <c r="AD9" s="778">
        <v>32</v>
      </c>
      <c r="AE9" s="779"/>
      <c r="AF9" s="775"/>
      <c r="AG9" s="776"/>
      <c r="AH9" s="449" t="s">
        <v>1559</v>
      </c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34"/>
      <c r="AV9" s="334"/>
      <c r="AW9" s="334"/>
      <c r="AX9" s="334"/>
      <c r="AY9" s="334"/>
      <c r="AZ9" s="334"/>
      <c r="BA9" s="335"/>
      <c r="BB9" s="334"/>
      <c r="BC9" s="334"/>
      <c r="BD9" s="334"/>
      <c r="BE9" s="334"/>
      <c r="BF9" s="334"/>
      <c r="BG9" s="43"/>
      <c r="BH9" s="36"/>
      <c r="BK9" s="120"/>
      <c r="BL9" s="52"/>
    </row>
    <row r="10" spans="1:65">
      <c r="A10" s="771">
        <v>3</v>
      </c>
      <c r="B10" s="772"/>
      <c r="C10" s="1" t="s">
        <v>1560</v>
      </c>
      <c r="D10" s="452"/>
      <c r="E10" s="452"/>
      <c r="F10" s="452"/>
      <c r="G10" s="452"/>
      <c r="H10" s="452"/>
      <c r="I10" s="452"/>
      <c r="J10" s="452"/>
      <c r="K10" s="332"/>
      <c r="L10" s="452" t="s">
        <v>1782</v>
      </c>
      <c r="M10" s="452"/>
      <c r="N10" s="452"/>
      <c r="O10" s="452"/>
      <c r="P10" s="452"/>
      <c r="Q10" s="452"/>
      <c r="R10" s="452"/>
      <c r="S10" s="452"/>
      <c r="T10" s="452"/>
      <c r="U10" s="780"/>
      <c r="V10" s="772"/>
      <c r="W10" s="775"/>
      <c r="X10" s="776"/>
      <c r="Y10" s="3" t="s">
        <v>199</v>
      </c>
      <c r="Z10" s="450"/>
      <c r="AA10" s="450"/>
      <c r="AB10" s="450"/>
      <c r="AC10" s="453"/>
      <c r="AD10" s="781">
        <v>1</v>
      </c>
      <c r="AE10" s="782"/>
      <c r="AF10" s="781"/>
      <c r="AG10" s="782"/>
      <c r="AH10" s="454"/>
      <c r="AI10" s="450"/>
      <c r="AJ10" s="450"/>
      <c r="AK10" s="450"/>
      <c r="AL10" s="450"/>
      <c r="AM10" s="450"/>
      <c r="AN10" s="450"/>
      <c r="AO10" s="450"/>
      <c r="AP10" s="450"/>
      <c r="AQ10" s="450"/>
      <c r="AR10" s="450"/>
      <c r="AS10" s="450"/>
      <c r="AT10" s="450"/>
      <c r="AU10" s="331"/>
      <c r="AV10" s="331"/>
      <c r="AW10" s="331"/>
      <c r="AX10" s="331"/>
      <c r="AY10" s="331"/>
      <c r="AZ10" s="331"/>
      <c r="BA10" s="332"/>
      <c r="BB10" s="334"/>
      <c r="BC10" s="334"/>
      <c r="BD10" s="334"/>
      <c r="BE10" s="334"/>
      <c r="BF10" s="334"/>
      <c r="BG10" s="43"/>
      <c r="BH10" s="36"/>
      <c r="BK10" s="120"/>
      <c r="BL10" s="52"/>
    </row>
    <row r="11" spans="1:65">
      <c r="A11" s="771">
        <v>4</v>
      </c>
      <c r="B11" s="772"/>
      <c r="C11" s="449" t="s">
        <v>1561</v>
      </c>
      <c r="D11" s="450"/>
      <c r="E11" s="450"/>
      <c r="F11" s="450"/>
      <c r="G11" s="450"/>
      <c r="H11" s="450"/>
      <c r="I11" s="450"/>
      <c r="J11" s="450"/>
      <c r="K11" s="451"/>
      <c r="L11" s="3" t="s">
        <v>1783</v>
      </c>
      <c r="M11" s="450"/>
      <c r="N11" s="450"/>
      <c r="O11" s="450"/>
      <c r="P11" s="450"/>
      <c r="Q11" s="450"/>
      <c r="R11" s="450"/>
      <c r="S11" s="450"/>
      <c r="T11" s="450"/>
      <c r="U11" s="780"/>
      <c r="V11" s="772"/>
      <c r="W11" s="773"/>
      <c r="X11" s="774"/>
      <c r="Y11" s="3" t="s">
        <v>16</v>
      </c>
      <c r="Z11" s="450"/>
      <c r="AA11" s="450"/>
      <c r="AB11" s="450"/>
      <c r="AC11" s="451"/>
      <c r="AD11" s="781">
        <v>300</v>
      </c>
      <c r="AE11" s="782"/>
      <c r="AF11" s="781"/>
      <c r="AG11" s="782"/>
      <c r="AH11" s="454"/>
      <c r="AI11" s="450"/>
      <c r="AJ11" s="450"/>
      <c r="AK11" s="450"/>
      <c r="AL11" s="450"/>
      <c r="AM11" s="450"/>
      <c r="AN11" s="3"/>
      <c r="AO11" s="450"/>
      <c r="AP11" s="450"/>
      <c r="AQ11" s="450"/>
      <c r="AR11" s="450"/>
      <c r="AS11" s="450"/>
      <c r="AT11" s="450"/>
      <c r="AU11" s="334"/>
      <c r="AV11" s="334"/>
      <c r="AW11" s="334"/>
      <c r="AX11" s="334"/>
      <c r="AY11" s="334"/>
      <c r="AZ11" s="334"/>
      <c r="BA11" s="335"/>
      <c r="BB11" s="48"/>
      <c r="BC11" s="48"/>
      <c r="BD11" s="48"/>
      <c r="BE11" s="48"/>
      <c r="BF11" s="48"/>
      <c r="BG11" s="49"/>
      <c r="BK11" s="120"/>
      <c r="BL11" s="52"/>
    </row>
    <row r="12" spans="1:65">
      <c r="A12" s="771">
        <v>5</v>
      </c>
      <c r="B12" s="772"/>
      <c r="C12" s="449" t="s">
        <v>1562</v>
      </c>
      <c r="D12" s="450"/>
      <c r="E12" s="450"/>
      <c r="F12" s="450"/>
      <c r="G12" s="450"/>
      <c r="H12" s="450"/>
      <c r="I12" s="450"/>
      <c r="J12" s="450"/>
      <c r="K12" s="451"/>
      <c r="L12" s="539" t="s">
        <v>1788</v>
      </c>
      <c r="M12" s="539"/>
      <c r="N12" s="539"/>
      <c r="O12" s="539"/>
      <c r="P12" s="538"/>
      <c r="Q12" s="538"/>
      <c r="R12" s="538"/>
      <c r="S12" s="538"/>
      <c r="T12" s="538"/>
      <c r="U12" s="780"/>
      <c r="V12" s="772"/>
      <c r="W12" s="775"/>
      <c r="X12" s="776"/>
      <c r="Y12" s="3" t="s">
        <v>16</v>
      </c>
      <c r="Z12" s="450"/>
      <c r="AA12" s="450"/>
      <c r="AB12" s="450"/>
      <c r="AC12" s="451"/>
      <c r="AD12" s="781">
        <v>100</v>
      </c>
      <c r="AE12" s="782"/>
      <c r="AF12" s="781"/>
      <c r="AG12" s="782"/>
      <c r="AH12" s="454"/>
      <c r="AI12" s="3"/>
      <c r="AJ12" s="3"/>
      <c r="AK12" s="3"/>
      <c r="AL12" s="3"/>
      <c r="AM12" s="3"/>
      <c r="AN12" s="3"/>
      <c r="AO12" s="450"/>
      <c r="AP12" s="450"/>
      <c r="AQ12" s="450"/>
      <c r="AR12" s="450"/>
      <c r="AS12" s="450"/>
      <c r="AT12" s="450"/>
      <c r="AU12" s="334"/>
      <c r="AV12" s="334"/>
      <c r="AW12" s="334"/>
      <c r="AX12" s="334"/>
      <c r="AY12" s="334"/>
      <c r="AZ12" s="334"/>
      <c r="BA12" s="335"/>
      <c r="BB12" s="334"/>
      <c r="BC12" s="334"/>
      <c r="BD12" s="334"/>
      <c r="BE12" s="334"/>
      <c r="BF12" s="334"/>
      <c r="BG12" s="43"/>
      <c r="BK12" s="120"/>
      <c r="BL12" s="52"/>
    </row>
    <row r="13" spans="1:65">
      <c r="A13" s="771">
        <v>6</v>
      </c>
      <c r="B13" s="772"/>
      <c r="C13" s="449" t="s">
        <v>1791</v>
      </c>
      <c r="D13" s="450"/>
      <c r="E13" s="450"/>
      <c r="F13" s="450"/>
      <c r="G13" s="450"/>
      <c r="H13" s="450"/>
      <c r="I13" s="450"/>
      <c r="J13" s="450"/>
      <c r="K13" s="451"/>
      <c r="L13" s="539" t="s">
        <v>1784</v>
      </c>
      <c r="M13" s="538"/>
      <c r="N13" s="538"/>
      <c r="O13" s="538"/>
      <c r="P13" s="538"/>
      <c r="Q13" s="538"/>
      <c r="R13" s="538"/>
      <c r="S13" s="538"/>
      <c r="T13" s="538"/>
      <c r="U13" s="780"/>
      <c r="V13" s="772"/>
      <c r="W13" s="773"/>
      <c r="X13" s="774"/>
      <c r="Y13" s="3" t="s">
        <v>16</v>
      </c>
      <c r="Z13" s="450"/>
      <c r="AA13" s="450"/>
      <c r="AB13" s="450"/>
      <c r="AC13" s="450"/>
      <c r="AD13" s="783">
        <v>100</v>
      </c>
      <c r="AE13" s="784"/>
      <c r="AF13" s="780"/>
      <c r="AG13" s="772"/>
      <c r="AH13" s="454"/>
      <c r="AI13" s="3"/>
      <c r="AJ13" s="3"/>
      <c r="AK13" s="3"/>
      <c r="AL13" s="3"/>
      <c r="AM13" s="3"/>
      <c r="AN13" s="3"/>
      <c r="AO13" s="450"/>
      <c r="AP13" s="450"/>
      <c r="AQ13" s="450"/>
      <c r="AR13" s="450"/>
      <c r="AS13" s="450"/>
      <c r="AT13" s="450"/>
      <c r="AU13" s="334"/>
      <c r="AV13" s="334"/>
      <c r="AW13" s="334"/>
      <c r="AX13" s="334"/>
      <c r="AY13" s="334"/>
      <c r="AZ13" s="334"/>
      <c r="BA13" s="335"/>
      <c r="BB13" s="334"/>
      <c r="BC13" s="334"/>
      <c r="BD13" s="334"/>
      <c r="BE13" s="334"/>
      <c r="BF13" s="334"/>
      <c r="BG13" s="43"/>
      <c r="BK13" s="120"/>
      <c r="BL13" s="52"/>
    </row>
    <row r="14" spans="1:65">
      <c r="A14" s="771">
        <v>7</v>
      </c>
      <c r="B14" s="772"/>
      <c r="C14" s="449" t="s">
        <v>1563</v>
      </c>
      <c r="D14" s="450"/>
      <c r="E14" s="450"/>
      <c r="F14" s="450"/>
      <c r="G14" s="450"/>
      <c r="H14" s="450"/>
      <c r="I14" s="450"/>
      <c r="J14" s="450"/>
      <c r="K14" s="451"/>
      <c r="L14" s="3" t="s">
        <v>827</v>
      </c>
      <c r="M14" s="450"/>
      <c r="N14" s="450"/>
      <c r="O14" s="450"/>
      <c r="P14" s="450"/>
      <c r="Q14" s="450"/>
      <c r="R14" s="450"/>
      <c r="S14" s="450"/>
      <c r="T14" s="450"/>
      <c r="U14" s="780"/>
      <c r="V14" s="772"/>
      <c r="W14" s="773"/>
      <c r="X14" s="774"/>
      <c r="Y14" s="3" t="s">
        <v>16</v>
      </c>
      <c r="Z14" s="450"/>
      <c r="AA14" s="450"/>
      <c r="AB14" s="450"/>
      <c r="AC14" s="450"/>
      <c r="AD14" s="783">
        <v>500</v>
      </c>
      <c r="AE14" s="784"/>
      <c r="AF14" s="780"/>
      <c r="AG14" s="772"/>
      <c r="AH14" s="454"/>
      <c r="AI14" s="450"/>
      <c r="AJ14" s="450"/>
      <c r="AK14" s="450"/>
      <c r="AL14" s="450"/>
      <c r="AM14" s="450"/>
      <c r="AN14" s="3"/>
      <c r="AO14" s="450"/>
      <c r="AP14" s="450"/>
      <c r="AQ14" s="450"/>
      <c r="AR14" s="450"/>
      <c r="AS14" s="450"/>
      <c r="AT14" s="450"/>
      <c r="AU14" s="334"/>
      <c r="AV14" s="334"/>
      <c r="AW14" s="334"/>
      <c r="AX14" s="334"/>
      <c r="AY14" s="334"/>
      <c r="AZ14" s="334"/>
      <c r="BA14" s="335"/>
      <c r="BB14" s="334"/>
      <c r="BC14" s="334"/>
      <c r="BD14" s="334"/>
      <c r="BE14" s="334"/>
      <c r="BF14" s="334"/>
      <c r="BG14" s="43"/>
      <c r="BK14" s="120"/>
      <c r="BL14" s="52"/>
      <c r="BM14" s="3"/>
    </row>
    <row r="15" spans="1:65">
      <c r="A15" s="771">
        <v>8</v>
      </c>
      <c r="B15" s="772"/>
      <c r="C15" s="449" t="s">
        <v>1564</v>
      </c>
      <c r="D15" s="450"/>
      <c r="E15" s="450"/>
      <c r="F15" s="450"/>
      <c r="G15" s="450"/>
      <c r="H15" s="450"/>
      <c r="I15" s="450"/>
      <c r="J15" s="450"/>
      <c r="K15" s="451"/>
      <c r="L15" s="3" t="s">
        <v>1565</v>
      </c>
      <c r="M15" s="450"/>
      <c r="N15" s="450"/>
      <c r="O15" s="450"/>
      <c r="P15" s="450"/>
      <c r="Q15" s="450"/>
      <c r="R15" s="450"/>
      <c r="S15" s="450"/>
      <c r="T15" s="450"/>
      <c r="U15" s="780"/>
      <c r="V15" s="772"/>
      <c r="W15" s="773"/>
      <c r="X15" s="774"/>
      <c r="Y15" s="3" t="s">
        <v>16</v>
      </c>
      <c r="Z15" s="450"/>
      <c r="AA15" s="450"/>
      <c r="AB15" s="450"/>
      <c r="AC15" s="450"/>
      <c r="AD15" s="783">
        <v>500</v>
      </c>
      <c r="AE15" s="784"/>
      <c r="AF15" s="780"/>
      <c r="AG15" s="772"/>
      <c r="AH15" s="454"/>
      <c r="AI15" s="450"/>
      <c r="AJ15" s="450"/>
      <c r="AK15" s="450"/>
      <c r="AL15" s="450"/>
      <c r="AM15" s="450"/>
      <c r="AN15" s="3"/>
      <c r="AO15" s="450"/>
      <c r="AP15" s="450"/>
      <c r="AQ15" s="450"/>
      <c r="AR15" s="450"/>
      <c r="AS15" s="450"/>
      <c r="AT15" s="450"/>
      <c r="AU15" s="334"/>
      <c r="AV15" s="334"/>
      <c r="AW15" s="334"/>
      <c r="AX15" s="334"/>
      <c r="AY15" s="334"/>
      <c r="AZ15" s="334"/>
      <c r="BA15" s="335"/>
      <c r="BB15" s="334"/>
      <c r="BC15" s="334"/>
      <c r="BD15" s="334"/>
      <c r="BE15" s="334"/>
      <c r="BF15" s="334"/>
      <c r="BG15" s="43"/>
      <c r="BK15" s="120"/>
      <c r="BL15" s="52"/>
    </row>
    <row r="16" spans="1:65">
      <c r="A16" s="771">
        <v>9</v>
      </c>
      <c r="B16" s="772"/>
      <c r="C16" s="449" t="s">
        <v>1566</v>
      </c>
      <c r="D16" s="450"/>
      <c r="E16" s="450"/>
      <c r="F16" s="450"/>
      <c r="G16" s="450"/>
      <c r="H16" s="450"/>
      <c r="I16" s="450"/>
      <c r="J16" s="450"/>
      <c r="K16" s="451"/>
      <c r="L16" s="3" t="s">
        <v>1567</v>
      </c>
      <c r="M16" s="450"/>
      <c r="N16" s="450"/>
      <c r="O16" s="450"/>
      <c r="P16" s="450"/>
      <c r="Q16" s="450"/>
      <c r="R16" s="450"/>
      <c r="S16" s="450"/>
      <c r="T16" s="450"/>
      <c r="U16" s="780"/>
      <c r="V16" s="772"/>
      <c r="W16" s="773"/>
      <c r="X16" s="774"/>
      <c r="Y16" s="3" t="s">
        <v>16</v>
      </c>
      <c r="Z16" s="450"/>
      <c r="AA16" s="450"/>
      <c r="AB16" s="450"/>
      <c r="AC16" s="450"/>
      <c r="AD16" s="783">
        <v>500</v>
      </c>
      <c r="AE16" s="784"/>
      <c r="AF16" s="780"/>
      <c r="AG16" s="772"/>
      <c r="AH16" s="454"/>
      <c r="AI16" s="450"/>
      <c r="AJ16" s="450"/>
      <c r="AK16" s="450"/>
      <c r="AL16" s="450"/>
      <c r="AM16" s="450"/>
      <c r="AN16" s="3"/>
      <c r="AO16" s="450"/>
      <c r="AP16" s="450"/>
      <c r="AQ16" s="450"/>
      <c r="AR16" s="450"/>
      <c r="AS16" s="450"/>
      <c r="AT16" s="450"/>
      <c r="AU16" s="334"/>
      <c r="AV16" s="334"/>
      <c r="AW16" s="334"/>
      <c r="AX16" s="334"/>
      <c r="AY16" s="334"/>
      <c r="AZ16" s="334"/>
      <c r="BA16" s="335"/>
      <c r="BB16" s="334"/>
      <c r="BC16" s="334"/>
      <c r="BD16" s="334"/>
      <c r="BE16" s="334"/>
      <c r="BF16" s="334"/>
      <c r="BG16" s="43"/>
      <c r="BK16" s="120"/>
      <c r="BL16" s="52"/>
    </row>
    <row r="17" spans="1:65">
      <c r="A17" s="771">
        <v>10</v>
      </c>
      <c r="B17" s="772"/>
      <c r="C17" s="449" t="s">
        <v>1568</v>
      </c>
      <c r="D17" s="450"/>
      <c r="E17" s="450"/>
      <c r="F17" s="450"/>
      <c r="G17" s="450"/>
      <c r="H17" s="450"/>
      <c r="I17" s="450"/>
      <c r="J17" s="450"/>
      <c r="K17" s="451"/>
      <c r="L17" s="3" t="s">
        <v>1569</v>
      </c>
      <c r="M17" s="450"/>
      <c r="N17" s="450"/>
      <c r="O17" s="450"/>
      <c r="P17" s="450"/>
      <c r="Q17" s="450"/>
      <c r="R17" s="450"/>
      <c r="S17" s="450"/>
      <c r="T17" s="450"/>
      <c r="U17" s="780"/>
      <c r="V17" s="772"/>
      <c r="W17" s="773"/>
      <c r="X17" s="774"/>
      <c r="Y17" s="3" t="s">
        <v>16</v>
      </c>
      <c r="Z17" s="450"/>
      <c r="AA17" s="450"/>
      <c r="AB17" s="450"/>
      <c r="AC17" s="450"/>
      <c r="AD17" s="783">
        <v>500</v>
      </c>
      <c r="AE17" s="784"/>
      <c r="AF17" s="780"/>
      <c r="AG17" s="772"/>
      <c r="AH17" s="454"/>
      <c r="AI17" s="450"/>
      <c r="AJ17" s="450"/>
      <c r="AK17" s="450"/>
      <c r="AL17" s="450"/>
      <c r="AM17" s="450"/>
      <c r="AN17" s="3"/>
      <c r="AO17" s="450"/>
      <c r="AP17" s="450"/>
      <c r="AQ17" s="450"/>
      <c r="AR17" s="450"/>
      <c r="AS17" s="450"/>
      <c r="AT17" s="450"/>
      <c r="AU17" s="334"/>
      <c r="AV17" s="334"/>
      <c r="AW17" s="334"/>
      <c r="AX17" s="334"/>
      <c r="AY17" s="334"/>
      <c r="AZ17" s="334"/>
      <c r="BA17" s="335"/>
      <c r="BB17" s="334"/>
      <c r="BC17" s="334"/>
      <c r="BD17" s="334"/>
      <c r="BE17" s="334"/>
      <c r="BF17" s="334"/>
      <c r="BG17" s="43"/>
      <c r="BK17" s="120"/>
      <c r="BL17" s="339"/>
      <c r="BM17" s="3"/>
    </row>
    <row r="18" spans="1:65">
      <c r="A18" s="771">
        <v>11</v>
      </c>
      <c r="B18" s="772"/>
      <c r="C18" s="449" t="s">
        <v>1570</v>
      </c>
      <c r="D18" s="450"/>
      <c r="E18" s="450"/>
      <c r="F18" s="450"/>
      <c r="G18" s="450"/>
      <c r="H18" s="450"/>
      <c r="I18" s="450"/>
      <c r="J18" s="450"/>
      <c r="K18" s="451"/>
      <c r="L18" s="3" t="s">
        <v>1571</v>
      </c>
      <c r="M18" s="450"/>
      <c r="N18" s="450"/>
      <c r="O18" s="450"/>
      <c r="P18" s="450"/>
      <c r="Q18" s="450"/>
      <c r="R18" s="450"/>
      <c r="S18" s="450"/>
      <c r="T18" s="450"/>
      <c r="U18" s="780"/>
      <c r="V18" s="772"/>
      <c r="W18" s="773"/>
      <c r="X18" s="774"/>
      <c r="Y18" s="3" t="s">
        <v>16</v>
      </c>
      <c r="Z18" s="450"/>
      <c r="AA18" s="450"/>
      <c r="AB18" s="450"/>
      <c r="AC18" s="450"/>
      <c r="AD18" s="783">
        <v>500</v>
      </c>
      <c r="AE18" s="784"/>
      <c r="AF18" s="780"/>
      <c r="AG18" s="772"/>
      <c r="AH18" s="454"/>
      <c r="AI18" s="3"/>
      <c r="AJ18" s="3"/>
      <c r="AK18" s="3"/>
      <c r="AL18" s="3"/>
      <c r="AM18" s="3"/>
      <c r="AN18" s="3"/>
      <c r="AO18" s="450"/>
      <c r="AP18" s="450"/>
      <c r="AQ18" s="450"/>
      <c r="AR18" s="450"/>
      <c r="AS18" s="450"/>
      <c r="AT18" s="450"/>
      <c r="AU18" s="334"/>
      <c r="AV18" s="334"/>
      <c r="AW18" s="334"/>
      <c r="AX18" s="334"/>
      <c r="AY18" s="334"/>
      <c r="AZ18" s="334"/>
      <c r="BA18" s="335"/>
      <c r="BB18" s="334"/>
      <c r="BC18" s="334"/>
      <c r="BD18" s="334"/>
      <c r="BE18" s="334"/>
      <c r="BF18" s="334"/>
      <c r="BG18" s="43"/>
      <c r="BK18" s="120"/>
      <c r="BL18" s="52"/>
    </row>
    <row r="19" spans="1:65">
      <c r="A19" s="771">
        <v>12</v>
      </c>
      <c r="B19" s="772"/>
      <c r="C19" s="449" t="s">
        <v>1572</v>
      </c>
      <c r="D19" s="450"/>
      <c r="E19" s="450"/>
      <c r="F19" s="450"/>
      <c r="G19" s="450"/>
      <c r="H19" s="450"/>
      <c r="I19" s="450"/>
      <c r="J19" s="450"/>
      <c r="K19" s="451"/>
      <c r="L19" s="3" t="s">
        <v>1573</v>
      </c>
      <c r="M19" s="450"/>
      <c r="N19" s="450"/>
      <c r="O19" s="450"/>
      <c r="P19" s="450"/>
      <c r="Q19" s="450"/>
      <c r="R19" s="450"/>
      <c r="S19" s="450"/>
      <c r="T19" s="450"/>
      <c r="U19" s="780"/>
      <c r="V19" s="772"/>
      <c r="W19" s="773"/>
      <c r="X19" s="774"/>
      <c r="Y19" s="3" t="s">
        <v>16</v>
      </c>
      <c r="Z19" s="450"/>
      <c r="AA19" s="450"/>
      <c r="AB19" s="450"/>
      <c r="AC19" s="450"/>
      <c r="AD19" s="783">
        <v>500</v>
      </c>
      <c r="AE19" s="784"/>
      <c r="AF19" s="780"/>
      <c r="AG19" s="772"/>
      <c r="AH19" s="454"/>
      <c r="AI19" s="307"/>
      <c r="AJ19" s="307"/>
      <c r="AK19" s="307"/>
      <c r="AL19" s="307"/>
      <c r="AM19" s="307"/>
      <c r="AN19" s="307"/>
      <c r="AO19" s="452"/>
      <c r="AP19" s="452"/>
      <c r="AQ19" s="452"/>
      <c r="AR19" s="452"/>
      <c r="AS19" s="452"/>
      <c r="AT19" s="452"/>
      <c r="AU19" s="334"/>
      <c r="AV19" s="334"/>
      <c r="AW19" s="334"/>
      <c r="AX19" s="334"/>
      <c r="AY19" s="334"/>
      <c r="AZ19" s="334"/>
      <c r="BA19" s="335"/>
      <c r="BB19" s="334"/>
      <c r="BC19" s="334"/>
      <c r="BD19" s="334"/>
      <c r="BE19" s="334"/>
      <c r="BF19" s="334"/>
      <c r="BG19" s="43"/>
      <c r="BK19" s="101"/>
      <c r="BL19" s="52"/>
    </row>
    <row r="20" spans="1:65">
      <c r="A20" s="771">
        <v>13</v>
      </c>
      <c r="B20" s="772"/>
      <c r="C20" s="3" t="s">
        <v>1790</v>
      </c>
      <c r="D20" s="450"/>
      <c r="E20" s="450"/>
      <c r="F20" s="450"/>
      <c r="G20" s="450"/>
      <c r="H20" s="450"/>
      <c r="I20" s="450"/>
      <c r="J20" s="450"/>
      <c r="K20" s="451"/>
      <c r="L20" s="539" t="s">
        <v>1786</v>
      </c>
      <c r="M20" s="538"/>
      <c r="N20" s="538"/>
      <c r="O20" s="538"/>
      <c r="P20" s="538"/>
      <c r="Q20" s="538"/>
      <c r="R20" s="538"/>
      <c r="S20" s="538"/>
      <c r="T20" s="538"/>
      <c r="U20" s="780"/>
      <c r="V20" s="772"/>
      <c r="W20" s="775"/>
      <c r="X20" s="776"/>
      <c r="Y20" s="3" t="s">
        <v>199</v>
      </c>
      <c r="Z20" s="450"/>
      <c r="AA20" s="450"/>
      <c r="AB20" s="450"/>
      <c r="AC20" s="450"/>
      <c r="AD20" s="783">
        <v>2</v>
      </c>
      <c r="AE20" s="784"/>
      <c r="AF20" s="780"/>
      <c r="AG20" s="772"/>
      <c r="AH20" s="455" t="s">
        <v>1950</v>
      </c>
      <c r="AI20" s="3"/>
      <c r="AJ20" s="3"/>
      <c r="AK20" s="3"/>
      <c r="AL20" s="3"/>
      <c r="AM20" s="3"/>
      <c r="AN20" s="3"/>
      <c r="AO20" s="3"/>
      <c r="AP20" s="3"/>
      <c r="AQ20" s="450"/>
      <c r="AR20" s="450"/>
      <c r="AS20" s="450"/>
      <c r="AT20" s="450"/>
      <c r="AU20" s="334"/>
      <c r="AV20" s="334"/>
      <c r="AW20" s="334"/>
      <c r="AX20" s="334"/>
      <c r="AY20" s="334"/>
      <c r="AZ20" s="334"/>
      <c r="BA20" s="335"/>
      <c r="BB20" s="334"/>
      <c r="BC20" s="334"/>
      <c r="BD20" s="334"/>
      <c r="BE20" s="334"/>
      <c r="BF20" s="334"/>
      <c r="BG20" s="43"/>
      <c r="BK20" s="51"/>
      <c r="BL20" s="51"/>
    </row>
    <row r="21" spans="1:65">
      <c r="A21" s="771">
        <v>14</v>
      </c>
      <c r="B21" s="772"/>
      <c r="C21" s="1" t="s">
        <v>1773</v>
      </c>
      <c r="D21" s="452"/>
      <c r="E21" s="452"/>
      <c r="F21" s="452"/>
      <c r="G21" s="452"/>
      <c r="H21" s="452"/>
      <c r="I21" s="452"/>
      <c r="J21" s="452"/>
      <c r="K21" s="332"/>
      <c r="L21" s="539" t="s">
        <v>1785</v>
      </c>
      <c r="M21" s="538"/>
      <c r="N21" s="538"/>
      <c r="O21" s="538"/>
      <c r="P21" s="538"/>
      <c r="Q21" s="538"/>
      <c r="R21" s="538"/>
      <c r="S21" s="538"/>
      <c r="T21" s="538"/>
      <c r="U21" s="780"/>
      <c r="V21" s="772"/>
      <c r="W21" s="775"/>
      <c r="X21" s="776"/>
      <c r="Y21" s="3" t="s">
        <v>16</v>
      </c>
      <c r="Z21" s="450"/>
      <c r="AA21" s="450"/>
      <c r="AB21" s="450"/>
      <c r="AC21" s="450"/>
      <c r="AD21" s="783">
        <v>500</v>
      </c>
      <c r="AE21" s="784"/>
      <c r="AF21" s="780"/>
      <c r="AG21" s="772"/>
      <c r="AH21" s="231" t="s">
        <v>1772</v>
      </c>
      <c r="AI21" s="539"/>
      <c r="AJ21" s="539"/>
      <c r="AK21" s="539"/>
      <c r="AL21" s="539"/>
      <c r="AM21" s="307"/>
      <c r="AN21" s="3"/>
      <c r="AO21" s="3"/>
      <c r="AP21" s="3"/>
      <c r="AQ21" s="450"/>
      <c r="AR21" s="450"/>
      <c r="AS21" s="450"/>
      <c r="AT21" s="450"/>
      <c r="AU21" s="334"/>
      <c r="AV21" s="334"/>
      <c r="AW21" s="334"/>
      <c r="AX21" s="334"/>
      <c r="AY21" s="334"/>
      <c r="AZ21" s="334"/>
      <c r="BA21" s="335"/>
      <c r="BB21" s="334"/>
      <c r="BC21" s="334"/>
      <c r="BD21" s="334"/>
      <c r="BE21" s="334"/>
      <c r="BF21" s="334"/>
      <c r="BG21" s="43"/>
      <c r="BK21" s="51"/>
      <c r="BL21" s="51"/>
    </row>
    <row r="22" spans="1:65">
      <c r="A22" s="771">
        <v>15</v>
      </c>
      <c r="B22" s="772"/>
      <c r="C22" s="3" t="s">
        <v>1574</v>
      </c>
      <c r="D22" s="450"/>
      <c r="E22" s="450"/>
      <c r="F22" s="450"/>
      <c r="G22" s="450"/>
      <c r="H22" s="450"/>
      <c r="I22" s="450"/>
      <c r="J22" s="450"/>
      <c r="K22" s="451"/>
      <c r="L22" s="3" t="s">
        <v>1575</v>
      </c>
      <c r="M22" s="450"/>
      <c r="N22" s="450"/>
      <c r="O22" s="450"/>
      <c r="P22" s="450"/>
      <c r="Q22" s="450"/>
      <c r="R22" s="450"/>
      <c r="S22" s="450"/>
      <c r="T22" s="450"/>
      <c r="U22" s="780"/>
      <c r="V22" s="772"/>
      <c r="W22" s="773"/>
      <c r="X22" s="774"/>
      <c r="Y22" s="3" t="s">
        <v>199</v>
      </c>
      <c r="Z22" s="450"/>
      <c r="AA22" s="450"/>
      <c r="AB22" s="450"/>
      <c r="AC22" s="450"/>
      <c r="AD22" s="783">
        <v>2</v>
      </c>
      <c r="AE22" s="784"/>
      <c r="AF22" s="780"/>
      <c r="AG22" s="772"/>
      <c r="AH22" s="454" t="s">
        <v>1576</v>
      </c>
      <c r="AI22" s="3"/>
      <c r="AJ22" s="3"/>
      <c r="AK22" s="3"/>
      <c r="AL22" s="3"/>
      <c r="AM22" s="3"/>
      <c r="AN22" s="3"/>
      <c r="AO22" s="3"/>
      <c r="AP22" s="3"/>
      <c r="AQ22" s="450"/>
      <c r="AR22" s="450"/>
      <c r="AS22" s="450"/>
      <c r="AT22" s="450"/>
      <c r="AU22" s="334"/>
      <c r="AV22" s="334"/>
      <c r="AW22" s="334"/>
      <c r="AX22" s="334"/>
      <c r="AY22" s="334"/>
      <c r="AZ22" s="334"/>
      <c r="BA22" s="335"/>
      <c r="BB22" s="334"/>
      <c r="BC22" s="334"/>
      <c r="BD22" s="334"/>
      <c r="BE22" s="334"/>
      <c r="BF22" s="334"/>
      <c r="BG22" s="43"/>
      <c r="BK22" s="51"/>
      <c r="BL22" s="52"/>
    </row>
    <row r="23" spans="1:65">
      <c r="A23" s="771">
        <v>16</v>
      </c>
      <c r="B23" s="772"/>
      <c r="C23" s="3" t="s">
        <v>1031</v>
      </c>
      <c r="D23" s="450"/>
      <c r="E23" s="450"/>
      <c r="F23" s="450"/>
      <c r="G23" s="450"/>
      <c r="H23" s="450"/>
      <c r="I23" s="450"/>
      <c r="J23" s="450"/>
      <c r="K23" s="451"/>
      <c r="L23" s="3" t="s">
        <v>1577</v>
      </c>
      <c r="M23" s="450"/>
      <c r="N23" s="450"/>
      <c r="O23" s="450"/>
      <c r="P23" s="450"/>
      <c r="Q23" s="450"/>
      <c r="R23" s="450"/>
      <c r="S23" s="450"/>
      <c r="T23" s="450"/>
      <c r="U23" s="780"/>
      <c r="V23" s="772"/>
      <c r="W23" s="773"/>
      <c r="X23" s="774"/>
      <c r="Y23" s="3" t="s">
        <v>17</v>
      </c>
      <c r="Z23" s="450"/>
      <c r="AA23" s="450"/>
      <c r="AB23" s="450"/>
      <c r="AC23" s="450"/>
      <c r="AD23" s="783"/>
      <c r="AE23" s="784"/>
      <c r="AF23" s="780"/>
      <c r="AG23" s="772"/>
      <c r="AH23" s="454" t="s">
        <v>1578</v>
      </c>
      <c r="AI23" s="3"/>
      <c r="AJ23" s="3"/>
      <c r="AK23" s="3"/>
      <c r="AL23" s="3"/>
      <c r="AM23" s="3"/>
      <c r="AN23" s="3"/>
      <c r="AO23" s="3"/>
      <c r="AP23" s="3"/>
      <c r="AQ23" s="450"/>
      <c r="AR23" s="450"/>
      <c r="AS23" s="450"/>
      <c r="AT23" s="450"/>
      <c r="AU23" s="334"/>
      <c r="AV23" s="334"/>
      <c r="AW23" s="334"/>
      <c r="AX23" s="334"/>
      <c r="AY23" s="334"/>
      <c r="AZ23" s="334"/>
      <c r="BA23" s="335"/>
      <c r="BB23" s="334"/>
      <c r="BC23" s="334"/>
      <c r="BD23" s="334"/>
      <c r="BE23" s="334"/>
      <c r="BF23" s="334"/>
      <c r="BG23" s="43"/>
      <c r="BK23" s="101"/>
      <c r="BL23" s="51"/>
    </row>
    <row r="24" spans="1:65">
      <c r="A24" s="771">
        <v>17</v>
      </c>
      <c r="B24" s="772"/>
      <c r="C24" s="3" t="s">
        <v>1579</v>
      </c>
      <c r="D24" s="450"/>
      <c r="E24" s="450"/>
      <c r="F24" s="450"/>
      <c r="G24" s="450"/>
      <c r="H24" s="450"/>
      <c r="I24" s="450"/>
      <c r="J24" s="450"/>
      <c r="K24" s="451"/>
      <c r="L24" s="3" t="s">
        <v>1580</v>
      </c>
      <c r="M24" s="450"/>
      <c r="N24" s="450"/>
      <c r="O24" s="450"/>
      <c r="P24" s="450"/>
      <c r="Q24" s="450"/>
      <c r="R24" s="450"/>
      <c r="S24" s="450"/>
      <c r="T24" s="450"/>
      <c r="U24" s="780"/>
      <c r="V24" s="772"/>
      <c r="W24" s="773"/>
      <c r="X24" s="774"/>
      <c r="Y24" s="3" t="s">
        <v>199</v>
      </c>
      <c r="Z24" s="450"/>
      <c r="AA24" s="450"/>
      <c r="AB24" s="450"/>
      <c r="AC24" s="450"/>
      <c r="AD24" s="781">
        <v>32</v>
      </c>
      <c r="AE24" s="782"/>
      <c r="AF24" s="780"/>
      <c r="AG24" s="772"/>
      <c r="AH24" s="454"/>
      <c r="AI24" s="3"/>
      <c r="AJ24" s="3"/>
      <c r="AK24" s="3"/>
      <c r="AL24" s="3"/>
      <c r="AM24" s="3"/>
      <c r="AN24" s="3"/>
      <c r="AO24" s="3"/>
      <c r="AP24" s="3"/>
      <c r="AQ24" s="450"/>
      <c r="AR24" s="450"/>
      <c r="AS24" s="450"/>
      <c r="AT24" s="450"/>
      <c r="AU24" s="334"/>
      <c r="AV24" s="334"/>
      <c r="AW24" s="334"/>
      <c r="AX24" s="334"/>
      <c r="AY24" s="334"/>
      <c r="AZ24" s="334"/>
      <c r="BA24" s="335"/>
      <c r="BB24" s="334"/>
      <c r="BC24" s="334"/>
      <c r="BD24" s="334"/>
      <c r="BE24" s="334"/>
      <c r="BF24" s="334"/>
      <c r="BG24" s="43"/>
      <c r="BK24" s="51"/>
      <c r="BL24" s="51"/>
    </row>
    <row r="25" spans="1:65">
      <c r="A25" s="771">
        <v>18</v>
      </c>
      <c r="B25" s="772"/>
      <c r="C25" s="3" t="s">
        <v>1581</v>
      </c>
      <c r="D25" s="450"/>
      <c r="E25" s="450"/>
      <c r="F25" s="450"/>
      <c r="G25" s="450"/>
      <c r="H25" s="450"/>
      <c r="I25" s="450"/>
      <c r="J25" s="450"/>
      <c r="K25" s="451"/>
      <c r="L25" s="3" t="s">
        <v>1582</v>
      </c>
      <c r="M25" s="450"/>
      <c r="N25" s="450"/>
      <c r="O25" s="450"/>
      <c r="P25" s="450"/>
      <c r="Q25" s="450"/>
      <c r="R25" s="450"/>
      <c r="S25" s="450"/>
      <c r="T25" s="450"/>
      <c r="U25" s="780"/>
      <c r="V25" s="772"/>
      <c r="W25" s="773"/>
      <c r="X25" s="774"/>
      <c r="Y25" s="3" t="s">
        <v>16</v>
      </c>
      <c r="Z25" s="450"/>
      <c r="AA25" s="450"/>
      <c r="AB25" s="450"/>
      <c r="AC25" s="451"/>
      <c r="AD25" s="783">
        <v>100</v>
      </c>
      <c r="AE25" s="784"/>
      <c r="AF25" s="780"/>
      <c r="AG25" s="772"/>
      <c r="AH25" s="3"/>
      <c r="AI25" s="450"/>
      <c r="AJ25" s="450"/>
      <c r="AK25" s="450"/>
      <c r="AL25" s="450"/>
      <c r="AM25" s="450"/>
      <c r="AN25" s="450"/>
      <c r="AO25" s="450"/>
      <c r="AP25" s="450"/>
      <c r="AQ25" s="450"/>
      <c r="AR25" s="450"/>
      <c r="AS25" s="450"/>
      <c r="AT25" s="450"/>
      <c r="AU25" s="334"/>
      <c r="AV25" s="334"/>
      <c r="AW25" s="334"/>
      <c r="AX25" s="334"/>
      <c r="AY25" s="334"/>
      <c r="AZ25" s="334"/>
      <c r="BA25" s="335"/>
      <c r="BB25" s="334"/>
      <c r="BC25" s="334"/>
      <c r="BD25" s="334"/>
      <c r="BE25" s="334"/>
      <c r="BF25" s="334"/>
      <c r="BG25" s="43"/>
      <c r="BK25" s="120"/>
      <c r="BL25" s="52"/>
    </row>
    <row r="26" spans="1:65">
      <c r="A26" s="771">
        <v>19</v>
      </c>
      <c r="B26" s="772"/>
      <c r="C26" s="3" t="s">
        <v>1583</v>
      </c>
      <c r="D26" s="450"/>
      <c r="E26" s="450"/>
      <c r="F26" s="450"/>
      <c r="G26" s="450"/>
      <c r="H26" s="450"/>
      <c r="I26" s="450"/>
      <c r="J26" s="450"/>
      <c r="K26" s="451"/>
      <c r="L26" s="3" t="s">
        <v>1584</v>
      </c>
      <c r="M26" s="450"/>
      <c r="N26" s="450"/>
      <c r="O26" s="450"/>
      <c r="P26" s="450"/>
      <c r="Q26" s="450"/>
      <c r="R26" s="450"/>
      <c r="S26" s="450"/>
      <c r="T26" s="450"/>
      <c r="U26" s="780"/>
      <c r="V26" s="772"/>
      <c r="W26" s="773"/>
      <c r="X26" s="774"/>
      <c r="Y26" s="3" t="s">
        <v>17</v>
      </c>
      <c r="Z26" s="450"/>
      <c r="AA26" s="450"/>
      <c r="AB26" s="450"/>
      <c r="AC26" s="450"/>
      <c r="AD26" s="786"/>
      <c r="AE26" s="787"/>
      <c r="AF26" s="780"/>
      <c r="AG26" s="772"/>
      <c r="AH26" s="454" t="s">
        <v>1578</v>
      </c>
      <c r="AI26" s="450"/>
      <c r="AJ26" s="450"/>
      <c r="AK26" s="450"/>
      <c r="AL26" s="450"/>
      <c r="AM26" s="450"/>
      <c r="AN26" s="450"/>
      <c r="AO26" s="450"/>
      <c r="AP26" s="450"/>
      <c r="AQ26" s="450"/>
      <c r="AR26" s="450"/>
      <c r="AS26" s="450"/>
      <c r="AT26" s="450"/>
      <c r="AU26" s="334"/>
      <c r="AV26" s="334"/>
      <c r="AW26" s="334"/>
      <c r="AX26" s="334"/>
      <c r="AY26" s="334"/>
      <c r="AZ26" s="334"/>
      <c r="BA26" s="335"/>
      <c r="BB26" s="334"/>
      <c r="BC26" s="334"/>
      <c r="BD26" s="334"/>
      <c r="BE26" s="334"/>
      <c r="BF26" s="334"/>
      <c r="BG26" s="43"/>
      <c r="BK26" s="120"/>
      <c r="BL26" s="52"/>
    </row>
    <row r="27" spans="1:65">
      <c r="A27" s="771">
        <v>20</v>
      </c>
      <c r="B27" s="772"/>
      <c r="C27" s="3" t="s">
        <v>1585</v>
      </c>
      <c r="D27" s="450"/>
      <c r="E27" s="450"/>
      <c r="F27" s="450"/>
      <c r="G27" s="450"/>
      <c r="H27" s="450"/>
      <c r="I27" s="450"/>
      <c r="J27" s="450"/>
      <c r="K27" s="451"/>
      <c r="L27" s="3" t="s">
        <v>1586</v>
      </c>
      <c r="M27" s="450"/>
      <c r="N27" s="450"/>
      <c r="O27" s="450"/>
      <c r="P27" s="450"/>
      <c r="Q27" s="450"/>
      <c r="R27" s="450"/>
      <c r="S27" s="450"/>
      <c r="T27" s="450"/>
      <c r="U27" s="780"/>
      <c r="V27" s="772"/>
      <c r="W27" s="773"/>
      <c r="X27" s="774"/>
      <c r="Y27" s="3" t="s">
        <v>199</v>
      </c>
      <c r="Z27" s="450"/>
      <c r="AA27" s="450"/>
      <c r="AB27" s="450"/>
      <c r="AC27" s="450"/>
      <c r="AD27" s="783">
        <v>32</v>
      </c>
      <c r="AE27" s="784"/>
      <c r="AF27" s="785"/>
      <c r="AG27" s="772"/>
      <c r="AH27" s="454"/>
      <c r="AI27" s="450"/>
      <c r="AJ27" s="450"/>
      <c r="AK27" s="450"/>
      <c r="AL27" s="450"/>
      <c r="AM27" s="450"/>
      <c r="AN27" s="450"/>
      <c r="AO27" s="450"/>
      <c r="AP27" s="450"/>
      <c r="AQ27" s="450"/>
      <c r="AR27" s="450"/>
      <c r="AS27" s="450"/>
      <c r="AT27" s="450"/>
      <c r="AU27" s="334"/>
      <c r="AV27" s="334"/>
      <c r="AW27" s="334"/>
      <c r="AX27" s="334"/>
      <c r="AY27" s="334"/>
      <c r="AZ27" s="334"/>
      <c r="BA27" s="335"/>
      <c r="BB27" s="334"/>
      <c r="BC27" s="334"/>
      <c r="BD27" s="334"/>
      <c r="BE27" s="334"/>
      <c r="BF27" s="334"/>
      <c r="BG27" s="43"/>
      <c r="BK27" s="51"/>
      <c r="BL27" s="52"/>
    </row>
    <row r="28" spans="1:65">
      <c r="A28" s="771">
        <v>21</v>
      </c>
      <c r="B28" s="772"/>
      <c r="C28" s="3" t="s">
        <v>1587</v>
      </c>
      <c r="D28" s="450"/>
      <c r="E28" s="450"/>
      <c r="F28" s="450"/>
      <c r="G28" s="450"/>
      <c r="H28" s="450"/>
      <c r="I28" s="450"/>
      <c r="J28" s="450"/>
      <c r="K28" s="451"/>
      <c r="L28" s="3" t="s">
        <v>1588</v>
      </c>
      <c r="M28" s="450"/>
      <c r="N28" s="450"/>
      <c r="O28" s="450"/>
      <c r="P28" s="450"/>
      <c r="Q28" s="450"/>
      <c r="R28" s="450"/>
      <c r="S28" s="450"/>
      <c r="T28" s="450"/>
      <c r="U28" s="780"/>
      <c r="V28" s="772"/>
      <c r="W28" s="773"/>
      <c r="X28" s="774"/>
      <c r="Y28" s="3" t="s">
        <v>16</v>
      </c>
      <c r="Z28" s="450"/>
      <c r="AA28" s="450"/>
      <c r="AB28" s="450"/>
      <c r="AC28" s="451"/>
      <c r="AD28" s="781">
        <v>100</v>
      </c>
      <c r="AE28" s="782"/>
      <c r="AF28" s="780"/>
      <c r="AG28" s="772"/>
      <c r="AH28" s="454"/>
      <c r="AI28" s="450"/>
      <c r="AJ28" s="450"/>
      <c r="AK28" s="450"/>
      <c r="AL28" s="450"/>
      <c r="AM28" s="450"/>
      <c r="AN28" s="450"/>
      <c r="AO28" s="450"/>
      <c r="AP28" s="450"/>
      <c r="AQ28" s="450"/>
      <c r="AR28" s="450"/>
      <c r="AS28" s="450"/>
      <c r="AT28" s="450"/>
      <c r="AU28" s="334"/>
      <c r="AV28" s="334"/>
      <c r="AW28" s="334"/>
      <c r="AX28" s="334"/>
      <c r="AY28" s="334"/>
      <c r="AZ28" s="334"/>
      <c r="BA28" s="335"/>
      <c r="BB28" s="334"/>
      <c r="BC28" s="334"/>
      <c r="BD28" s="334"/>
      <c r="BE28" s="334"/>
      <c r="BF28" s="334"/>
      <c r="BG28" s="43"/>
      <c r="BK28" s="101"/>
      <c r="BL28" s="51"/>
    </row>
    <row r="29" spans="1:65">
      <c r="A29" s="771"/>
      <c r="B29" s="772"/>
      <c r="C29" s="3"/>
      <c r="D29" s="450"/>
      <c r="E29" s="450"/>
      <c r="F29" s="450"/>
      <c r="G29" s="450"/>
      <c r="H29" s="450"/>
      <c r="I29" s="450"/>
      <c r="J29" s="450"/>
      <c r="K29" s="451"/>
      <c r="L29" s="3"/>
      <c r="M29" s="450"/>
      <c r="N29" s="450"/>
      <c r="O29" s="450"/>
      <c r="P29" s="450"/>
      <c r="Q29" s="450"/>
      <c r="R29" s="450"/>
      <c r="S29" s="450"/>
      <c r="T29" s="450"/>
      <c r="U29" s="780"/>
      <c r="V29" s="772"/>
      <c r="W29" s="773"/>
      <c r="X29" s="774"/>
      <c r="Y29" s="3"/>
      <c r="Z29" s="450"/>
      <c r="AA29" s="450"/>
      <c r="AB29" s="450"/>
      <c r="AC29" s="450"/>
      <c r="AD29" s="781"/>
      <c r="AE29" s="782"/>
      <c r="AF29" s="781"/>
      <c r="AG29" s="782"/>
      <c r="AH29" s="454"/>
      <c r="AI29" s="450"/>
      <c r="AJ29" s="450"/>
      <c r="AK29" s="450"/>
      <c r="AL29" s="450"/>
      <c r="AM29" s="450"/>
      <c r="AN29" s="450"/>
      <c r="AO29" s="450"/>
      <c r="AP29" s="450"/>
      <c r="AQ29" s="450"/>
      <c r="AR29" s="450"/>
      <c r="AS29" s="450"/>
      <c r="AT29" s="450"/>
      <c r="AU29" s="334"/>
      <c r="AV29" s="334"/>
      <c r="AW29" s="334"/>
      <c r="AX29" s="334"/>
      <c r="AY29" s="334"/>
      <c r="AZ29" s="334"/>
      <c r="BA29" s="335"/>
      <c r="BB29" s="334"/>
      <c r="BC29" s="334"/>
      <c r="BD29" s="334"/>
      <c r="BE29" s="334"/>
      <c r="BF29" s="334"/>
      <c r="BG29" s="43"/>
      <c r="BK29" s="51"/>
      <c r="BL29" s="51"/>
    </row>
    <row r="30" spans="1:65">
      <c r="A30" s="771"/>
      <c r="B30" s="772"/>
      <c r="C30" s="454"/>
      <c r="D30" s="450"/>
      <c r="E30" s="450"/>
      <c r="F30" s="450"/>
      <c r="G30" s="450"/>
      <c r="H30" s="450"/>
      <c r="I30" s="450"/>
      <c r="J30" s="450"/>
      <c r="K30" s="451"/>
      <c r="L30" s="450"/>
      <c r="M30" s="450"/>
      <c r="N30" s="450"/>
      <c r="O30" s="450"/>
      <c r="P30" s="450"/>
      <c r="Q30" s="450"/>
      <c r="R30" s="450"/>
      <c r="S30" s="450"/>
      <c r="T30" s="450"/>
      <c r="U30" s="780"/>
      <c r="V30" s="772"/>
      <c r="W30" s="780"/>
      <c r="X30" s="772"/>
      <c r="Y30" s="454"/>
      <c r="Z30" s="450"/>
      <c r="AA30" s="450"/>
      <c r="AB30" s="450"/>
      <c r="AC30" s="451"/>
      <c r="AD30" s="781"/>
      <c r="AE30" s="782"/>
      <c r="AF30" s="781"/>
      <c r="AG30" s="782"/>
      <c r="AH30" s="454"/>
      <c r="AI30" s="450"/>
      <c r="AJ30" s="450"/>
      <c r="AK30" s="450"/>
      <c r="AL30" s="450"/>
      <c r="AM30" s="450"/>
      <c r="AN30" s="450"/>
      <c r="AO30" s="450"/>
      <c r="AP30" s="450"/>
      <c r="AQ30" s="450"/>
      <c r="AR30" s="450"/>
      <c r="AS30" s="450"/>
      <c r="AT30" s="450"/>
      <c r="AU30" s="334"/>
      <c r="AV30" s="334"/>
      <c r="AW30" s="334"/>
      <c r="AX30" s="334"/>
      <c r="AY30" s="334"/>
      <c r="AZ30" s="334"/>
      <c r="BA30" s="335"/>
      <c r="BB30" s="334"/>
      <c r="BC30" s="334"/>
      <c r="BD30" s="334"/>
      <c r="BE30" s="334"/>
      <c r="BF30" s="334"/>
      <c r="BG30" s="43"/>
      <c r="BK30" s="120"/>
      <c r="BL30" s="52"/>
    </row>
    <row r="31" spans="1:65">
      <c r="A31" s="681"/>
      <c r="B31" s="682"/>
      <c r="C31" s="59"/>
      <c r="D31" s="334"/>
      <c r="E31" s="334"/>
      <c r="F31" s="334"/>
      <c r="G31" s="334"/>
      <c r="H31" s="334"/>
      <c r="I31" s="334"/>
      <c r="J31" s="334"/>
      <c r="K31" s="335"/>
      <c r="L31" s="36"/>
      <c r="M31" s="334"/>
      <c r="N31" s="334"/>
      <c r="O31" s="334"/>
      <c r="P31" s="334"/>
      <c r="Q31" s="334"/>
      <c r="R31" s="334"/>
      <c r="S31" s="334"/>
      <c r="T31" s="334"/>
      <c r="U31" s="683"/>
      <c r="V31" s="682"/>
      <c r="W31" s="684"/>
      <c r="X31" s="685"/>
      <c r="Y31" s="333"/>
      <c r="Z31" s="334"/>
      <c r="AA31" s="334"/>
      <c r="AB31" s="334"/>
      <c r="AC31" s="335"/>
      <c r="AD31" s="419"/>
      <c r="AE31" s="420"/>
      <c r="AF31" s="419"/>
      <c r="AG31" s="420"/>
      <c r="AH31" s="333"/>
      <c r="AI31" s="334"/>
      <c r="AJ31" s="334"/>
      <c r="AK31" s="334"/>
      <c r="AL31" s="334"/>
      <c r="AM31" s="334"/>
      <c r="AN31" s="334"/>
      <c r="AO31" s="334"/>
      <c r="AP31" s="334"/>
      <c r="AQ31" s="334"/>
      <c r="AR31" s="334"/>
      <c r="AS31" s="334"/>
      <c r="AT31" s="334"/>
      <c r="AU31" s="334"/>
      <c r="AV31" s="334"/>
      <c r="AW31" s="334"/>
      <c r="AX31" s="334"/>
      <c r="AY31" s="334"/>
      <c r="AZ31" s="334"/>
      <c r="BA31" s="335"/>
      <c r="BB31" s="334"/>
      <c r="BC31" s="334"/>
      <c r="BD31" s="334"/>
      <c r="BE31" s="334"/>
      <c r="BF31" s="334"/>
      <c r="BG31" s="43"/>
      <c r="BK31" s="120"/>
      <c r="BL31" s="52"/>
    </row>
    <row r="32" spans="1:65" ht="16.2" thickBot="1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8"/>
      <c r="L32" s="447"/>
      <c r="M32" s="447"/>
      <c r="N32" s="447"/>
      <c r="O32" s="447"/>
      <c r="P32" s="447"/>
      <c r="Q32" s="447"/>
      <c r="R32" s="447"/>
      <c r="S32" s="447"/>
      <c r="T32" s="447"/>
      <c r="U32" s="677"/>
      <c r="V32" s="678"/>
      <c r="W32" s="677"/>
      <c r="X32" s="678"/>
      <c r="Y32" s="768"/>
      <c r="Z32" s="769"/>
      <c r="AA32" s="769"/>
      <c r="AB32" s="769"/>
      <c r="AC32" s="770"/>
      <c r="AD32" s="679"/>
      <c r="AE32" s="680"/>
      <c r="AF32" s="679"/>
      <c r="AG32" s="680"/>
      <c r="AH32" s="446"/>
      <c r="AI32" s="447"/>
      <c r="AJ32" s="447"/>
      <c r="AK32" s="447"/>
      <c r="AL32" s="447"/>
      <c r="AM32" s="447"/>
      <c r="AN32" s="447"/>
      <c r="AO32" s="447"/>
      <c r="AP32" s="447"/>
      <c r="AQ32" s="447"/>
      <c r="AR32" s="447"/>
      <c r="AS32" s="447"/>
      <c r="AT32" s="447"/>
      <c r="AU32" s="447"/>
      <c r="AV32" s="447"/>
      <c r="AW32" s="447"/>
      <c r="AX32" s="447"/>
      <c r="AY32" s="447"/>
      <c r="AZ32" s="447"/>
      <c r="BA32" s="448"/>
      <c r="BK32" s="120"/>
      <c r="BL32" s="52"/>
    </row>
    <row r="33" spans="63:64">
      <c r="BK33" s="120"/>
      <c r="BL33" s="52"/>
    </row>
    <row r="34" spans="63:64">
      <c r="BK34" s="101"/>
      <c r="BL34" s="51"/>
    </row>
    <row r="35" spans="63:64">
      <c r="BK35" s="51"/>
      <c r="BL35" s="51"/>
    </row>
    <row r="36" spans="63:64">
      <c r="BK36" s="51"/>
      <c r="BL36" s="51"/>
    </row>
    <row r="37" spans="63:64">
      <c r="BK37" s="51"/>
      <c r="BL37" s="51"/>
    </row>
    <row r="38" spans="63:64">
      <c r="BK38" s="51"/>
      <c r="BL38" s="51"/>
    </row>
    <row r="39" spans="63:64">
      <c r="BK39" s="51"/>
      <c r="BL39" s="51"/>
    </row>
    <row r="40" spans="63:64">
      <c r="BK40" s="51"/>
      <c r="BL40" s="51"/>
    </row>
    <row r="41" spans="63:64">
      <c r="BK41" s="51"/>
      <c r="BL41" s="51"/>
    </row>
    <row r="42" spans="63:64">
      <c r="BK42" s="51"/>
      <c r="BL42" s="51"/>
    </row>
    <row r="43" spans="63:64">
      <c r="BK43" s="51"/>
      <c r="BL43" s="51"/>
    </row>
    <row r="44" spans="63:64">
      <c r="BK44" s="51"/>
      <c r="BL44" s="51"/>
    </row>
  </sheetData>
  <mergeCells count="132">
    <mergeCell ref="AD28:AE28"/>
    <mergeCell ref="AF28:AG28"/>
    <mergeCell ref="AD29:AE29"/>
    <mergeCell ref="AF29:AG29"/>
    <mergeCell ref="AD24:AE24"/>
    <mergeCell ref="AF24:AG24"/>
    <mergeCell ref="AD25:AE25"/>
    <mergeCell ref="AF25:AG25"/>
    <mergeCell ref="AD26:AE26"/>
    <mergeCell ref="AF26:AG26"/>
    <mergeCell ref="AD12:AE12"/>
    <mergeCell ref="AF12:AG12"/>
    <mergeCell ref="AD13:AE13"/>
    <mergeCell ref="AF13:AG13"/>
    <mergeCell ref="AD20:AE20"/>
    <mergeCell ref="AF20:AG20"/>
    <mergeCell ref="AD22:AE22"/>
    <mergeCell ref="AF22:AG22"/>
    <mergeCell ref="AD23:AE23"/>
    <mergeCell ref="AF23:AG23"/>
    <mergeCell ref="AD17:AE17"/>
    <mergeCell ref="AF17:AG17"/>
    <mergeCell ref="AD18:AE18"/>
    <mergeCell ref="AF18:AG18"/>
    <mergeCell ref="AD19:AE19"/>
    <mergeCell ref="AF19:AG19"/>
    <mergeCell ref="AD21:AE21"/>
    <mergeCell ref="AF21:AG21"/>
    <mergeCell ref="AD10:AE10"/>
    <mergeCell ref="AF10:AG10"/>
    <mergeCell ref="A25:B25"/>
    <mergeCell ref="U25:V25"/>
    <mergeCell ref="W25:X25"/>
    <mergeCell ref="A26:B26"/>
    <mergeCell ref="U26:V26"/>
    <mergeCell ref="W26:X26"/>
    <mergeCell ref="A23:B23"/>
    <mergeCell ref="U23:V23"/>
    <mergeCell ref="W23:X23"/>
    <mergeCell ref="A24:B24"/>
    <mergeCell ref="U24:V24"/>
    <mergeCell ref="W24:X24"/>
    <mergeCell ref="A20:B20"/>
    <mergeCell ref="U20:V20"/>
    <mergeCell ref="AD14:AE14"/>
    <mergeCell ref="AF14:AG14"/>
    <mergeCell ref="AD15:AE15"/>
    <mergeCell ref="AF15:AG15"/>
    <mergeCell ref="AD16:AE16"/>
    <mergeCell ref="AF16:AG16"/>
    <mergeCell ref="AD11:AE11"/>
    <mergeCell ref="AF11:AG11"/>
    <mergeCell ref="AD32:AE32"/>
    <mergeCell ref="AF32:AG32"/>
    <mergeCell ref="A27:B27"/>
    <mergeCell ref="U27:V27"/>
    <mergeCell ref="W27:X27"/>
    <mergeCell ref="A28:B28"/>
    <mergeCell ref="U28:V28"/>
    <mergeCell ref="W28:X28"/>
    <mergeCell ref="A29:B29"/>
    <mergeCell ref="U29:V29"/>
    <mergeCell ref="A31:B31"/>
    <mergeCell ref="U31:V31"/>
    <mergeCell ref="W31:X31"/>
    <mergeCell ref="U32:V32"/>
    <mergeCell ref="W32:X32"/>
    <mergeCell ref="Y32:AC32"/>
    <mergeCell ref="W29:X29"/>
    <mergeCell ref="A30:B30"/>
    <mergeCell ref="U30:V30"/>
    <mergeCell ref="W30:X30"/>
    <mergeCell ref="AD30:AE30"/>
    <mergeCell ref="AF30:AG30"/>
    <mergeCell ref="AD27:AE27"/>
    <mergeCell ref="AF27:AG27"/>
    <mergeCell ref="W20:X20"/>
    <mergeCell ref="A22:B22"/>
    <mergeCell ref="U22:V22"/>
    <mergeCell ref="W22:X22"/>
    <mergeCell ref="A18:B18"/>
    <mergeCell ref="U18:V18"/>
    <mergeCell ref="W18:X18"/>
    <mergeCell ref="A19:B19"/>
    <mergeCell ref="U19:V19"/>
    <mergeCell ref="W19:X19"/>
    <mergeCell ref="A21:B21"/>
    <mergeCell ref="U21:V21"/>
    <mergeCell ref="W21:X21"/>
    <mergeCell ref="A16:B16"/>
    <mergeCell ref="U16:V16"/>
    <mergeCell ref="W16:X16"/>
    <mergeCell ref="A17:B17"/>
    <mergeCell ref="U17:V17"/>
    <mergeCell ref="W17:X17"/>
    <mergeCell ref="A14:B14"/>
    <mergeCell ref="U14:V14"/>
    <mergeCell ref="W14:X14"/>
    <mergeCell ref="A15:B15"/>
    <mergeCell ref="U15:V15"/>
    <mergeCell ref="W15:X15"/>
    <mergeCell ref="A12:B12"/>
    <mergeCell ref="U12:V12"/>
    <mergeCell ref="W12:X12"/>
    <mergeCell ref="A13:B13"/>
    <mergeCell ref="U13:V13"/>
    <mergeCell ref="W13:X13"/>
    <mergeCell ref="A10:B10"/>
    <mergeCell ref="U10:V10"/>
    <mergeCell ref="W10:X10"/>
    <mergeCell ref="A11:B11"/>
    <mergeCell ref="U11:V11"/>
    <mergeCell ref="W11:X11"/>
    <mergeCell ref="A8:B8"/>
    <mergeCell ref="U8:V8"/>
    <mergeCell ref="W8:X8"/>
    <mergeCell ref="A9:B9"/>
    <mergeCell ref="U9:V9"/>
    <mergeCell ref="W9:X9"/>
    <mergeCell ref="G1:T1"/>
    <mergeCell ref="U1:AO2"/>
    <mergeCell ref="BB1:BG1"/>
    <mergeCell ref="G2:T2"/>
    <mergeCell ref="BB2:BG2"/>
    <mergeCell ref="A6:B7"/>
    <mergeCell ref="C6:K7"/>
    <mergeCell ref="L6:T7"/>
    <mergeCell ref="BB6:BG7"/>
    <mergeCell ref="AD8:AE8"/>
    <mergeCell ref="AF8:AG8"/>
    <mergeCell ref="AD9:AE9"/>
    <mergeCell ref="AF9:AG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BM44"/>
  <sheetViews>
    <sheetView topLeftCell="A19" zoomScale="85" zoomScaleNormal="85" workbookViewId="0">
      <selection activeCell="L40" sqref="L40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33203125" style="295" customWidth="1"/>
    <col min="31" max="33" width="2.6640625" style="295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5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559"/>
      <c r="AT1" s="560"/>
      <c r="AU1" s="560"/>
      <c r="AV1" s="560"/>
      <c r="AW1" s="560"/>
      <c r="AX1" s="561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5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562"/>
      <c r="AT2" s="563"/>
      <c r="AU2" s="563"/>
      <c r="AV2" s="563"/>
      <c r="AW2" s="563"/>
      <c r="AX2" s="564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5" ht="16.2" thickBot="1">
      <c r="A3" s="334"/>
      <c r="B3" s="334"/>
      <c r="C3" s="55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540"/>
      <c r="AE3" s="540"/>
      <c r="AF3" s="540"/>
      <c r="AG3" s="540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</row>
    <row r="4" spans="1:65" ht="16.2" thickBot="1">
      <c r="A4" s="24" t="s">
        <v>5</v>
      </c>
      <c r="B4" s="25"/>
      <c r="C4" s="56"/>
      <c r="D4" s="25"/>
      <c r="E4" s="25"/>
      <c r="F4" s="25"/>
      <c r="G4" s="26"/>
      <c r="H4" s="5" t="s">
        <v>1890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1889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5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1277</v>
      </c>
      <c r="BL5" s="353" t="s">
        <v>812</v>
      </c>
    </row>
    <row r="6" spans="1:65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543" t="s">
        <v>19</v>
      </c>
      <c r="V6" s="541"/>
      <c r="W6" s="547" t="s">
        <v>22</v>
      </c>
      <c r="X6" s="548"/>
      <c r="Y6" s="543" t="s">
        <v>11</v>
      </c>
      <c r="Z6" s="544"/>
      <c r="AA6" s="544"/>
      <c r="AB6" s="544"/>
      <c r="AC6" s="541"/>
      <c r="AD6" s="551" t="s">
        <v>12</v>
      </c>
      <c r="AE6" s="552"/>
      <c r="AF6" s="555" t="s">
        <v>13</v>
      </c>
      <c r="AG6" s="556"/>
      <c r="AH6" s="543" t="s">
        <v>14</v>
      </c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5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545"/>
      <c r="V7" s="542"/>
      <c r="W7" s="549"/>
      <c r="X7" s="550"/>
      <c r="Y7" s="545"/>
      <c r="Z7" s="546"/>
      <c r="AA7" s="546"/>
      <c r="AB7" s="546"/>
      <c r="AC7" s="542"/>
      <c r="AD7" s="553"/>
      <c r="AE7" s="554"/>
      <c r="AF7" s="557"/>
      <c r="AG7" s="558"/>
      <c r="AH7" s="545"/>
      <c r="AI7" s="546"/>
      <c r="AJ7" s="546"/>
      <c r="AK7" s="546"/>
      <c r="AL7" s="546"/>
      <c r="AM7" s="546"/>
      <c r="AN7" s="546"/>
      <c r="AO7" s="546"/>
      <c r="AP7" s="546"/>
      <c r="AQ7" s="546"/>
      <c r="AR7" s="546"/>
      <c r="AS7" s="546"/>
      <c r="AT7" s="546"/>
      <c r="AU7" s="546"/>
      <c r="AV7" s="546"/>
      <c r="AW7" s="546"/>
      <c r="AX7" s="546"/>
      <c r="AY7" s="546"/>
      <c r="AZ7" s="546"/>
      <c r="BA7" s="542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5" ht="16.2" thickTop="1">
      <c r="A8" s="771">
        <v>1</v>
      </c>
      <c r="B8" s="772"/>
      <c r="C8" s="649" t="s">
        <v>1815</v>
      </c>
      <c r="D8" s="650"/>
      <c r="E8" s="650"/>
      <c r="F8" s="650"/>
      <c r="G8" s="650"/>
      <c r="H8" s="650"/>
      <c r="I8" s="650"/>
      <c r="J8" s="650"/>
      <c r="K8" s="459"/>
      <c r="L8" s="650" t="s">
        <v>1824</v>
      </c>
      <c r="M8" s="650"/>
      <c r="N8" s="650"/>
      <c r="O8" s="650"/>
      <c r="P8" s="650"/>
      <c r="Q8" s="650"/>
      <c r="R8" s="650"/>
      <c r="S8" s="650"/>
      <c r="T8" s="650"/>
      <c r="U8" s="780" t="s">
        <v>1556</v>
      </c>
      <c r="V8" s="772"/>
      <c r="W8" s="773"/>
      <c r="X8" s="774"/>
      <c r="Y8" s="3" t="s">
        <v>199</v>
      </c>
      <c r="Z8" s="450"/>
      <c r="AA8" s="450"/>
      <c r="AB8" s="450"/>
      <c r="AC8" s="568"/>
      <c r="AD8" s="781">
        <v>32</v>
      </c>
      <c r="AE8" s="782"/>
      <c r="AF8" s="781"/>
      <c r="AG8" s="782"/>
      <c r="AH8" s="567"/>
      <c r="AI8" s="331"/>
      <c r="AJ8" s="331"/>
      <c r="AK8" s="331"/>
      <c r="AL8" s="331"/>
      <c r="AM8" s="570"/>
      <c r="AN8" s="570"/>
      <c r="AO8" s="570"/>
      <c r="AP8" s="570"/>
      <c r="AQ8" s="570"/>
      <c r="AR8" s="570"/>
      <c r="AS8" s="570"/>
      <c r="AT8" s="570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/>
      <c r="BL8" s="52"/>
    </row>
    <row r="9" spans="1:65">
      <c r="A9" s="771">
        <v>2</v>
      </c>
      <c r="B9" s="772"/>
      <c r="C9" s="649" t="s">
        <v>1826</v>
      </c>
      <c r="D9" s="650"/>
      <c r="E9" s="650"/>
      <c r="F9" s="650"/>
      <c r="G9" s="650"/>
      <c r="H9" s="650"/>
      <c r="I9" s="650"/>
      <c r="J9" s="650"/>
      <c r="K9" s="459"/>
      <c r="L9" s="650" t="s">
        <v>1825</v>
      </c>
      <c r="M9" s="650"/>
      <c r="N9" s="650"/>
      <c r="O9" s="650"/>
      <c r="P9" s="650"/>
      <c r="Q9" s="650"/>
      <c r="R9" s="650"/>
      <c r="S9" s="650"/>
      <c r="T9" s="650"/>
      <c r="U9" s="780"/>
      <c r="V9" s="772"/>
      <c r="W9" s="773"/>
      <c r="X9" s="774"/>
      <c r="Y9" s="3" t="s">
        <v>16</v>
      </c>
      <c r="Z9" s="450"/>
      <c r="AA9" s="450"/>
      <c r="AB9" s="450"/>
      <c r="AC9" s="568"/>
      <c r="AD9" s="781">
        <v>200</v>
      </c>
      <c r="AE9" s="782"/>
      <c r="AF9" s="781"/>
      <c r="AG9" s="782"/>
      <c r="AH9" s="567"/>
      <c r="AI9" s="331"/>
      <c r="AJ9" s="331"/>
      <c r="AK9" s="331"/>
      <c r="AL9" s="331"/>
      <c r="AM9" s="331"/>
      <c r="AN9" s="331"/>
      <c r="AO9" s="331"/>
      <c r="AP9" s="331"/>
      <c r="AQ9" s="331"/>
      <c r="AR9" s="331"/>
      <c r="AS9" s="331"/>
      <c r="AT9" s="331"/>
      <c r="AU9" s="334"/>
      <c r="AV9" s="334"/>
      <c r="AW9" s="334"/>
      <c r="AX9" s="334"/>
      <c r="AY9" s="334"/>
      <c r="AZ9" s="334"/>
      <c r="BA9" s="335"/>
      <c r="BB9" s="334"/>
      <c r="BC9" s="334"/>
      <c r="BD9" s="334"/>
      <c r="BE9" s="334"/>
      <c r="BF9" s="334"/>
      <c r="BG9" s="43"/>
      <c r="BH9" s="36"/>
      <c r="BK9" s="120"/>
      <c r="BL9" s="52"/>
    </row>
    <row r="10" spans="1:65">
      <c r="A10" s="771">
        <v>3</v>
      </c>
      <c r="B10" s="772"/>
      <c r="C10" s="572" t="s">
        <v>1828</v>
      </c>
      <c r="D10" s="573"/>
      <c r="E10" s="573"/>
      <c r="F10" s="573"/>
      <c r="G10" s="573"/>
      <c r="H10" s="573"/>
      <c r="I10" s="573"/>
      <c r="J10" s="573"/>
      <c r="K10" s="574"/>
      <c r="L10" s="573" t="s">
        <v>1827</v>
      </c>
      <c r="M10" s="573"/>
      <c r="N10" s="573"/>
      <c r="O10" s="573"/>
      <c r="P10" s="573"/>
      <c r="Q10" s="573"/>
      <c r="R10" s="573"/>
      <c r="S10" s="573"/>
      <c r="T10" s="573"/>
      <c r="U10" s="692"/>
      <c r="V10" s="693"/>
      <c r="W10" s="694"/>
      <c r="X10" s="695"/>
      <c r="Y10" s="575" t="s">
        <v>16</v>
      </c>
      <c r="Z10" s="573"/>
      <c r="AA10" s="573"/>
      <c r="AB10" s="573"/>
      <c r="AC10" s="574"/>
      <c r="AD10" s="788">
        <v>200</v>
      </c>
      <c r="AE10" s="789"/>
      <c r="AF10" s="788"/>
      <c r="AG10" s="789"/>
      <c r="AH10" s="571"/>
      <c r="AI10" s="331"/>
      <c r="AJ10" s="331"/>
      <c r="AK10" s="331"/>
      <c r="AL10" s="331"/>
      <c r="AM10" s="331"/>
      <c r="AN10" s="331"/>
      <c r="AO10" s="331"/>
      <c r="AP10" s="331"/>
      <c r="AQ10" s="331"/>
      <c r="AR10" s="331"/>
      <c r="AS10" s="331"/>
      <c r="AT10" s="331"/>
      <c r="AU10" s="334"/>
      <c r="AV10" s="334"/>
      <c r="AW10" s="334"/>
      <c r="AX10" s="334"/>
      <c r="AY10" s="334"/>
      <c r="AZ10" s="334"/>
      <c r="BA10" s="335"/>
      <c r="BB10" s="334"/>
      <c r="BC10" s="334"/>
      <c r="BD10" s="334"/>
      <c r="BE10" s="334"/>
      <c r="BF10" s="334"/>
      <c r="BG10" s="43"/>
      <c r="BK10" s="120"/>
      <c r="BL10" s="52"/>
    </row>
    <row r="11" spans="1:65">
      <c r="A11" s="771">
        <v>4</v>
      </c>
      <c r="B11" s="772"/>
      <c r="C11" s="651" t="s">
        <v>1885</v>
      </c>
      <c r="D11" s="645"/>
      <c r="E11" s="645"/>
      <c r="F11" s="645"/>
      <c r="G11" s="645"/>
      <c r="H11" s="645"/>
      <c r="I11" s="645"/>
      <c r="J11" s="645"/>
      <c r="K11" s="646"/>
      <c r="L11" s="645" t="s">
        <v>1829</v>
      </c>
      <c r="M11" s="645"/>
      <c r="N11" s="645"/>
      <c r="O11" s="645"/>
      <c r="P11" s="645"/>
      <c r="Q11" s="645"/>
      <c r="R11" s="645"/>
      <c r="S11" s="645"/>
      <c r="T11" s="645"/>
      <c r="U11" s="692"/>
      <c r="V11" s="693"/>
      <c r="W11" s="790"/>
      <c r="X11" s="791"/>
      <c r="Y11" s="575" t="s">
        <v>199</v>
      </c>
      <c r="Z11" s="573"/>
      <c r="AA11" s="573"/>
      <c r="AB11" s="573"/>
      <c r="AC11" s="574"/>
      <c r="AD11" s="788">
        <v>32</v>
      </c>
      <c r="AE11" s="789"/>
      <c r="AF11" s="788"/>
      <c r="AG11" s="789"/>
      <c r="AH11" s="571"/>
      <c r="AI11" s="576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4"/>
      <c r="AV11" s="334"/>
      <c r="AW11" s="334"/>
      <c r="AX11" s="334"/>
      <c r="AY11" s="334"/>
      <c r="AZ11" s="334"/>
      <c r="BA11" s="335"/>
      <c r="BB11" s="334"/>
      <c r="BC11" s="334"/>
      <c r="BD11" s="334"/>
      <c r="BE11" s="334"/>
      <c r="BF11" s="334"/>
      <c r="BG11" s="43"/>
      <c r="BK11" s="120"/>
      <c r="BL11" s="52"/>
    </row>
    <row r="12" spans="1:65">
      <c r="A12" s="771">
        <v>5</v>
      </c>
      <c r="B12" s="772"/>
      <c r="C12" s="644" t="s">
        <v>1886</v>
      </c>
      <c r="D12" s="645"/>
      <c r="E12" s="645"/>
      <c r="F12" s="645"/>
      <c r="G12" s="645"/>
      <c r="H12" s="645"/>
      <c r="I12" s="645"/>
      <c r="J12" s="645"/>
      <c r="K12" s="646"/>
      <c r="L12" s="645" t="s">
        <v>1830</v>
      </c>
      <c r="M12" s="645"/>
      <c r="N12" s="645"/>
      <c r="O12" s="645"/>
      <c r="P12" s="645"/>
      <c r="Q12" s="645"/>
      <c r="R12" s="645"/>
      <c r="S12" s="645"/>
      <c r="T12" s="645"/>
      <c r="U12" s="692"/>
      <c r="V12" s="693"/>
      <c r="W12" s="694"/>
      <c r="X12" s="695"/>
      <c r="Y12" s="575" t="s">
        <v>1810</v>
      </c>
      <c r="Z12" s="573"/>
      <c r="AA12" s="573"/>
      <c r="AB12" s="573"/>
      <c r="AC12" s="573"/>
      <c r="AD12" s="788">
        <v>1000</v>
      </c>
      <c r="AE12" s="789"/>
      <c r="AF12" s="788"/>
      <c r="AG12" s="789"/>
      <c r="AH12" s="571"/>
      <c r="AI12" s="331"/>
      <c r="AJ12" s="331"/>
      <c r="AK12" s="331"/>
      <c r="AL12" s="331"/>
      <c r="AM12" s="331"/>
      <c r="AN12" s="331"/>
      <c r="AO12" s="331"/>
      <c r="AP12" s="331"/>
      <c r="AQ12" s="331"/>
      <c r="AR12" s="331"/>
      <c r="AS12" s="331"/>
      <c r="AT12" s="331"/>
      <c r="AU12" s="334"/>
      <c r="AV12" s="334"/>
      <c r="AW12" s="334"/>
      <c r="AX12" s="334"/>
      <c r="AY12" s="334"/>
      <c r="AZ12" s="334"/>
      <c r="BA12" s="335"/>
      <c r="BB12" s="334"/>
      <c r="BC12" s="334"/>
      <c r="BD12" s="334"/>
      <c r="BE12" s="334"/>
      <c r="BF12" s="334"/>
      <c r="BG12" s="43"/>
      <c r="BK12" s="120"/>
      <c r="BL12" s="52"/>
      <c r="BM12" s="3"/>
    </row>
    <row r="13" spans="1:65">
      <c r="A13" s="771">
        <v>6</v>
      </c>
      <c r="B13" s="772"/>
      <c r="C13" s="644" t="s">
        <v>1887</v>
      </c>
      <c r="D13" s="645"/>
      <c r="E13" s="645"/>
      <c r="F13" s="645"/>
      <c r="G13" s="645"/>
      <c r="H13" s="645"/>
      <c r="I13" s="645"/>
      <c r="J13" s="645"/>
      <c r="K13" s="646"/>
      <c r="L13" s="645" t="s">
        <v>1831</v>
      </c>
      <c r="M13" s="645"/>
      <c r="N13" s="645"/>
      <c r="O13" s="645"/>
      <c r="P13" s="645"/>
      <c r="Q13" s="645"/>
      <c r="R13" s="645"/>
      <c r="S13" s="645"/>
      <c r="T13" s="645"/>
      <c r="U13" s="692"/>
      <c r="V13" s="693"/>
      <c r="W13" s="694"/>
      <c r="X13" s="695"/>
      <c r="Y13" s="575" t="s">
        <v>1810</v>
      </c>
      <c r="Z13" s="573"/>
      <c r="AA13" s="573"/>
      <c r="AB13" s="573"/>
      <c r="AC13" s="573"/>
      <c r="AD13" s="788">
        <v>1000</v>
      </c>
      <c r="AE13" s="789"/>
      <c r="AF13" s="788"/>
      <c r="AG13" s="789"/>
      <c r="AH13" s="571"/>
      <c r="AI13" s="331"/>
      <c r="AJ13" s="331"/>
      <c r="AK13" s="331"/>
      <c r="AL13" s="331"/>
      <c r="AM13" s="331"/>
      <c r="AN13" s="331"/>
      <c r="AO13" s="331"/>
      <c r="AP13" s="331"/>
      <c r="AQ13" s="331"/>
      <c r="AR13" s="331"/>
      <c r="AS13" s="331"/>
      <c r="AT13" s="331"/>
      <c r="AU13" s="334"/>
      <c r="AV13" s="334"/>
      <c r="AW13" s="334"/>
      <c r="AX13" s="334"/>
      <c r="AY13" s="334"/>
      <c r="AZ13" s="334"/>
      <c r="BA13" s="335"/>
      <c r="BB13" s="334"/>
      <c r="BC13" s="334"/>
      <c r="BD13" s="334"/>
      <c r="BE13" s="334"/>
      <c r="BF13" s="334"/>
      <c r="BG13" s="43"/>
      <c r="BK13" s="120"/>
      <c r="BL13" s="52"/>
    </row>
    <row r="14" spans="1:65">
      <c r="A14" s="771">
        <v>7</v>
      </c>
      <c r="B14" s="772"/>
      <c r="C14" s="575" t="s">
        <v>1888</v>
      </c>
      <c r="D14" s="573"/>
      <c r="E14" s="573"/>
      <c r="F14" s="573"/>
      <c r="G14" s="573"/>
      <c r="H14" s="573"/>
      <c r="I14" s="573"/>
      <c r="J14" s="573"/>
      <c r="K14" s="574"/>
      <c r="L14" s="573" t="s">
        <v>1891</v>
      </c>
      <c r="M14" s="573"/>
      <c r="N14" s="573"/>
      <c r="O14" s="573"/>
      <c r="P14" s="573"/>
      <c r="Q14" s="573"/>
      <c r="R14" s="573"/>
      <c r="S14" s="573"/>
      <c r="T14" s="573"/>
      <c r="U14" s="692"/>
      <c r="V14" s="693"/>
      <c r="W14" s="694"/>
      <c r="X14" s="695"/>
      <c r="Y14" s="575" t="s">
        <v>16</v>
      </c>
      <c r="Z14" s="573"/>
      <c r="AA14" s="573"/>
      <c r="AB14" s="573"/>
      <c r="AC14" s="573"/>
      <c r="AD14" s="788">
        <v>100</v>
      </c>
      <c r="AE14" s="789"/>
      <c r="AF14" s="788"/>
      <c r="AG14" s="789"/>
      <c r="AH14" s="571" t="s">
        <v>1775</v>
      </c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31"/>
      <c r="AT14" s="331"/>
      <c r="AU14" s="334"/>
      <c r="AV14" s="334"/>
      <c r="AW14" s="334"/>
      <c r="AX14" s="334"/>
      <c r="AY14" s="334"/>
      <c r="AZ14" s="334"/>
      <c r="BA14" s="335"/>
      <c r="BB14" s="334"/>
      <c r="BC14" s="334"/>
      <c r="BD14" s="334"/>
      <c r="BE14" s="334"/>
      <c r="BF14" s="334"/>
      <c r="BG14" s="43"/>
      <c r="BK14" s="120"/>
      <c r="BL14" s="339"/>
      <c r="BM14" s="3"/>
    </row>
    <row r="15" spans="1:65">
      <c r="A15" s="771">
        <v>8</v>
      </c>
      <c r="B15" s="772"/>
      <c r="C15" s="575" t="s">
        <v>1811</v>
      </c>
      <c r="D15" s="573"/>
      <c r="E15" s="573"/>
      <c r="F15" s="573"/>
      <c r="G15" s="573"/>
      <c r="H15" s="573"/>
      <c r="I15" s="573"/>
      <c r="J15" s="573"/>
      <c r="K15" s="574"/>
      <c r="L15" s="573" t="s">
        <v>1832</v>
      </c>
      <c r="M15" s="573"/>
      <c r="N15" s="573"/>
      <c r="O15" s="573"/>
      <c r="P15" s="573"/>
      <c r="Q15" s="573"/>
      <c r="R15" s="573"/>
      <c r="S15" s="573"/>
      <c r="T15" s="573"/>
      <c r="U15" s="692"/>
      <c r="V15" s="693"/>
      <c r="W15" s="694"/>
      <c r="X15" s="695"/>
      <c r="Y15" s="575" t="s">
        <v>303</v>
      </c>
      <c r="Z15" s="573"/>
      <c r="AA15" s="573"/>
      <c r="AB15" s="573"/>
      <c r="AC15" s="573"/>
      <c r="AD15" s="788">
        <v>10</v>
      </c>
      <c r="AE15" s="789"/>
      <c r="AF15" s="788"/>
      <c r="AG15" s="789"/>
      <c r="AH15" s="571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4"/>
      <c r="AV15" s="334"/>
      <c r="AW15" s="334"/>
      <c r="AX15" s="334"/>
      <c r="AY15" s="334"/>
      <c r="AZ15" s="334"/>
      <c r="BA15" s="335"/>
      <c r="BB15" s="334"/>
      <c r="BC15" s="334"/>
      <c r="BD15" s="334"/>
      <c r="BE15" s="334"/>
      <c r="BF15" s="334"/>
      <c r="BG15" s="43"/>
      <c r="BK15" s="120"/>
      <c r="BL15" s="52"/>
    </row>
    <row r="16" spans="1:65">
      <c r="A16" s="771">
        <v>9</v>
      </c>
      <c r="B16" s="772"/>
      <c r="C16" s="644" t="s">
        <v>1778</v>
      </c>
      <c r="D16" s="645"/>
      <c r="E16" s="645"/>
      <c r="F16" s="645"/>
      <c r="G16" s="645"/>
      <c r="H16" s="645"/>
      <c r="I16" s="645"/>
      <c r="J16" s="645"/>
      <c r="K16" s="646"/>
      <c r="L16" s="645" t="s">
        <v>1833</v>
      </c>
      <c r="M16" s="645"/>
      <c r="N16" s="645"/>
      <c r="O16" s="645"/>
      <c r="P16" s="645"/>
      <c r="Q16" s="645"/>
      <c r="R16" s="645"/>
      <c r="S16" s="645"/>
      <c r="T16" s="645"/>
      <c r="U16" s="692"/>
      <c r="V16" s="693"/>
      <c r="W16" s="694"/>
      <c r="X16" s="695"/>
      <c r="Y16" s="575" t="s">
        <v>199</v>
      </c>
      <c r="Z16" s="573"/>
      <c r="AA16" s="573"/>
      <c r="AB16" s="573"/>
      <c r="AC16" s="573"/>
      <c r="AD16" s="788">
        <v>2</v>
      </c>
      <c r="AE16" s="789"/>
      <c r="AF16" s="788"/>
      <c r="AG16" s="789"/>
      <c r="AH16" s="571" t="s">
        <v>1776</v>
      </c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4"/>
      <c r="AV16" s="334"/>
      <c r="AW16" s="334"/>
      <c r="AX16" s="334"/>
      <c r="AY16" s="334"/>
      <c r="AZ16" s="334"/>
      <c r="BA16" s="335"/>
      <c r="BB16" s="334"/>
      <c r="BC16" s="334"/>
      <c r="BD16" s="334"/>
      <c r="BE16" s="334"/>
      <c r="BF16" s="334"/>
      <c r="BG16" s="43"/>
      <c r="BK16" s="51"/>
      <c r="BL16" s="51"/>
    </row>
    <row r="17" spans="1:64">
      <c r="A17" s="771">
        <v>10</v>
      </c>
      <c r="B17" s="772"/>
      <c r="C17" s="7" t="s">
        <v>1835</v>
      </c>
      <c r="D17" s="452"/>
      <c r="E17" s="452"/>
      <c r="F17" s="452"/>
      <c r="G17" s="452"/>
      <c r="H17" s="452"/>
      <c r="I17" s="452"/>
      <c r="J17" s="452"/>
      <c r="K17" s="332"/>
      <c r="L17" s="452" t="s">
        <v>1834</v>
      </c>
      <c r="M17" s="452"/>
      <c r="N17" s="452"/>
      <c r="O17" s="452"/>
      <c r="P17" s="452"/>
      <c r="Q17" s="452"/>
      <c r="R17" s="452"/>
      <c r="S17" s="452"/>
      <c r="T17" s="452"/>
      <c r="U17" s="692"/>
      <c r="V17" s="693"/>
      <c r="W17" s="694"/>
      <c r="X17" s="695"/>
      <c r="Y17" s="575" t="s">
        <v>199</v>
      </c>
      <c r="Z17" s="573"/>
      <c r="AA17" s="573"/>
      <c r="AB17" s="573"/>
      <c r="AC17" s="579"/>
      <c r="AD17" s="788">
        <v>64</v>
      </c>
      <c r="AE17" s="789"/>
      <c r="AF17" s="781"/>
      <c r="AG17" s="782"/>
      <c r="AH17" s="577"/>
      <c r="AI17" s="331"/>
      <c r="AJ17" s="331"/>
      <c r="AK17" s="331"/>
      <c r="AL17" s="331"/>
      <c r="AM17" s="331"/>
      <c r="AN17" s="331"/>
      <c r="AO17" s="331"/>
      <c r="AP17" s="331"/>
      <c r="AQ17" s="331"/>
      <c r="AR17" s="331"/>
      <c r="AS17" s="331"/>
      <c r="AT17" s="331"/>
      <c r="AU17" s="334"/>
      <c r="AV17" s="334"/>
      <c r="AW17" s="334"/>
      <c r="AX17" s="334"/>
      <c r="AY17" s="334"/>
      <c r="AZ17" s="334"/>
      <c r="BA17" s="335"/>
      <c r="BB17" s="334"/>
      <c r="BC17" s="334"/>
      <c r="BD17" s="334"/>
      <c r="BE17" s="334"/>
      <c r="BF17" s="334"/>
      <c r="BG17" s="43"/>
      <c r="BK17" s="51"/>
      <c r="BL17" s="51"/>
    </row>
    <row r="18" spans="1:64">
      <c r="A18" s="771">
        <v>11</v>
      </c>
      <c r="B18" s="772"/>
      <c r="C18" s="572" t="s">
        <v>1837</v>
      </c>
      <c r="D18" s="573"/>
      <c r="E18" s="573"/>
      <c r="F18" s="573"/>
      <c r="G18" s="573"/>
      <c r="H18" s="573"/>
      <c r="I18" s="573"/>
      <c r="J18" s="573"/>
      <c r="K18" s="579"/>
      <c r="L18" s="573" t="s">
        <v>1836</v>
      </c>
      <c r="M18" s="573"/>
      <c r="N18" s="573"/>
      <c r="O18" s="573"/>
      <c r="P18" s="573"/>
      <c r="Q18" s="573"/>
      <c r="R18" s="573"/>
      <c r="S18" s="573"/>
      <c r="T18" s="573"/>
      <c r="U18" s="692"/>
      <c r="V18" s="693"/>
      <c r="W18" s="694"/>
      <c r="X18" s="695"/>
      <c r="Y18" s="575" t="s">
        <v>16</v>
      </c>
      <c r="Z18" s="573"/>
      <c r="AA18" s="573"/>
      <c r="AB18" s="573"/>
      <c r="AC18" s="579"/>
      <c r="AD18" s="788">
        <v>100</v>
      </c>
      <c r="AE18" s="789"/>
      <c r="AF18" s="788"/>
      <c r="AG18" s="789"/>
      <c r="AH18" s="578"/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4"/>
      <c r="AV18" s="334"/>
      <c r="AW18" s="334"/>
      <c r="AX18" s="334"/>
      <c r="AY18" s="334"/>
      <c r="AZ18" s="334"/>
      <c r="BA18" s="335"/>
      <c r="BB18" s="334"/>
      <c r="BC18" s="334"/>
      <c r="BD18" s="334"/>
      <c r="BE18" s="334"/>
      <c r="BF18" s="334"/>
      <c r="BG18" s="43"/>
      <c r="BK18" s="51"/>
      <c r="BL18" s="51"/>
    </row>
    <row r="19" spans="1:64">
      <c r="A19" s="771">
        <v>12</v>
      </c>
      <c r="B19" s="772"/>
      <c r="C19" s="575" t="s">
        <v>1839</v>
      </c>
      <c r="D19" s="573"/>
      <c r="E19" s="573"/>
      <c r="F19" s="573"/>
      <c r="G19" s="573"/>
      <c r="H19" s="573"/>
      <c r="I19" s="573"/>
      <c r="J19" s="573"/>
      <c r="K19" s="579"/>
      <c r="L19" s="573" t="s">
        <v>1838</v>
      </c>
      <c r="M19" s="573"/>
      <c r="N19" s="573"/>
      <c r="O19" s="573"/>
      <c r="P19" s="573"/>
      <c r="Q19" s="573"/>
      <c r="R19" s="573"/>
      <c r="S19" s="573"/>
      <c r="T19" s="573"/>
      <c r="U19" s="692"/>
      <c r="V19" s="693"/>
      <c r="W19" s="694"/>
      <c r="X19" s="695"/>
      <c r="Y19" s="575" t="s">
        <v>199</v>
      </c>
      <c r="Z19" s="573"/>
      <c r="AA19" s="573"/>
      <c r="AB19" s="573"/>
      <c r="AC19" s="579"/>
      <c r="AD19" s="788">
        <v>64</v>
      </c>
      <c r="AE19" s="789"/>
      <c r="AF19" s="788"/>
      <c r="AG19" s="789"/>
      <c r="AH19" s="578"/>
      <c r="AI19" s="331"/>
      <c r="AJ19" s="331"/>
      <c r="AK19" s="331"/>
      <c r="AL19" s="331"/>
      <c r="AM19" s="331"/>
      <c r="AN19" s="331"/>
      <c r="AO19" s="331"/>
      <c r="AP19" s="331"/>
      <c r="AQ19" s="331"/>
      <c r="AR19" s="331"/>
      <c r="AS19" s="331"/>
      <c r="AT19" s="331"/>
      <c r="AU19" s="334"/>
      <c r="AV19" s="334"/>
      <c r="AW19" s="334"/>
      <c r="AX19" s="334"/>
      <c r="AY19" s="334"/>
      <c r="AZ19" s="334"/>
      <c r="BA19" s="335"/>
      <c r="BB19" s="334"/>
      <c r="BC19" s="334"/>
      <c r="BD19" s="334"/>
      <c r="BE19" s="334"/>
      <c r="BF19" s="334"/>
      <c r="BG19" s="43"/>
      <c r="BK19" s="51"/>
      <c r="BL19" s="51"/>
    </row>
    <row r="20" spans="1:64">
      <c r="A20" s="771">
        <v>13</v>
      </c>
      <c r="B20" s="772"/>
      <c r="C20" s="575" t="s">
        <v>1840</v>
      </c>
      <c r="D20" s="573"/>
      <c r="E20" s="573"/>
      <c r="F20" s="573"/>
      <c r="G20" s="573"/>
      <c r="H20" s="573"/>
      <c r="I20" s="573"/>
      <c r="J20" s="573"/>
      <c r="K20" s="579"/>
      <c r="L20" s="573" t="s">
        <v>1892</v>
      </c>
      <c r="M20" s="573"/>
      <c r="N20" s="573"/>
      <c r="O20" s="573"/>
      <c r="P20" s="573"/>
      <c r="Q20" s="573"/>
      <c r="R20" s="573"/>
      <c r="S20" s="573"/>
      <c r="T20" s="573"/>
      <c r="U20" s="692"/>
      <c r="V20" s="693"/>
      <c r="W20" s="694"/>
      <c r="X20" s="695"/>
      <c r="Y20" s="575" t="s">
        <v>16</v>
      </c>
      <c r="Z20" s="573"/>
      <c r="AA20" s="573"/>
      <c r="AB20" s="573"/>
      <c r="AC20" s="579"/>
      <c r="AD20" s="788">
        <v>100</v>
      </c>
      <c r="AE20" s="789"/>
      <c r="AF20" s="788"/>
      <c r="AG20" s="789"/>
      <c r="AH20" s="578"/>
      <c r="AI20" s="331"/>
      <c r="AJ20" s="331"/>
      <c r="AK20" s="331"/>
      <c r="AL20" s="331"/>
      <c r="AM20" s="331"/>
      <c r="AN20" s="331"/>
      <c r="AO20" s="331"/>
      <c r="AP20" s="331"/>
      <c r="AQ20" s="331"/>
      <c r="AR20" s="331"/>
      <c r="AS20" s="331"/>
      <c r="AT20" s="331"/>
      <c r="AU20" s="334"/>
      <c r="AV20" s="334"/>
      <c r="AW20" s="334"/>
      <c r="AX20" s="334"/>
      <c r="AY20" s="334"/>
      <c r="AZ20" s="334"/>
      <c r="BA20" s="335"/>
      <c r="BB20" s="334"/>
      <c r="BC20" s="334"/>
      <c r="BD20" s="334"/>
      <c r="BE20" s="334"/>
      <c r="BF20" s="334"/>
      <c r="BG20" s="43"/>
      <c r="BK20" s="51"/>
      <c r="BL20" s="51"/>
    </row>
    <row r="21" spans="1:64">
      <c r="A21" s="771">
        <v>14</v>
      </c>
      <c r="B21" s="772"/>
      <c r="C21" s="575" t="s">
        <v>1817</v>
      </c>
      <c r="D21" s="573"/>
      <c r="E21" s="573"/>
      <c r="F21" s="573"/>
      <c r="G21" s="573"/>
      <c r="H21" s="573"/>
      <c r="I21" s="573"/>
      <c r="J21" s="573"/>
      <c r="K21" s="663"/>
      <c r="L21" s="573" t="s">
        <v>1818</v>
      </c>
      <c r="M21" s="573"/>
      <c r="N21" s="573"/>
      <c r="O21" s="573"/>
      <c r="P21" s="573"/>
      <c r="Q21" s="573"/>
      <c r="R21" s="573"/>
      <c r="S21" s="573"/>
      <c r="T21" s="573"/>
      <c r="U21" s="692"/>
      <c r="V21" s="693"/>
      <c r="W21" s="694"/>
      <c r="X21" s="695"/>
      <c r="Y21" s="575" t="s">
        <v>1819</v>
      </c>
      <c r="Z21" s="573"/>
      <c r="AA21" s="573"/>
      <c r="AB21" s="573"/>
      <c r="AC21" s="576"/>
      <c r="AD21" s="788">
        <v>10</v>
      </c>
      <c r="AE21" s="789"/>
      <c r="AF21" s="788"/>
      <c r="AG21" s="789"/>
      <c r="AH21" s="662"/>
      <c r="AI21" s="331"/>
      <c r="AJ21" s="331"/>
      <c r="AK21" s="331"/>
      <c r="AL21" s="331"/>
      <c r="AM21" s="331"/>
      <c r="AN21" s="331"/>
      <c r="AO21" s="331"/>
      <c r="AP21" s="331"/>
      <c r="AQ21" s="331"/>
      <c r="AR21" s="331"/>
      <c r="AS21" s="331"/>
      <c r="AT21" s="331"/>
      <c r="AU21" s="334"/>
      <c r="AV21" s="334"/>
      <c r="AW21" s="334"/>
      <c r="AX21" s="334"/>
      <c r="AY21" s="334"/>
      <c r="AZ21" s="334"/>
      <c r="BA21" s="335"/>
      <c r="BB21" s="334"/>
      <c r="BC21" s="334"/>
      <c r="BD21" s="334"/>
      <c r="BE21" s="334"/>
      <c r="BF21" s="334"/>
      <c r="BG21" s="43"/>
      <c r="BK21" s="51"/>
      <c r="BL21" s="51"/>
    </row>
    <row r="22" spans="1:64">
      <c r="A22" s="771">
        <v>15</v>
      </c>
      <c r="B22" s="772"/>
      <c r="C22" s="575" t="s">
        <v>1777</v>
      </c>
      <c r="D22" s="573"/>
      <c r="E22" s="573"/>
      <c r="F22" s="573"/>
      <c r="G22" s="573"/>
      <c r="H22" s="573"/>
      <c r="I22" s="573"/>
      <c r="J22" s="573"/>
      <c r="K22" s="574"/>
      <c r="L22" s="575" t="s">
        <v>1575</v>
      </c>
      <c r="M22" s="573"/>
      <c r="N22" s="573"/>
      <c r="O22" s="573"/>
      <c r="P22" s="573"/>
      <c r="Q22" s="573"/>
      <c r="R22" s="573"/>
      <c r="S22" s="573"/>
      <c r="T22" s="573"/>
      <c r="U22" s="692"/>
      <c r="V22" s="693"/>
      <c r="W22" s="790"/>
      <c r="X22" s="791"/>
      <c r="Y22" s="575" t="s">
        <v>199</v>
      </c>
      <c r="Z22" s="573"/>
      <c r="AA22" s="573"/>
      <c r="AB22" s="573"/>
      <c r="AC22" s="573"/>
      <c r="AD22" s="792">
        <v>2</v>
      </c>
      <c r="AE22" s="793"/>
      <c r="AF22" s="692"/>
      <c r="AG22" s="693"/>
      <c r="AH22" s="571" t="s">
        <v>1576</v>
      </c>
      <c r="AI22" s="331"/>
      <c r="AJ22" s="331"/>
      <c r="AK22" s="331"/>
      <c r="AL22" s="331"/>
      <c r="AM22" s="331"/>
      <c r="AN22" s="331"/>
      <c r="AO22" s="331"/>
      <c r="AP22" s="331"/>
      <c r="AQ22" s="331"/>
      <c r="AR22" s="331"/>
      <c r="AS22" s="331"/>
      <c r="AT22" s="331"/>
      <c r="AU22" s="334"/>
      <c r="AV22" s="334"/>
      <c r="AW22" s="334"/>
      <c r="AX22" s="334"/>
      <c r="AY22" s="334"/>
      <c r="AZ22" s="334"/>
      <c r="BA22" s="335"/>
      <c r="BB22" s="334"/>
      <c r="BC22" s="334"/>
      <c r="BD22" s="334"/>
      <c r="BE22" s="334"/>
      <c r="BF22" s="334"/>
      <c r="BG22" s="43"/>
      <c r="BK22" s="51"/>
      <c r="BL22" s="52"/>
    </row>
    <row r="23" spans="1:64">
      <c r="A23" s="771">
        <v>16</v>
      </c>
      <c r="B23" s="772"/>
      <c r="C23" s="575" t="s">
        <v>1031</v>
      </c>
      <c r="D23" s="573"/>
      <c r="E23" s="573"/>
      <c r="F23" s="573"/>
      <c r="G23" s="573"/>
      <c r="H23" s="573"/>
      <c r="I23" s="573"/>
      <c r="J23" s="573"/>
      <c r="K23" s="574"/>
      <c r="L23" s="575" t="s">
        <v>1577</v>
      </c>
      <c r="M23" s="573"/>
      <c r="N23" s="573"/>
      <c r="O23" s="573"/>
      <c r="P23" s="573"/>
      <c r="Q23" s="573"/>
      <c r="R23" s="573"/>
      <c r="S23" s="573"/>
      <c r="T23" s="573"/>
      <c r="U23" s="692"/>
      <c r="V23" s="693"/>
      <c r="W23" s="790"/>
      <c r="X23" s="791"/>
      <c r="Y23" s="575" t="s">
        <v>17</v>
      </c>
      <c r="Z23" s="573"/>
      <c r="AA23" s="573"/>
      <c r="AB23" s="573"/>
      <c r="AC23" s="573"/>
      <c r="AD23" s="792"/>
      <c r="AE23" s="793"/>
      <c r="AF23" s="692"/>
      <c r="AG23" s="693"/>
      <c r="AH23" s="571" t="s">
        <v>1578</v>
      </c>
      <c r="AI23" s="331"/>
      <c r="AJ23" s="331"/>
      <c r="AK23" s="331"/>
      <c r="AL23" s="331"/>
      <c r="AM23" s="331"/>
      <c r="AN23" s="331"/>
      <c r="AO23" s="331"/>
      <c r="AP23" s="331"/>
      <c r="AQ23" s="331"/>
      <c r="AR23" s="331"/>
      <c r="AS23" s="331"/>
      <c r="AT23" s="331"/>
      <c r="AU23" s="334"/>
      <c r="AV23" s="334"/>
      <c r="AW23" s="334"/>
      <c r="AX23" s="334"/>
      <c r="AY23" s="334"/>
      <c r="AZ23" s="334"/>
      <c r="BA23" s="335"/>
      <c r="BB23" s="334"/>
      <c r="BC23" s="334"/>
      <c r="BD23" s="334"/>
      <c r="BE23" s="334"/>
      <c r="BF23" s="334"/>
      <c r="BG23" s="43"/>
      <c r="BK23" s="101"/>
      <c r="BL23" s="51"/>
    </row>
    <row r="24" spans="1:64">
      <c r="A24" s="771">
        <v>17</v>
      </c>
      <c r="B24" s="772"/>
      <c r="C24" s="575" t="s">
        <v>1579</v>
      </c>
      <c r="D24" s="573"/>
      <c r="E24" s="573"/>
      <c r="F24" s="573"/>
      <c r="G24" s="573"/>
      <c r="H24" s="573"/>
      <c r="I24" s="573"/>
      <c r="J24" s="573"/>
      <c r="K24" s="574"/>
      <c r="L24" s="575" t="s">
        <v>1580</v>
      </c>
      <c r="M24" s="573"/>
      <c r="N24" s="573"/>
      <c r="O24" s="573"/>
      <c r="P24" s="573"/>
      <c r="Q24" s="573"/>
      <c r="R24" s="573"/>
      <c r="S24" s="573"/>
      <c r="T24" s="573"/>
      <c r="U24" s="692"/>
      <c r="V24" s="693"/>
      <c r="W24" s="790"/>
      <c r="X24" s="791"/>
      <c r="Y24" s="575" t="s">
        <v>199</v>
      </c>
      <c r="Z24" s="573"/>
      <c r="AA24" s="573"/>
      <c r="AB24" s="573"/>
      <c r="AC24" s="573"/>
      <c r="AD24" s="792">
        <v>32</v>
      </c>
      <c r="AE24" s="793"/>
      <c r="AF24" s="692"/>
      <c r="AG24" s="693"/>
      <c r="AH24" s="571"/>
      <c r="AI24" s="331"/>
      <c r="AJ24" s="331"/>
      <c r="AK24" s="331"/>
      <c r="AL24" s="331"/>
      <c r="AM24" s="331"/>
      <c r="AN24" s="331"/>
      <c r="AO24" s="331"/>
      <c r="AP24" s="331"/>
      <c r="AQ24" s="331"/>
      <c r="AR24" s="331"/>
      <c r="AS24" s="331"/>
      <c r="AT24" s="331"/>
      <c r="AU24" s="334"/>
      <c r="AV24" s="334"/>
      <c r="AW24" s="334"/>
      <c r="AX24" s="334"/>
      <c r="AY24" s="334"/>
      <c r="AZ24" s="334"/>
      <c r="BA24" s="335"/>
      <c r="BB24" s="334"/>
      <c r="BC24" s="334"/>
      <c r="BD24" s="334"/>
      <c r="BE24" s="334"/>
      <c r="BF24" s="334"/>
      <c r="BG24" s="43"/>
      <c r="BK24" s="51"/>
      <c r="BL24" s="51"/>
    </row>
    <row r="25" spans="1:64">
      <c r="A25" s="771">
        <v>18</v>
      </c>
      <c r="B25" s="772"/>
      <c r="C25" s="575" t="s">
        <v>1581</v>
      </c>
      <c r="D25" s="573"/>
      <c r="E25" s="573"/>
      <c r="F25" s="573"/>
      <c r="G25" s="573"/>
      <c r="H25" s="573"/>
      <c r="I25" s="573"/>
      <c r="J25" s="573"/>
      <c r="K25" s="574"/>
      <c r="L25" s="575" t="s">
        <v>1582</v>
      </c>
      <c r="M25" s="573"/>
      <c r="N25" s="573"/>
      <c r="O25" s="573"/>
      <c r="P25" s="573"/>
      <c r="Q25" s="573"/>
      <c r="R25" s="573"/>
      <c r="S25" s="573"/>
      <c r="T25" s="573"/>
      <c r="U25" s="692"/>
      <c r="V25" s="693"/>
      <c r="W25" s="790"/>
      <c r="X25" s="791"/>
      <c r="Y25" s="575" t="s">
        <v>16</v>
      </c>
      <c r="Z25" s="573"/>
      <c r="AA25" s="573"/>
      <c r="AB25" s="573"/>
      <c r="AC25" s="574"/>
      <c r="AD25" s="788">
        <v>100</v>
      </c>
      <c r="AE25" s="789"/>
      <c r="AF25" s="692"/>
      <c r="AG25" s="693"/>
      <c r="AH25" s="571"/>
      <c r="AI25" s="331"/>
      <c r="AJ25" s="331"/>
      <c r="AK25" s="331"/>
      <c r="AL25" s="331"/>
      <c r="AM25" s="331"/>
      <c r="AN25" s="331"/>
      <c r="AO25" s="331"/>
      <c r="AP25" s="331"/>
      <c r="AQ25" s="331"/>
      <c r="AR25" s="331"/>
      <c r="AS25" s="331"/>
      <c r="AT25" s="331"/>
      <c r="AU25" s="334"/>
      <c r="AV25" s="334"/>
      <c r="AW25" s="334"/>
      <c r="AX25" s="334"/>
      <c r="AY25" s="334"/>
      <c r="AZ25" s="334"/>
      <c r="BA25" s="335"/>
      <c r="BB25" s="334"/>
      <c r="BC25" s="334"/>
      <c r="BD25" s="334"/>
      <c r="BE25" s="334"/>
      <c r="BF25" s="334"/>
      <c r="BG25" s="43"/>
      <c r="BK25" s="120"/>
      <c r="BL25" s="52"/>
    </row>
    <row r="26" spans="1:64">
      <c r="A26" s="771">
        <v>19</v>
      </c>
      <c r="B26" s="772"/>
      <c r="C26" s="575" t="s">
        <v>1583</v>
      </c>
      <c r="D26" s="573"/>
      <c r="E26" s="573"/>
      <c r="F26" s="573"/>
      <c r="G26" s="573"/>
      <c r="H26" s="573"/>
      <c r="I26" s="573"/>
      <c r="J26" s="573"/>
      <c r="K26" s="574"/>
      <c r="L26" s="575" t="s">
        <v>1584</v>
      </c>
      <c r="M26" s="573"/>
      <c r="N26" s="573"/>
      <c r="O26" s="573"/>
      <c r="P26" s="573"/>
      <c r="Q26" s="573"/>
      <c r="R26" s="573"/>
      <c r="S26" s="573"/>
      <c r="T26" s="573"/>
      <c r="U26" s="692"/>
      <c r="V26" s="693"/>
      <c r="W26" s="790"/>
      <c r="X26" s="791"/>
      <c r="Y26" s="575" t="s">
        <v>17</v>
      </c>
      <c r="Z26" s="573"/>
      <c r="AA26" s="573"/>
      <c r="AB26" s="573"/>
      <c r="AC26" s="573"/>
      <c r="AD26" s="792"/>
      <c r="AE26" s="793"/>
      <c r="AF26" s="692"/>
      <c r="AG26" s="693"/>
      <c r="AH26" s="571" t="s">
        <v>1578</v>
      </c>
      <c r="AI26" s="331"/>
      <c r="AJ26" s="331"/>
      <c r="AK26" s="331"/>
      <c r="AL26" s="331"/>
      <c r="AM26" s="331"/>
      <c r="AN26" s="331"/>
      <c r="AO26" s="331"/>
      <c r="AP26" s="331"/>
      <c r="AQ26" s="331"/>
      <c r="AR26" s="331"/>
      <c r="AS26" s="331"/>
      <c r="AT26" s="331"/>
      <c r="AU26" s="334"/>
      <c r="AV26" s="334"/>
      <c r="AW26" s="334"/>
      <c r="AX26" s="334"/>
      <c r="AY26" s="334"/>
      <c r="AZ26" s="334"/>
      <c r="BA26" s="335"/>
      <c r="BB26" s="334"/>
      <c r="BC26" s="334"/>
      <c r="BD26" s="334"/>
      <c r="BE26" s="334"/>
      <c r="BF26" s="334"/>
      <c r="BG26" s="43"/>
      <c r="BK26" s="120"/>
      <c r="BL26" s="52"/>
    </row>
    <row r="27" spans="1:64">
      <c r="A27" s="771">
        <v>20</v>
      </c>
      <c r="B27" s="772"/>
      <c r="C27" s="575" t="s">
        <v>1585</v>
      </c>
      <c r="D27" s="573"/>
      <c r="E27" s="573"/>
      <c r="F27" s="573"/>
      <c r="G27" s="573"/>
      <c r="H27" s="573"/>
      <c r="I27" s="573"/>
      <c r="J27" s="573"/>
      <c r="K27" s="574"/>
      <c r="L27" s="575" t="s">
        <v>1586</v>
      </c>
      <c r="M27" s="573"/>
      <c r="N27" s="573"/>
      <c r="O27" s="573"/>
      <c r="P27" s="573"/>
      <c r="Q27" s="573"/>
      <c r="R27" s="573"/>
      <c r="S27" s="573"/>
      <c r="T27" s="573"/>
      <c r="U27" s="692"/>
      <c r="V27" s="693"/>
      <c r="W27" s="790"/>
      <c r="X27" s="791"/>
      <c r="Y27" s="575" t="s">
        <v>199</v>
      </c>
      <c r="Z27" s="573"/>
      <c r="AA27" s="573"/>
      <c r="AB27" s="573"/>
      <c r="AC27" s="573"/>
      <c r="AD27" s="792">
        <v>32</v>
      </c>
      <c r="AE27" s="793"/>
      <c r="AF27" s="692"/>
      <c r="AG27" s="693"/>
      <c r="AH27" s="571"/>
      <c r="AI27" s="331"/>
      <c r="AJ27" s="331"/>
      <c r="AK27" s="331"/>
      <c r="AL27" s="331"/>
      <c r="AM27" s="331"/>
      <c r="AN27" s="331"/>
      <c r="AO27" s="331"/>
      <c r="AP27" s="331"/>
      <c r="AQ27" s="331"/>
      <c r="AR27" s="331"/>
      <c r="AS27" s="331"/>
      <c r="AT27" s="331"/>
      <c r="AU27" s="334"/>
      <c r="AV27" s="334"/>
      <c r="AW27" s="334"/>
      <c r="AX27" s="334"/>
      <c r="AY27" s="334"/>
      <c r="AZ27" s="334"/>
      <c r="BA27" s="335"/>
      <c r="BB27" s="334"/>
      <c r="BC27" s="334"/>
      <c r="BD27" s="334"/>
      <c r="BE27" s="334"/>
      <c r="BF27" s="334"/>
      <c r="BG27" s="43"/>
      <c r="BK27" s="51"/>
      <c r="BL27" s="52"/>
    </row>
    <row r="28" spans="1:64">
      <c r="A28" s="771">
        <v>21</v>
      </c>
      <c r="B28" s="772"/>
      <c r="C28" s="575" t="s">
        <v>1587</v>
      </c>
      <c r="D28" s="573"/>
      <c r="E28" s="573"/>
      <c r="F28" s="573"/>
      <c r="G28" s="573"/>
      <c r="H28" s="573"/>
      <c r="I28" s="573"/>
      <c r="J28" s="573"/>
      <c r="K28" s="574"/>
      <c r="L28" s="575" t="s">
        <v>1588</v>
      </c>
      <c r="M28" s="573"/>
      <c r="N28" s="573"/>
      <c r="O28" s="573"/>
      <c r="P28" s="573"/>
      <c r="Q28" s="573"/>
      <c r="R28" s="573"/>
      <c r="S28" s="573"/>
      <c r="T28" s="573"/>
      <c r="U28" s="692"/>
      <c r="V28" s="693"/>
      <c r="W28" s="790"/>
      <c r="X28" s="791"/>
      <c r="Y28" s="575" t="s">
        <v>16</v>
      </c>
      <c r="Z28" s="573"/>
      <c r="AA28" s="573"/>
      <c r="AB28" s="573"/>
      <c r="AC28" s="574"/>
      <c r="AD28" s="788">
        <v>100</v>
      </c>
      <c r="AE28" s="789"/>
      <c r="AF28" s="692"/>
      <c r="AG28" s="693"/>
      <c r="AH28" s="571"/>
      <c r="AI28" s="331"/>
      <c r="AJ28" s="331"/>
      <c r="AK28" s="331"/>
      <c r="AL28" s="331"/>
      <c r="AM28" s="331"/>
      <c r="AN28" s="331"/>
      <c r="AO28" s="331"/>
      <c r="AP28" s="331"/>
      <c r="AQ28" s="331"/>
      <c r="AR28" s="331"/>
      <c r="AS28" s="331"/>
      <c r="AT28" s="331"/>
      <c r="AU28" s="334"/>
      <c r="AV28" s="334"/>
      <c r="AW28" s="334"/>
      <c r="AX28" s="334"/>
      <c r="AY28" s="334"/>
      <c r="AZ28" s="334"/>
      <c r="BA28" s="335"/>
      <c r="BB28" s="334"/>
      <c r="BC28" s="334"/>
      <c r="BD28" s="334"/>
      <c r="BE28" s="334"/>
      <c r="BF28" s="334"/>
      <c r="BG28" s="43"/>
      <c r="BK28" s="101"/>
      <c r="BL28" s="51"/>
    </row>
    <row r="29" spans="1:64">
      <c r="A29" s="771"/>
      <c r="B29" s="772"/>
      <c r="C29" s="3"/>
      <c r="D29" s="450"/>
      <c r="E29" s="450"/>
      <c r="F29" s="450"/>
      <c r="G29" s="450"/>
      <c r="H29" s="450"/>
      <c r="I29" s="450"/>
      <c r="J29" s="450"/>
      <c r="K29" s="568"/>
      <c r="L29" s="3"/>
      <c r="M29" s="450"/>
      <c r="N29" s="450"/>
      <c r="O29" s="450"/>
      <c r="P29" s="450"/>
      <c r="Q29" s="450"/>
      <c r="R29" s="450"/>
      <c r="S29" s="450"/>
      <c r="T29" s="450"/>
      <c r="U29" s="780"/>
      <c r="V29" s="772"/>
      <c r="W29" s="773"/>
      <c r="X29" s="774"/>
      <c r="Y29" s="3"/>
      <c r="Z29" s="450"/>
      <c r="AA29" s="450"/>
      <c r="AB29" s="450"/>
      <c r="AC29" s="450"/>
      <c r="AD29" s="783"/>
      <c r="AE29" s="784"/>
      <c r="AF29" s="780"/>
      <c r="AG29" s="772"/>
      <c r="AH29" s="567"/>
      <c r="AI29" s="450"/>
      <c r="AJ29" s="450"/>
      <c r="AK29" s="450"/>
      <c r="AL29" s="450"/>
      <c r="AM29" s="450"/>
      <c r="AN29" s="450"/>
      <c r="AO29" s="450"/>
      <c r="AP29" s="450"/>
      <c r="AQ29" s="450"/>
      <c r="AR29" s="450"/>
      <c r="AS29" s="450"/>
      <c r="AT29" s="450"/>
      <c r="AU29" s="334"/>
      <c r="AV29" s="334"/>
      <c r="AW29" s="334"/>
      <c r="AX29" s="334"/>
      <c r="AY29" s="334"/>
      <c r="AZ29" s="334"/>
      <c r="BA29" s="335"/>
      <c r="BB29" s="334"/>
      <c r="BC29" s="334"/>
      <c r="BD29" s="334"/>
      <c r="BE29" s="334"/>
      <c r="BF29" s="334"/>
      <c r="BG29" s="43"/>
      <c r="BK29" s="51"/>
      <c r="BL29" s="51"/>
    </row>
    <row r="30" spans="1:64">
      <c r="A30" s="771"/>
      <c r="B30" s="772"/>
      <c r="C30" s="3"/>
      <c r="D30" s="450"/>
      <c r="E30" s="450"/>
      <c r="F30" s="450"/>
      <c r="G30" s="450"/>
      <c r="H30" s="450"/>
      <c r="I30" s="450"/>
      <c r="J30" s="450"/>
      <c r="K30" s="568"/>
      <c r="L30" s="3"/>
      <c r="M30" s="450"/>
      <c r="N30" s="450"/>
      <c r="O30" s="450"/>
      <c r="P30" s="450"/>
      <c r="Q30" s="450"/>
      <c r="R30" s="450"/>
      <c r="S30" s="450"/>
      <c r="T30" s="450"/>
      <c r="U30" s="780"/>
      <c r="V30" s="772"/>
      <c r="W30" s="773"/>
      <c r="X30" s="774"/>
      <c r="Y30" s="3"/>
      <c r="Z30" s="450"/>
      <c r="AA30" s="450"/>
      <c r="AB30" s="450"/>
      <c r="AC30" s="450"/>
      <c r="AD30" s="783"/>
      <c r="AE30" s="784"/>
      <c r="AF30" s="780"/>
      <c r="AG30" s="772"/>
      <c r="AH30" s="567"/>
      <c r="AI30" s="450"/>
      <c r="AJ30" s="450"/>
      <c r="AK30" s="450"/>
      <c r="AL30" s="450"/>
      <c r="AM30" s="450"/>
      <c r="AN30" s="450"/>
      <c r="AO30" s="450"/>
      <c r="AP30" s="450"/>
      <c r="AQ30" s="450"/>
      <c r="AR30" s="450"/>
      <c r="AS30" s="450"/>
      <c r="AT30" s="450"/>
      <c r="AU30" s="334"/>
      <c r="AV30" s="334"/>
      <c r="AW30" s="334"/>
      <c r="AX30" s="334"/>
      <c r="AY30" s="334"/>
      <c r="AZ30" s="334"/>
      <c r="BA30" s="335"/>
      <c r="BB30" s="334"/>
      <c r="BC30" s="334"/>
      <c r="BD30" s="334"/>
      <c r="BE30" s="334"/>
      <c r="BF30" s="334"/>
      <c r="BG30" s="43"/>
      <c r="BK30" s="120"/>
      <c r="BL30" s="52"/>
    </row>
    <row r="31" spans="1:64">
      <c r="A31" s="771"/>
      <c r="B31" s="772"/>
      <c r="C31" s="3"/>
      <c r="D31" s="450"/>
      <c r="E31" s="450"/>
      <c r="F31" s="450"/>
      <c r="G31" s="450"/>
      <c r="H31" s="450"/>
      <c r="I31" s="450"/>
      <c r="J31" s="450"/>
      <c r="K31" s="568"/>
      <c r="L31" s="3"/>
      <c r="M31" s="450"/>
      <c r="N31" s="450"/>
      <c r="O31" s="450"/>
      <c r="P31" s="450"/>
      <c r="Q31" s="450"/>
      <c r="R31" s="450"/>
      <c r="S31" s="450"/>
      <c r="T31" s="450"/>
      <c r="U31" s="780"/>
      <c r="V31" s="772"/>
      <c r="W31" s="773"/>
      <c r="X31" s="774"/>
      <c r="Y31" s="3"/>
      <c r="Z31" s="450"/>
      <c r="AA31" s="450"/>
      <c r="AB31" s="450"/>
      <c r="AC31" s="450"/>
      <c r="AD31" s="783"/>
      <c r="AE31" s="784"/>
      <c r="AF31" s="780"/>
      <c r="AG31" s="772"/>
      <c r="AH31" s="567"/>
      <c r="AI31" s="450"/>
      <c r="AJ31" s="450"/>
      <c r="AK31" s="450"/>
      <c r="AL31" s="450"/>
      <c r="AM31" s="450"/>
      <c r="AN31" s="450"/>
      <c r="AO31" s="450"/>
      <c r="AP31" s="450"/>
      <c r="AQ31" s="450"/>
      <c r="AR31" s="450"/>
      <c r="AS31" s="450"/>
      <c r="AT31" s="450"/>
      <c r="AU31" s="334"/>
      <c r="AV31" s="334"/>
      <c r="AW31" s="334"/>
      <c r="AX31" s="334"/>
      <c r="AY31" s="334"/>
      <c r="AZ31" s="334"/>
      <c r="BA31" s="335"/>
      <c r="BB31" s="334"/>
      <c r="BC31" s="334"/>
      <c r="BD31" s="334"/>
      <c r="BE31" s="334"/>
      <c r="BF31" s="334"/>
      <c r="BG31" s="43"/>
      <c r="BK31" s="120"/>
      <c r="BL31" s="52"/>
    </row>
    <row r="32" spans="1:64" ht="16.2" thickBot="1">
      <c r="A32" s="771"/>
      <c r="B32" s="772"/>
      <c r="C32" s="3"/>
      <c r="D32" s="450"/>
      <c r="E32" s="450"/>
      <c r="F32" s="450"/>
      <c r="G32" s="450"/>
      <c r="H32" s="450"/>
      <c r="I32" s="450"/>
      <c r="J32" s="450"/>
      <c r="K32" s="568"/>
      <c r="L32" s="3"/>
      <c r="M32" s="450"/>
      <c r="N32" s="450"/>
      <c r="O32" s="450"/>
      <c r="P32" s="450"/>
      <c r="Q32" s="450"/>
      <c r="R32" s="450"/>
      <c r="S32" s="450"/>
      <c r="T32" s="450"/>
      <c r="U32" s="780"/>
      <c r="V32" s="772"/>
      <c r="W32" s="773"/>
      <c r="X32" s="774"/>
      <c r="Y32" s="3"/>
      <c r="Z32" s="450"/>
      <c r="AA32" s="450"/>
      <c r="AB32" s="450"/>
      <c r="AC32" s="450"/>
      <c r="AD32" s="783"/>
      <c r="AE32" s="784"/>
      <c r="AF32" s="780"/>
      <c r="AG32" s="772"/>
      <c r="AH32" s="567"/>
      <c r="AI32" s="450"/>
      <c r="AJ32" s="450"/>
      <c r="AK32" s="450"/>
      <c r="AL32" s="450"/>
      <c r="AM32" s="450"/>
      <c r="AN32" s="450"/>
      <c r="AO32" s="450"/>
      <c r="AP32" s="450"/>
      <c r="AQ32" s="450"/>
      <c r="AR32" s="450"/>
      <c r="AS32" s="450"/>
      <c r="AT32" s="450"/>
      <c r="AU32" s="565"/>
      <c r="AV32" s="565"/>
      <c r="AW32" s="565"/>
      <c r="AX32" s="565"/>
      <c r="AY32" s="565"/>
      <c r="AZ32" s="565"/>
      <c r="BA32" s="566"/>
      <c r="BK32" s="120"/>
      <c r="BL32" s="52"/>
    </row>
    <row r="33" spans="10:64">
      <c r="J33" s="246" t="s">
        <v>1920</v>
      </c>
      <c r="BK33" s="120"/>
      <c r="BL33" s="52"/>
    </row>
    <row r="34" spans="10:64">
      <c r="L34" s="246" t="s">
        <v>1919</v>
      </c>
      <c r="BK34" s="101"/>
      <c r="BL34" s="51"/>
    </row>
    <row r="35" spans="10:64">
      <c r="L35" s="246" t="s">
        <v>1916</v>
      </c>
      <c r="BK35" s="51"/>
      <c r="BL35" s="51"/>
    </row>
    <row r="36" spans="10:64">
      <c r="L36" s="246" t="s">
        <v>1917</v>
      </c>
      <c r="BK36" s="51"/>
      <c r="BL36" s="51"/>
    </row>
    <row r="37" spans="10:64">
      <c r="L37" s="246" t="s">
        <v>1918</v>
      </c>
      <c r="BK37" s="51"/>
      <c r="BL37" s="51"/>
    </row>
    <row r="38" spans="10:64">
      <c r="BK38" s="51"/>
      <c r="BL38" s="51"/>
    </row>
    <row r="39" spans="10:64">
      <c r="J39" s="246" t="s">
        <v>1921</v>
      </c>
      <c r="BK39" s="51"/>
      <c r="BL39" s="51"/>
    </row>
    <row r="40" spans="10:64">
      <c r="L40" s="246" t="s">
        <v>1922</v>
      </c>
      <c r="BK40" s="51"/>
      <c r="BL40" s="51"/>
    </row>
    <row r="41" spans="10:64">
      <c r="BK41" s="51"/>
      <c r="BL41" s="51"/>
    </row>
    <row r="42" spans="10:64">
      <c r="BK42" s="51"/>
      <c r="BL42" s="51"/>
    </row>
    <row r="43" spans="10:64">
      <c r="BK43" s="51"/>
      <c r="BL43" s="51"/>
    </row>
    <row r="44" spans="10:64">
      <c r="BK44" s="51"/>
      <c r="BL44" s="51"/>
    </row>
  </sheetData>
  <mergeCells count="134">
    <mergeCell ref="A21:B21"/>
    <mergeCell ref="U21:V21"/>
    <mergeCell ref="W21:X21"/>
    <mergeCell ref="AD21:AE21"/>
    <mergeCell ref="AF21:AG21"/>
    <mergeCell ref="A19:B19"/>
    <mergeCell ref="A20:B20"/>
    <mergeCell ref="U19:V19"/>
    <mergeCell ref="U20:V20"/>
    <mergeCell ref="W19:X19"/>
    <mergeCell ref="W20:X20"/>
    <mergeCell ref="AD19:AE19"/>
    <mergeCell ref="AD20:AE20"/>
    <mergeCell ref="AF19:AG19"/>
    <mergeCell ref="AF20:AG20"/>
    <mergeCell ref="U17:V17"/>
    <mergeCell ref="W17:X17"/>
    <mergeCell ref="AD17:AE17"/>
    <mergeCell ref="AF17:AG17"/>
    <mergeCell ref="U18:V18"/>
    <mergeCell ref="W18:X18"/>
    <mergeCell ref="AD18:AE18"/>
    <mergeCell ref="AF18:AG18"/>
    <mergeCell ref="A17:B17"/>
    <mergeCell ref="A18:B18"/>
    <mergeCell ref="A32:B32"/>
    <mergeCell ref="U32:V32"/>
    <mergeCell ref="W32:X32"/>
    <mergeCell ref="AD32:AE32"/>
    <mergeCell ref="AF32:AG32"/>
    <mergeCell ref="AD31:AE31"/>
    <mergeCell ref="AF31:AG31"/>
    <mergeCell ref="A30:B30"/>
    <mergeCell ref="U30:V30"/>
    <mergeCell ref="W30:X30"/>
    <mergeCell ref="AD30:AE30"/>
    <mergeCell ref="AF30:AG30"/>
    <mergeCell ref="A31:B31"/>
    <mergeCell ref="U31:V31"/>
    <mergeCell ref="W31:X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16:B16"/>
    <mergeCell ref="U16:V16"/>
    <mergeCell ref="W16:X16"/>
    <mergeCell ref="AD16:AE16"/>
    <mergeCell ref="AF16:AG16"/>
    <mergeCell ref="A15:B15"/>
    <mergeCell ref="U15:V15"/>
    <mergeCell ref="W15:X15"/>
    <mergeCell ref="AD15:AE15"/>
    <mergeCell ref="AF15:AG15"/>
    <mergeCell ref="A14:B14"/>
    <mergeCell ref="U14:V14"/>
    <mergeCell ref="W14:X14"/>
    <mergeCell ref="AD14:AE14"/>
    <mergeCell ref="AF14:AG14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A8:B8"/>
    <mergeCell ref="U8:V8"/>
    <mergeCell ref="W8:X8"/>
    <mergeCell ref="AD8:AE8"/>
    <mergeCell ref="AF8:AG8"/>
    <mergeCell ref="A9:B9"/>
    <mergeCell ref="U9:V9"/>
    <mergeCell ref="W9:X9"/>
    <mergeCell ref="AD9:AE9"/>
    <mergeCell ref="AF9:AG9"/>
    <mergeCell ref="G1:T1"/>
    <mergeCell ref="U1:AO2"/>
    <mergeCell ref="BB1:BG1"/>
    <mergeCell ref="G2:T2"/>
    <mergeCell ref="BB2:BG2"/>
    <mergeCell ref="A6:B7"/>
    <mergeCell ref="C6:K7"/>
    <mergeCell ref="L6:T7"/>
    <mergeCell ref="BB6:BG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BM39"/>
  <sheetViews>
    <sheetView zoomScale="85" zoomScaleNormal="85" workbookViewId="0">
      <selection activeCell="C16" sqref="C16:AG16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33203125" style="295" customWidth="1"/>
    <col min="31" max="33" width="2.6640625" style="295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5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559"/>
      <c r="AT1" s="560"/>
      <c r="AU1" s="560"/>
      <c r="AV1" s="560"/>
      <c r="AW1" s="560"/>
      <c r="AX1" s="561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5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562"/>
      <c r="AT2" s="563"/>
      <c r="AU2" s="563"/>
      <c r="AV2" s="563"/>
      <c r="AW2" s="563"/>
      <c r="AX2" s="564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5" ht="16.2" thickBot="1">
      <c r="A3" s="334"/>
      <c r="B3" s="334"/>
      <c r="C3" s="55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540"/>
      <c r="AE3" s="540"/>
      <c r="AF3" s="540"/>
      <c r="AG3" s="540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</row>
    <row r="4" spans="1:65" ht="16.2" thickBot="1">
      <c r="A4" s="24" t="s">
        <v>5</v>
      </c>
      <c r="B4" s="25"/>
      <c r="C4" s="56"/>
      <c r="D4" s="25"/>
      <c r="E4" s="25"/>
      <c r="F4" s="25"/>
      <c r="G4" s="26"/>
      <c r="H4" s="5" t="s">
        <v>1894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1893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5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1277</v>
      </c>
      <c r="BL5" s="353" t="s">
        <v>812</v>
      </c>
    </row>
    <row r="6" spans="1:65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543" t="s">
        <v>19</v>
      </c>
      <c r="V6" s="541"/>
      <c r="W6" s="547" t="s">
        <v>22</v>
      </c>
      <c r="X6" s="548"/>
      <c r="Y6" s="543" t="s">
        <v>11</v>
      </c>
      <c r="Z6" s="544"/>
      <c r="AA6" s="544"/>
      <c r="AB6" s="544"/>
      <c r="AC6" s="541"/>
      <c r="AD6" s="551" t="s">
        <v>12</v>
      </c>
      <c r="AE6" s="552"/>
      <c r="AF6" s="555" t="s">
        <v>13</v>
      </c>
      <c r="AG6" s="556"/>
      <c r="AH6" s="543" t="s">
        <v>14</v>
      </c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1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5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545"/>
      <c r="V7" s="542"/>
      <c r="W7" s="549"/>
      <c r="X7" s="550"/>
      <c r="Y7" s="545"/>
      <c r="Z7" s="546"/>
      <c r="AA7" s="546"/>
      <c r="AB7" s="546"/>
      <c r="AC7" s="542"/>
      <c r="AD7" s="553"/>
      <c r="AE7" s="554"/>
      <c r="AF7" s="557"/>
      <c r="AG7" s="558"/>
      <c r="AH7" s="545"/>
      <c r="AI7" s="546"/>
      <c r="AJ7" s="546"/>
      <c r="AK7" s="546"/>
      <c r="AL7" s="546"/>
      <c r="AM7" s="546"/>
      <c r="AN7" s="546"/>
      <c r="AO7" s="546"/>
      <c r="AP7" s="546"/>
      <c r="AQ7" s="546"/>
      <c r="AR7" s="546"/>
      <c r="AS7" s="546"/>
      <c r="AT7" s="546"/>
      <c r="AU7" s="546"/>
      <c r="AV7" s="546"/>
      <c r="AW7" s="546"/>
      <c r="AX7" s="546"/>
      <c r="AY7" s="546"/>
      <c r="AZ7" s="546"/>
      <c r="BA7" s="542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5" ht="16.2" thickTop="1">
      <c r="A8" s="771">
        <v>1</v>
      </c>
      <c r="B8" s="772"/>
      <c r="C8" s="569" t="s">
        <v>1814</v>
      </c>
      <c r="D8" s="450"/>
      <c r="E8" s="450"/>
      <c r="F8" s="450"/>
      <c r="G8" s="450"/>
      <c r="H8" s="450"/>
      <c r="I8" s="450"/>
      <c r="J8" s="450"/>
      <c r="K8" s="568"/>
      <c r="L8" s="450" t="s">
        <v>1841</v>
      </c>
      <c r="M8" s="450"/>
      <c r="N8" s="450"/>
      <c r="O8" s="450"/>
      <c r="P8" s="450"/>
      <c r="Q8" s="450"/>
      <c r="R8" s="450"/>
      <c r="S8" s="450"/>
      <c r="T8" s="450"/>
      <c r="U8" s="780" t="s">
        <v>1556</v>
      </c>
      <c r="V8" s="772"/>
      <c r="W8" s="773"/>
      <c r="X8" s="774"/>
      <c r="Y8" s="3" t="s">
        <v>199</v>
      </c>
      <c r="Z8" s="450"/>
      <c r="AA8" s="450"/>
      <c r="AB8" s="450"/>
      <c r="AC8" s="568"/>
      <c r="AD8" s="781">
        <v>32</v>
      </c>
      <c r="AE8" s="782"/>
      <c r="AF8" s="781"/>
      <c r="AG8" s="782"/>
      <c r="AH8" s="567"/>
      <c r="AI8" s="331"/>
      <c r="AJ8" s="331"/>
      <c r="AK8" s="331"/>
      <c r="AL8" s="331"/>
      <c r="AM8" s="570"/>
      <c r="AN8" s="570"/>
      <c r="AO8" s="570"/>
      <c r="AP8" s="570"/>
      <c r="AQ8" s="570"/>
      <c r="AR8" s="570"/>
      <c r="AS8" s="570"/>
      <c r="AT8" s="570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/>
      <c r="BL8" s="52"/>
    </row>
    <row r="9" spans="1:65">
      <c r="A9" s="771">
        <v>2</v>
      </c>
      <c r="B9" s="772"/>
      <c r="C9" s="569" t="s">
        <v>1843</v>
      </c>
      <c r="D9" s="450"/>
      <c r="E9" s="450"/>
      <c r="F9" s="450"/>
      <c r="G9" s="450"/>
      <c r="H9" s="450"/>
      <c r="I9" s="450"/>
      <c r="J9" s="450"/>
      <c r="K9" s="568"/>
      <c r="L9" s="450" t="s">
        <v>1842</v>
      </c>
      <c r="M9" s="450"/>
      <c r="N9" s="450"/>
      <c r="O9" s="450"/>
      <c r="P9" s="450"/>
      <c r="Q9" s="450"/>
      <c r="R9" s="450"/>
      <c r="S9" s="450"/>
      <c r="T9" s="450"/>
      <c r="U9" s="780"/>
      <c r="V9" s="772"/>
      <c r="W9" s="773"/>
      <c r="X9" s="774"/>
      <c r="Y9" s="3" t="s">
        <v>16</v>
      </c>
      <c r="Z9" s="450"/>
      <c r="AA9" s="450"/>
      <c r="AB9" s="450"/>
      <c r="AC9" s="568"/>
      <c r="AD9" s="781">
        <v>200</v>
      </c>
      <c r="AE9" s="782"/>
      <c r="AF9" s="781"/>
      <c r="AG9" s="782"/>
      <c r="AH9" s="567" t="s">
        <v>1820</v>
      </c>
      <c r="AI9" s="331"/>
      <c r="AJ9" s="331"/>
      <c r="AK9" s="331"/>
      <c r="AL9" s="331"/>
      <c r="AM9" s="331"/>
      <c r="AN9" s="331"/>
      <c r="AO9" s="331"/>
      <c r="AP9" s="331"/>
      <c r="AQ9" s="331"/>
      <c r="AR9" s="331"/>
      <c r="AS9" s="331"/>
      <c r="AT9" s="331"/>
      <c r="AU9" s="334"/>
      <c r="AV9" s="334"/>
      <c r="AW9" s="334"/>
      <c r="AX9" s="334"/>
      <c r="AY9" s="334"/>
      <c r="AZ9" s="334"/>
      <c r="BA9" s="335"/>
      <c r="BB9" s="334"/>
      <c r="BC9" s="334"/>
      <c r="BD9" s="334"/>
      <c r="BE9" s="334"/>
      <c r="BF9" s="334"/>
      <c r="BG9" s="43"/>
      <c r="BH9" s="36"/>
      <c r="BK9" s="120"/>
      <c r="BL9" s="52"/>
    </row>
    <row r="10" spans="1:65">
      <c r="A10" s="771">
        <v>3</v>
      </c>
      <c r="B10" s="772"/>
      <c r="C10" s="572" t="s">
        <v>1816</v>
      </c>
      <c r="D10" s="573"/>
      <c r="E10" s="573"/>
      <c r="F10" s="573"/>
      <c r="G10" s="573"/>
      <c r="H10" s="573"/>
      <c r="I10" s="573"/>
      <c r="J10" s="573"/>
      <c r="K10" s="574"/>
      <c r="L10" s="573" t="s">
        <v>1844</v>
      </c>
      <c r="M10" s="573"/>
      <c r="N10" s="573"/>
      <c r="O10" s="573"/>
      <c r="P10" s="573"/>
      <c r="Q10" s="573"/>
      <c r="R10" s="573"/>
      <c r="S10" s="573"/>
      <c r="T10" s="573"/>
      <c r="U10" s="692"/>
      <c r="V10" s="693"/>
      <c r="W10" s="694"/>
      <c r="X10" s="695"/>
      <c r="Y10" s="575" t="s">
        <v>17</v>
      </c>
      <c r="Z10" s="573"/>
      <c r="AA10" s="573"/>
      <c r="AB10" s="573"/>
      <c r="AC10" s="573"/>
      <c r="AD10" s="792"/>
      <c r="AE10" s="793"/>
      <c r="AF10" s="692"/>
      <c r="AG10" s="693"/>
      <c r="AH10" s="660" t="s">
        <v>1578</v>
      </c>
      <c r="AI10" s="331"/>
      <c r="AJ10" s="331"/>
      <c r="AK10" s="331"/>
      <c r="AL10" s="331"/>
      <c r="AM10" s="331"/>
      <c r="AN10" s="331"/>
      <c r="AO10" s="331"/>
      <c r="AP10" s="331"/>
      <c r="AQ10" s="331"/>
      <c r="AR10" s="331"/>
      <c r="AS10" s="331"/>
      <c r="AT10" s="331"/>
      <c r="AU10" s="334"/>
      <c r="AV10" s="334"/>
      <c r="AW10" s="334"/>
      <c r="AX10" s="334"/>
      <c r="AY10" s="334"/>
      <c r="AZ10" s="334"/>
      <c r="BA10" s="335"/>
      <c r="BB10" s="334"/>
      <c r="BC10" s="334"/>
      <c r="BD10" s="334"/>
      <c r="BE10" s="334"/>
      <c r="BF10" s="334"/>
      <c r="BG10" s="43"/>
      <c r="BK10" s="120"/>
      <c r="BL10" s="52"/>
    </row>
    <row r="11" spans="1:65">
      <c r="A11" s="771">
        <v>4</v>
      </c>
      <c r="B11" s="772"/>
      <c r="C11" s="572" t="s">
        <v>1846</v>
      </c>
      <c r="D11" s="573"/>
      <c r="E11" s="573"/>
      <c r="F11" s="573"/>
      <c r="G11" s="573"/>
      <c r="H11" s="573"/>
      <c r="I11" s="573"/>
      <c r="J11" s="573"/>
      <c r="K11" s="661"/>
      <c r="L11" s="573" t="s">
        <v>1845</v>
      </c>
      <c r="M11" s="573"/>
      <c r="N11" s="573"/>
      <c r="O11" s="573"/>
      <c r="P11" s="573"/>
      <c r="Q11" s="573"/>
      <c r="R11" s="573"/>
      <c r="S11" s="573"/>
      <c r="T11" s="573"/>
      <c r="U11" s="692"/>
      <c r="V11" s="693"/>
      <c r="W11" s="694"/>
      <c r="X11" s="695"/>
      <c r="Y11" s="575" t="s">
        <v>199</v>
      </c>
      <c r="Z11" s="573"/>
      <c r="AA11" s="573"/>
      <c r="AB11" s="573"/>
      <c r="AC11" s="573"/>
      <c r="AD11" s="792">
        <v>64</v>
      </c>
      <c r="AE11" s="793"/>
      <c r="AF11" s="788"/>
      <c r="AG11" s="789"/>
      <c r="AH11" s="660" t="s">
        <v>1821</v>
      </c>
      <c r="AI11" s="331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4"/>
      <c r="AV11" s="334"/>
      <c r="AW11" s="334"/>
      <c r="AX11" s="334"/>
      <c r="AY11" s="334"/>
      <c r="AZ11" s="334"/>
      <c r="BA11" s="335"/>
      <c r="BB11" s="334"/>
      <c r="BC11" s="334"/>
      <c r="BD11" s="334"/>
      <c r="BE11" s="334"/>
      <c r="BF11" s="334"/>
      <c r="BG11" s="43"/>
      <c r="BK11" s="120"/>
      <c r="BL11" s="52"/>
    </row>
    <row r="12" spans="1:65">
      <c r="A12" s="771">
        <v>5</v>
      </c>
      <c r="B12" s="772"/>
      <c r="C12" s="572" t="s">
        <v>1848</v>
      </c>
      <c r="D12" s="573"/>
      <c r="E12" s="573"/>
      <c r="F12" s="573"/>
      <c r="G12" s="573"/>
      <c r="H12" s="573"/>
      <c r="I12" s="573"/>
      <c r="J12" s="573"/>
      <c r="K12" s="661"/>
      <c r="L12" s="573" t="s">
        <v>1847</v>
      </c>
      <c r="M12" s="573"/>
      <c r="N12" s="573"/>
      <c r="O12" s="573"/>
      <c r="P12" s="573"/>
      <c r="Q12" s="573"/>
      <c r="R12" s="573"/>
      <c r="S12" s="573"/>
      <c r="T12" s="573"/>
      <c r="U12" s="692"/>
      <c r="V12" s="693"/>
      <c r="W12" s="694"/>
      <c r="X12" s="695"/>
      <c r="Y12" s="575" t="s">
        <v>16</v>
      </c>
      <c r="Z12" s="573"/>
      <c r="AA12" s="573"/>
      <c r="AB12" s="573"/>
      <c r="AC12" s="661"/>
      <c r="AD12" s="788">
        <v>20</v>
      </c>
      <c r="AE12" s="789"/>
      <c r="AF12" s="788"/>
      <c r="AG12" s="789"/>
      <c r="AH12" s="660"/>
      <c r="AI12" s="331"/>
      <c r="AJ12" s="331"/>
      <c r="AK12" s="331"/>
      <c r="AL12" s="331"/>
      <c r="AM12" s="331"/>
      <c r="AN12" s="331"/>
      <c r="AO12" s="331"/>
      <c r="AP12" s="331"/>
      <c r="AQ12" s="331"/>
      <c r="AR12" s="331"/>
      <c r="AS12" s="331"/>
      <c r="AT12" s="331"/>
      <c r="AU12" s="334"/>
      <c r="AV12" s="334"/>
      <c r="AW12" s="334"/>
      <c r="AX12" s="334"/>
      <c r="AY12" s="334"/>
      <c r="AZ12" s="334"/>
      <c r="BA12" s="335"/>
      <c r="BB12" s="334"/>
      <c r="BC12" s="334"/>
      <c r="BD12" s="334"/>
      <c r="BE12" s="334"/>
      <c r="BF12" s="334"/>
      <c r="BG12" s="43"/>
      <c r="BK12" s="120"/>
      <c r="BL12" s="52"/>
    </row>
    <row r="13" spans="1:65">
      <c r="A13" s="771">
        <v>6</v>
      </c>
      <c r="B13" s="772"/>
      <c r="C13" s="651" t="s">
        <v>1849</v>
      </c>
      <c r="D13" s="645"/>
      <c r="E13" s="645"/>
      <c r="F13" s="645"/>
      <c r="G13" s="645"/>
      <c r="H13" s="645"/>
      <c r="I13" s="645"/>
      <c r="J13" s="645"/>
      <c r="K13" s="646"/>
      <c r="L13" s="645" t="s">
        <v>1793</v>
      </c>
      <c r="M13" s="645"/>
      <c r="N13" s="645"/>
      <c r="O13" s="645"/>
      <c r="P13" s="645"/>
      <c r="Q13" s="645"/>
      <c r="R13" s="645"/>
      <c r="S13" s="645"/>
      <c r="T13" s="645"/>
      <c r="U13" s="794"/>
      <c r="V13" s="795"/>
      <c r="W13" s="796"/>
      <c r="X13" s="797"/>
      <c r="Y13" s="644" t="s">
        <v>199</v>
      </c>
      <c r="Z13" s="645"/>
      <c r="AA13" s="645"/>
      <c r="AB13" s="645"/>
      <c r="AC13" s="646"/>
      <c r="AD13" s="798">
        <v>32</v>
      </c>
      <c r="AE13" s="799"/>
      <c r="AF13" s="788"/>
      <c r="AG13" s="789"/>
      <c r="AH13" s="571"/>
      <c r="AI13" s="576"/>
      <c r="AJ13" s="331"/>
      <c r="AK13" s="331"/>
      <c r="AL13" s="331"/>
      <c r="AM13" s="331"/>
      <c r="AN13" s="331"/>
      <c r="AO13" s="331"/>
      <c r="AP13" s="331"/>
      <c r="AQ13" s="331"/>
      <c r="AR13" s="331"/>
      <c r="AS13" s="331"/>
      <c r="AT13" s="331"/>
      <c r="AU13" s="334"/>
      <c r="AV13" s="334"/>
      <c r="AW13" s="334"/>
      <c r="AX13" s="334"/>
      <c r="AY13" s="334"/>
      <c r="AZ13" s="334"/>
      <c r="BA13" s="335"/>
      <c r="BB13" s="334"/>
      <c r="BC13" s="334"/>
      <c r="BD13" s="334"/>
      <c r="BE13" s="334"/>
      <c r="BF13" s="334"/>
      <c r="BG13" s="43"/>
      <c r="BK13" s="120"/>
      <c r="BL13" s="52"/>
    </row>
    <row r="14" spans="1:65">
      <c r="A14" s="771">
        <v>7</v>
      </c>
      <c r="B14" s="772"/>
      <c r="C14" s="644" t="s">
        <v>1852</v>
      </c>
      <c r="D14" s="645"/>
      <c r="E14" s="645"/>
      <c r="F14" s="645"/>
      <c r="G14" s="645"/>
      <c r="H14" s="645"/>
      <c r="I14" s="645"/>
      <c r="J14" s="645"/>
      <c r="K14" s="646"/>
      <c r="L14" s="645" t="s">
        <v>1812</v>
      </c>
      <c r="M14" s="645"/>
      <c r="N14" s="645"/>
      <c r="O14" s="645"/>
      <c r="P14" s="645"/>
      <c r="Q14" s="645"/>
      <c r="R14" s="645"/>
      <c r="S14" s="645"/>
      <c r="T14" s="645"/>
      <c r="U14" s="794"/>
      <c r="V14" s="795"/>
      <c r="W14" s="800"/>
      <c r="X14" s="801"/>
      <c r="Y14" s="644" t="s">
        <v>1275</v>
      </c>
      <c r="Z14" s="645"/>
      <c r="AA14" s="645"/>
      <c r="AB14" s="645"/>
      <c r="AC14" s="645"/>
      <c r="AD14" s="798">
        <v>1000</v>
      </c>
      <c r="AE14" s="799"/>
      <c r="AF14" s="788"/>
      <c r="AG14" s="789"/>
      <c r="AH14" s="571"/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31"/>
      <c r="AT14" s="331"/>
      <c r="AU14" s="334"/>
      <c r="AV14" s="334"/>
      <c r="AW14" s="334"/>
      <c r="AX14" s="334"/>
      <c r="AY14" s="334"/>
      <c r="AZ14" s="334"/>
      <c r="BA14" s="335"/>
      <c r="BB14" s="334"/>
      <c r="BC14" s="334"/>
      <c r="BD14" s="334"/>
      <c r="BE14" s="334"/>
      <c r="BF14" s="334"/>
      <c r="BG14" s="43"/>
      <c r="BK14" s="120"/>
      <c r="BL14" s="52"/>
      <c r="BM14" s="3"/>
    </row>
    <row r="15" spans="1:65">
      <c r="A15" s="771">
        <v>8</v>
      </c>
      <c r="B15" s="772"/>
      <c r="C15" s="644" t="s">
        <v>1851</v>
      </c>
      <c r="D15" s="645"/>
      <c r="E15" s="645"/>
      <c r="F15" s="645"/>
      <c r="G15" s="645"/>
      <c r="H15" s="645"/>
      <c r="I15" s="645"/>
      <c r="J15" s="645"/>
      <c r="K15" s="646"/>
      <c r="L15" s="645" t="s">
        <v>1850</v>
      </c>
      <c r="M15" s="645"/>
      <c r="N15" s="645"/>
      <c r="O15" s="645"/>
      <c r="P15" s="645"/>
      <c r="Q15" s="645"/>
      <c r="R15" s="645"/>
      <c r="S15" s="645"/>
      <c r="T15" s="645"/>
      <c r="U15" s="794"/>
      <c r="V15" s="795"/>
      <c r="W15" s="800"/>
      <c r="X15" s="801"/>
      <c r="Y15" s="644" t="s">
        <v>1275</v>
      </c>
      <c r="Z15" s="645"/>
      <c r="AA15" s="645"/>
      <c r="AB15" s="645"/>
      <c r="AC15" s="645"/>
      <c r="AD15" s="798">
        <v>1000</v>
      </c>
      <c r="AE15" s="799"/>
      <c r="AF15" s="788"/>
      <c r="AG15" s="789"/>
      <c r="AH15" s="571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4"/>
      <c r="AV15" s="334"/>
      <c r="AW15" s="334"/>
      <c r="AX15" s="334"/>
      <c r="AY15" s="334"/>
      <c r="AZ15" s="334"/>
      <c r="BA15" s="335"/>
      <c r="BB15" s="334"/>
      <c r="BC15" s="334"/>
      <c r="BD15" s="334"/>
      <c r="BE15" s="334"/>
      <c r="BF15" s="334"/>
      <c r="BG15" s="43"/>
      <c r="BK15" s="120"/>
      <c r="BL15" s="52"/>
    </row>
    <row r="16" spans="1:65">
      <c r="A16" s="771">
        <v>9</v>
      </c>
      <c r="B16" s="772"/>
      <c r="C16" s="575" t="s">
        <v>1817</v>
      </c>
      <c r="D16" s="573"/>
      <c r="E16" s="573"/>
      <c r="F16" s="573"/>
      <c r="G16" s="573"/>
      <c r="H16" s="573"/>
      <c r="I16" s="573"/>
      <c r="J16" s="573"/>
      <c r="K16" s="663"/>
      <c r="L16" s="573" t="s">
        <v>1818</v>
      </c>
      <c r="M16" s="573"/>
      <c r="N16" s="573"/>
      <c r="O16" s="573"/>
      <c r="P16" s="573"/>
      <c r="Q16" s="573"/>
      <c r="R16" s="573"/>
      <c r="S16" s="573"/>
      <c r="T16" s="573"/>
      <c r="U16" s="692"/>
      <c r="V16" s="693"/>
      <c r="W16" s="694"/>
      <c r="X16" s="695"/>
      <c r="Y16" s="575" t="s">
        <v>1819</v>
      </c>
      <c r="Z16" s="573"/>
      <c r="AA16" s="573"/>
      <c r="AB16" s="573"/>
      <c r="AC16" s="576"/>
      <c r="AD16" s="788">
        <v>10</v>
      </c>
      <c r="AE16" s="789"/>
      <c r="AF16" s="788"/>
      <c r="AG16" s="789"/>
      <c r="AH16" s="662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4"/>
      <c r="AV16" s="334"/>
      <c r="AW16" s="334"/>
      <c r="AX16" s="334"/>
      <c r="AY16" s="334"/>
      <c r="AZ16" s="334"/>
      <c r="BA16" s="335"/>
      <c r="BB16" s="334"/>
      <c r="BC16" s="334"/>
      <c r="BD16" s="334"/>
      <c r="BE16" s="334"/>
      <c r="BF16" s="334"/>
      <c r="BG16" s="43"/>
      <c r="BK16" s="120"/>
      <c r="BL16" s="52"/>
    </row>
    <row r="17" spans="1:64">
      <c r="A17" s="771">
        <v>10</v>
      </c>
      <c r="B17" s="772"/>
      <c r="C17" s="575" t="s">
        <v>1777</v>
      </c>
      <c r="D17" s="573"/>
      <c r="E17" s="573"/>
      <c r="F17" s="573"/>
      <c r="G17" s="573"/>
      <c r="H17" s="573"/>
      <c r="I17" s="573"/>
      <c r="J17" s="573"/>
      <c r="K17" s="574"/>
      <c r="L17" s="575" t="s">
        <v>1575</v>
      </c>
      <c r="M17" s="573"/>
      <c r="N17" s="573"/>
      <c r="O17" s="573"/>
      <c r="P17" s="573"/>
      <c r="Q17" s="573"/>
      <c r="R17" s="573"/>
      <c r="S17" s="573"/>
      <c r="T17" s="573"/>
      <c r="U17" s="692"/>
      <c r="V17" s="693"/>
      <c r="W17" s="790"/>
      <c r="X17" s="791"/>
      <c r="Y17" s="575" t="s">
        <v>199</v>
      </c>
      <c r="Z17" s="573"/>
      <c r="AA17" s="573"/>
      <c r="AB17" s="573"/>
      <c r="AC17" s="573"/>
      <c r="AD17" s="792">
        <v>2</v>
      </c>
      <c r="AE17" s="793"/>
      <c r="AF17" s="692"/>
      <c r="AG17" s="693"/>
      <c r="AH17" s="571" t="s">
        <v>1576</v>
      </c>
      <c r="AI17" s="331"/>
      <c r="AJ17" s="331"/>
      <c r="AK17" s="331"/>
      <c r="AL17" s="331"/>
      <c r="AM17" s="331"/>
      <c r="AN17" s="331"/>
      <c r="AO17" s="331"/>
      <c r="AP17" s="331"/>
      <c r="AQ17" s="331"/>
      <c r="AR17" s="331"/>
      <c r="AS17" s="331"/>
      <c r="AT17" s="331"/>
      <c r="AU17" s="334"/>
      <c r="AV17" s="334"/>
      <c r="AW17" s="334"/>
      <c r="AX17" s="334"/>
      <c r="AY17" s="334"/>
      <c r="AZ17" s="334"/>
      <c r="BA17" s="335"/>
      <c r="BB17" s="334"/>
      <c r="BC17" s="334"/>
      <c r="BD17" s="334"/>
      <c r="BE17" s="334"/>
      <c r="BF17" s="334"/>
      <c r="BG17" s="43"/>
      <c r="BK17" s="51"/>
      <c r="BL17" s="52"/>
    </row>
    <row r="18" spans="1:64">
      <c r="A18" s="771">
        <v>11</v>
      </c>
      <c r="B18" s="772"/>
      <c r="C18" s="575" t="s">
        <v>1031</v>
      </c>
      <c r="D18" s="573"/>
      <c r="E18" s="573"/>
      <c r="F18" s="573"/>
      <c r="G18" s="573"/>
      <c r="H18" s="573"/>
      <c r="I18" s="573"/>
      <c r="J18" s="573"/>
      <c r="K18" s="574"/>
      <c r="L18" s="575" t="s">
        <v>1577</v>
      </c>
      <c r="M18" s="573"/>
      <c r="N18" s="573"/>
      <c r="O18" s="573"/>
      <c r="P18" s="573"/>
      <c r="Q18" s="573"/>
      <c r="R18" s="573"/>
      <c r="S18" s="573"/>
      <c r="T18" s="573"/>
      <c r="U18" s="692"/>
      <c r="V18" s="693"/>
      <c r="W18" s="790"/>
      <c r="X18" s="791"/>
      <c r="Y18" s="575" t="s">
        <v>17</v>
      </c>
      <c r="Z18" s="573"/>
      <c r="AA18" s="573"/>
      <c r="AB18" s="573"/>
      <c r="AC18" s="573"/>
      <c r="AD18" s="792"/>
      <c r="AE18" s="793"/>
      <c r="AF18" s="692"/>
      <c r="AG18" s="693"/>
      <c r="AH18" s="571" t="s">
        <v>1578</v>
      </c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4"/>
      <c r="AV18" s="334"/>
      <c r="AW18" s="334"/>
      <c r="AX18" s="334"/>
      <c r="AY18" s="334"/>
      <c r="AZ18" s="334"/>
      <c r="BA18" s="335"/>
      <c r="BB18" s="334"/>
      <c r="BC18" s="334"/>
      <c r="BD18" s="334"/>
      <c r="BE18" s="334"/>
      <c r="BF18" s="334"/>
      <c r="BG18" s="43"/>
      <c r="BK18" s="101"/>
      <c r="BL18" s="51"/>
    </row>
    <row r="19" spans="1:64">
      <c r="A19" s="771">
        <v>12</v>
      </c>
      <c r="B19" s="772"/>
      <c r="C19" s="575" t="s">
        <v>1579</v>
      </c>
      <c r="D19" s="573"/>
      <c r="E19" s="573"/>
      <c r="F19" s="573"/>
      <c r="G19" s="573"/>
      <c r="H19" s="573"/>
      <c r="I19" s="573"/>
      <c r="J19" s="573"/>
      <c r="K19" s="574"/>
      <c r="L19" s="575" t="s">
        <v>1580</v>
      </c>
      <c r="M19" s="573"/>
      <c r="N19" s="573"/>
      <c r="O19" s="573"/>
      <c r="P19" s="573"/>
      <c r="Q19" s="573"/>
      <c r="R19" s="573"/>
      <c r="S19" s="573"/>
      <c r="T19" s="573"/>
      <c r="U19" s="692"/>
      <c r="V19" s="693"/>
      <c r="W19" s="790"/>
      <c r="X19" s="791"/>
      <c r="Y19" s="575" t="s">
        <v>199</v>
      </c>
      <c r="Z19" s="573"/>
      <c r="AA19" s="573"/>
      <c r="AB19" s="573"/>
      <c r="AC19" s="573"/>
      <c r="AD19" s="792">
        <v>32</v>
      </c>
      <c r="AE19" s="793"/>
      <c r="AF19" s="692"/>
      <c r="AG19" s="693"/>
      <c r="AH19" s="571"/>
      <c r="AI19" s="331"/>
      <c r="AJ19" s="331"/>
      <c r="AK19" s="331"/>
      <c r="AL19" s="331"/>
      <c r="AM19" s="331"/>
      <c r="AN19" s="331"/>
      <c r="AO19" s="331"/>
      <c r="AP19" s="331"/>
      <c r="AQ19" s="331"/>
      <c r="AR19" s="331"/>
      <c r="AS19" s="331"/>
      <c r="AT19" s="331"/>
      <c r="AU19" s="334"/>
      <c r="AV19" s="334"/>
      <c r="AW19" s="334"/>
      <c r="AX19" s="334"/>
      <c r="AY19" s="334"/>
      <c r="AZ19" s="334"/>
      <c r="BA19" s="335"/>
      <c r="BB19" s="334"/>
      <c r="BC19" s="334"/>
      <c r="BD19" s="334"/>
      <c r="BE19" s="334"/>
      <c r="BF19" s="334"/>
      <c r="BG19" s="43"/>
      <c r="BK19" s="51"/>
      <c r="BL19" s="51"/>
    </row>
    <row r="20" spans="1:64">
      <c r="A20" s="771">
        <v>13</v>
      </c>
      <c r="B20" s="772"/>
      <c r="C20" s="575" t="s">
        <v>1581</v>
      </c>
      <c r="D20" s="573"/>
      <c r="E20" s="573"/>
      <c r="F20" s="573"/>
      <c r="G20" s="573"/>
      <c r="H20" s="573"/>
      <c r="I20" s="573"/>
      <c r="J20" s="573"/>
      <c r="K20" s="574"/>
      <c r="L20" s="575" t="s">
        <v>1582</v>
      </c>
      <c r="M20" s="573"/>
      <c r="N20" s="573"/>
      <c r="O20" s="573"/>
      <c r="P20" s="573"/>
      <c r="Q20" s="573"/>
      <c r="R20" s="573"/>
      <c r="S20" s="573"/>
      <c r="T20" s="573"/>
      <c r="U20" s="692"/>
      <c r="V20" s="693"/>
      <c r="W20" s="790"/>
      <c r="X20" s="791"/>
      <c r="Y20" s="575" t="s">
        <v>16</v>
      </c>
      <c r="Z20" s="573"/>
      <c r="AA20" s="573"/>
      <c r="AB20" s="573"/>
      <c r="AC20" s="574"/>
      <c r="AD20" s="788">
        <v>100</v>
      </c>
      <c r="AE20" s="789"/>
      <c r="AF20" s="692"/>
      <c r="AG20" s="693"/>
      <c r="AH20" s="571"/>
      <c r="AI20" s="331"/>
      <c r="AJ20" s="331"/>
      <c r="AK20" s="331"/>
      <c r="AL20" s="331"/>
      <c r="AM20" s="331"/>
      <c r="AN20" s="331"/>
      <c r="AO20" s="331"/>
      <c r="AP20" s="331"/>
      <c r="AQ20" s="331"/>
      <c r="AR20" s="331"/>
      <c r="AS20" s="331"/>
      <c r="AT20" s="331"/>
      <c r="AU20" s="334"/>
      <c r="AV20" s="334"/>
      <c r="AW20" s="334"/>
      <c r="AX20" s="334"/>
      <c r="AY20" s="334"/>
      <c r="AZ20" s="334"/>
      <c r="BA20" s="335"/>
      <c r="BB20" s="334"/>
      <c r="BC20" s="334"/>
      <c r="BD20" s="334"/>
      <c r="BE20" s="334"/>
      <c r="BF20" s="334"/>
      <c r="BG20" s="43"/>
      <c r="BK20" s="120"/>
      <c r="BL20" s="52"/>
    </row>
    <row r="21" spans="1:64">
      <c r="A21" s="771">
        <v>14</v>
      </c>
      <c r="B21" s="772"/>
      <c r="C21" s="575" t="s">
        <v>1583</v>
      </c>
      <c r="D21" s="573"/>
      <c r="E21" s="573"/>
      <c r="F21" s="573"/>
      <c r="G21" s="573"/>
      <c r="H21" s="573"/>
      <c r="I21" s="573"/>
      <c r="J21" s="573"/>
      <c r="K21" s="574"/>
      <c r="L21" s="575" t="s">
        <v>1584</v>
      </c>
      <c r="M21" s="573"/>
      <c r="N21" s="573"/>
      <c r="O21" s="573"/>
      <c r="P21" s="573"/>
      <c r="Q21" s="573"/>
      <c r="R21" s="573"/>
      <c r="S21" s="573"/>
      <c r="T21" s="573"/>
      <c r="U21" s="692"/>
      <c r="V21" s="693"/>
      <c r="W21" s="790"/>
      <c r="X21" s="791"/>
      <c r="Y21" s="575" t="s">
        <v>17</v>
      </c>
      <c r="Z21" s="573"/>
      <c r="AA21" s="573"/>
      <c r="AB21" s="573"/>
      <c r="AC21" s="573"/>
      <c r="AD21" s="792"/>
      <c r="AE21" s="793"/>
      <c r="AF21" s="692"/>
      <c r="AG21" s="693"/>
      <c r="AH21" s="571" t="s">
        <v>1578</v>
      </c>
      <c r="AI21" s="331"/>
      <c r="AJ21" s="331"/>
      <c r="AK21" s="331"/>
      <c r="AL21" s="331"/>
      <c r="AM21" s="331"/>
      <c r="AN21" s="331"/>
      <c r="AO21" s="331"/>
      <c r="AP21" s="331"/>
      <c r="AQ21" s="331"/>
      <c r="AR21" s="331"/>
      <c r="AS21" s="331"/>
      <c r="AT21" s="331"/>
      <c r="AU21" s="334"/>
      <c r="AV21" s="334"/>
      <c r="AW21" s="334"/>
      <c r="AX21" s="334"/>
      <c r="AY21" s="334"/>
      <c r="AZ21" s="334"/>
      <c r="BA21" s="335"/>
      <c r="BB21" s="334"/>
      <c r="BC21" s="334"/>
      <c r="BD21" s="334"/>
      <c r="BE21" s="334"/>
      <c r="BF21" s="334"/>
      <c r="BG21" s="43"/>
      <c r="BK21" s="120"/>
      <c r="BL21" s="52"/>
    </row>
    <row r="22" spans="1:64">
      <c r="A22" s="771">
        <v>15</v>
      </c>
      <c r="B22" s="772"/>
      <c r="C22" s="575" t="s">
        <v>1585</v>
      </c>
      <c r="D22" s="573"/>
      <c r="E22" s="573"/>
      <c r="F22" s="573"/>
      <c r="G22" s="573"/>
      <c r="H22" s="573"/>
      <c r="I22" s="573"/>
      <c r="J22" s="573"/>
      <c r="K22" s="574"/>
      <c r="L22" s="575" t="s">
        <v>1586</v>
      </c>
      <c r="M22" s="573"/>
      <c r="N22" s="573"/>
      <c r="O22" s="573"/>
      <c r="P22" s="573"/>
      <c r="Q22" s="573"/>
      <c r="R22" s="573"/>
      <c r="S22" s="573"/>
      <c r="T22" s="573"/>
      <c r="U22" s="692"/>
      <c r="V22" s="693"/>
      <c r="W22" s="790"/>
      <c r="X22" s="791"/>
      <c r="Y22" s="575" t="s">
        <v>199</v>
      </c>
      <c r="Z22" s="573"/>
      <c r="AA22" s="573"/>
      <c r="AB22" s="573"/>
      <c r="AC22" s="573"/>
      <c r="AD22" s="792">
        <v>32</v>
      </c>
      <c r="AE22" s="793"/>
      <c r="AF22" s="692"/>
      <c r="AG22" s="693"/>
      <c r="AH22" s="571"/>
      <c r="AI22" s="331"/>
      <c r="AJ22" s="331"/>
      <c r="AK22" s="331"/>
      <c r="AL22" s="331"/>
      <c r="AM22" s="331"/>
      <c r="AN22" s="331"/>
      <c r="AO22" s="331"/>
      <c r="AP22" s="331"/>
      <c r="AQ22" s="331"/>
      <c r="AR22" s="331"/>
      <c r="AS22" s="331"/>
      <c r="AT22" s="331"/>
      <c r="AU22" s="334"/>
      <c r="AV22" s="334"/>
      <c r="AW22" s="334"/>
      <c r="AX22" s="334"/>
      <c r="AY22" s="334"/>
      <c r="AZ22" s="334"/>
      <c r="BA22" s="335"/>
      <c r="BB22" s="334"/>
      <c r="BC22" s="334"/>
      <c r="BD22" s="334"/>
      <c r="BE22" s="334"/>
      <c r="BF22" s="334"/>
      <c r="BG22" s="43"/>
      <c r="BK22" s="51"/>
      <c r="BL22" s="52"/>
    </row>
    <row r="23" spans="1:64">
      <c r="A23" s="771">
        <v>16</v>
      </c>
      <c r="B23" s="772"/>
      <c r="C23" s="575" t="s">
        <v>1587</v>
      </c>
      <c r="D23" s="573"/>
      <c r="E23" s="573"/>
      <c r="F23" s="573"/>
      <c r="G23" s="573"/>
      <c r="H23" s="573"/>
      <c r="I23" s="573"/>
      <c r="J23" s="573"/>
      <c r="K23" s="574"/>
      <c r="L23" s="575" t="s">
        <v>1588</v>
      </c>
      <c r="M23" s="573"/>
      <c r="N23" s="573"/>
      <c r="O23" s="573"/>
      <c r="P23" s="573"/>
      <c r="Q23" s="573"/>
      <c r="R23" s="573"/>
      <c r="S23" s="573"/>
      <c r="T23" s="573"/>
      <c r="U23" s="692"/>
      <c r="V23" s="693"/>
      <c r="W23" s="790"/>
      <c r="X23" s="791"/>
      <c r="Y23" s="575" t="s">
        <v>16</v>
      </c>
      <c r="Z23" s="573"/>
      <c r="AA23" s="573"/>
      <c r="AB23" s="573"/>
      <c r="AC23" s="574"/>
      <c r="AD23" s="788">
        <v>100</v>
      </c>
      <c r="AE23" s="789"/>
      <c r="AF23" s="692"/>
      <c r="AG23" s="693"/>
      <c r="AH23" s="571"/>
      <c r="AI23" s="331"/>
      <c r="AJ23" s="331"/>
      <c r="AK23" s="331"/>
      <c r="AL23" s="331"/>
      <c r="AM23" s="331"/>
      <c r="AN23" s="331"/>
      <c r="AO23" s="331"/>
      <c r="AP23" s="331"/>
      <c r="AQ23" s="331"/>
      <c r="AR23" s="331"/>
      <c r="AS23" s="331"/>
      <c r="AT23" s="331"/>
      <c r="AU23" s="334"/>
      <c r="AV23" s="334"/>
      <c r="AW23" s="334"/>
      <c r="AX23" s="334"/>
      <c r="AY23" s="334"/>
      <c r="AZ23" s="334"/>
      <c r="BA23" s="335"/>
      <c r="BB23" s="334"/>
      <c r="BC23" s="334"/>
      <c r="BD23" s="334"/>
      <c r="BE23" s="334"/>
      <c r="BF23" s="334"/>
      <c r="BG23" s="43"/>
      <c r="BK23" s="101"/>
      <c r="BL23" s="51"/>
    </row>
    <row r="24" spans="1:64">
      <c r="A24" s="771"/>
      <c r="B24" s="772"/>
      <c r="C24" s="3"/>
      <c r="D24" s="450"/>
      <c r="E24" s="450"/>
      <c r="F24" s="450"/>
      <c r="G24" s="450"/>
      <c r="H24" s="450"/>
      <c r="I24" s="450"/>
      <c r="J24" s="450"/>
      <c r="K24" s="568"/>
      <c r="L24" s="3"/>
      <c r="M24" s="450"/>
      <c r="N24" s="450"/>
      <c r="O24" s="450"/>
      <c r="P24" s="450"/>
      <c r="Q24" s="450"/>
      <c r="R24" s="450"/>
      <c r="S24" s="450"/>
      <c r="T24" s="450"/>
      <c r="U24" s="780"/>
      <c r="V24" s="772"/>
      <c r="W24" s="773"/>
      <c r="X24" s="774"/>
      <c r="Y24" s="3"/>
      <c r="Z24" s="450"/>
      <c r="AA24" s="450"/>
      <c r="AB24" s="450"/>
      <c r="AC24" s="450"/>
      <c r="AD24" s="783"/>
      <c r="AE24" s="784"/>
      <c r="AF24" s="780"/>
      <c r="AG24" s="772"/>
      <c r="AH24" s="567"/>
      <c r="AI24" s="450"/>
      <c r="AJ24" s="450"/>
      <c r="AK24" s="450"/>
      <c r="AL24" s="450"/>
      <c r="AM24" s="450"/>
      <c r="AN24" s="450"/>
      <c r="AO24" s="450"/>
      <c r="AP24" s="450"/>
      <c r="AQ24" s="450"/>
      <c r="AR24" s="450"/>
      <c r="AS24" s="450"/>
      <c r="AT24" s="450"/>
      <c r="AU24" s="334"/>
      <c r="AV24" s="334"/>
      <c r="AW24" s="334"/>
      <c r="AX24" s="334"/>
      <c r="AY24" s="334"/>
      <c r="AZ24" s="334"/>
      <c r="BA24" s="335"/>
      <c r="BB24" s="334"/>
      <c r="BC24" s="334"/>
      <c r="BD24" s="334"/>
      <c r="BE24" s="334"/>
      <c r="BF24" s="334"/>
      <c r="BG24" s="43"/>
      <c r="BK24" s="51"/>
      <c r="BL24" s="51"/>
    </row>
    <row r="25" spans="1:64">
      <c r="A25" s="771"/>
      <c r="B25" s="772"/>
      <c r="C25" s="3"/>
      <c r="D25" s="450"/>
      <c r="E25" s="450"/>
      <c r="F25" s="450"/>
      <c r="G25" s="450"/>
      <c r="H25" s="450"/>
      <c r="I25" s="450"/>
      <c r="J25" s="450"/>
      <c r="K25" s="568"/>
      <c r="L25" s="3"/>
      <c r="M25" s="450"/>
      <c r="N25" s="450"/>
      <c r="O25" s="450"/>
      <c r="P25" s="450"/>
      <c r="Q25" s="450"/>
      <c r="R25" s="450"/>
      <c r="S25" s="450"/>
      <c r="T25" s="450"/>
      <c r="U25" s="780"/>
      <c r="V25" s="772"/>
      <c r="W25" s="773"/>
      <c r="X25" s="774"/>
      <c r="Y25" s="3"/>
      <c r="Z25" s="450"/>
      <c r="AA25" s="450"/>
      <c r="AB25" s="450"/>
      <c r="AC25" s="450"/>
      <c r="AD25" s="783"/>
      <c r="AE25" s="784"/>
      <c r="AF25" s="780"/>
      <c r="AG25" s="772"/>
      <c r="AH25" s="567"/>
      <c r="AI25" s="450"/>
      <c r="AJ25" s="450"/>
      <c r="AK25" s="450"/>
      <c r="AL25" s="450"/>
      <c r="AM25" s="450"/>
      <c r="AN25" s="450"/>
      <c r="AO25" s="450"/>
      <c r="AP25" s="450"/>
      <c r="AQ25" s="450"/>
      <c r="AR25" s="450"/>
      <c r="AS25" s="450"/>
      <c r="AT25" s="450"/>
      <c r="AU25" s="334"/>
      <c r="AV25" s="334"/>
      <c r="AW25" s="334"/>
      <c r="AX25" s="334"/>
      <c r="AY25" s="334"/>
      <c r="AZ25" s="334"/>
      <c r="BA25" s="335"/>
      <c r="BB25" s="334"/>
      <c r="BC25" s="334"/>
      <c r="BD25" s="334"/>
      <c r="BE25" s="334"/>
      <c r="BF25" s="334"/>
      <c r="BG25" s="43"/>
      <c r="BK25" s="120"/>
      <c r="BL25" s="52"/>
    </row>
    <row r="26" spans="1:64">
      <c r="A26" s="771"/>
      <c r="B26" s="772"/>
      <c r="C26" s="3"/>
      <c r="D26" s="450"/>
      <c r="E26" s="450"/>
      <c r="F26" s="450"/>
      <c r="G26" s="450"/>
      <c r="H26" s="450"/>
      <c r="I26" s="450"/>
      <c r="J26" s="450"/>
      <c r="K26" s="568"/>
      <c r="L26" s="3"/>
      <c r="M26" s="450"/>
      <c r="N26" s="450"/>
      <c r="O26" s="450"/>
      <c r="P26" s="450"/>
      <c r="Q26" s="450"/>
      <c r="R26" s="450"/>
      <c r="S26" s="450"/>
      <c r="T26" s="450"/>
      <c r="U26" s="780"/>
      <c r="V26" s="772"/>
      <c r="W26" s="773"/>
      <c r="X26" s="774"/>
      <c r="Y26" s="3"/>
      <c r="Z26" s="450"/>
      <c r="AA26" s="450"/>
      <c r="AB26" s="450"/>
      <c r="AC26" s="450"/>
      <c r="AD26" s="783"/>
      <c r="AE26" s="784"/>
      <c r="AF26" s="780"/>
      <c r="AG26" s="772"/>
      <c r="AH26" s="567"/>
      <c r="AI26" s="450"/>
      <c r="AJ26" s="450"/>
      <c r="AK26" s="450"/>
      <c r="AL26" s="450"/>
      <c r="AM26" s="450"/>
      <c r="AN26" s="450"/>
      <c r="AO26" s="450"/>
      <c r="AP26" s="450"/>
      <c r="AQ26" s="450"/>
      <c r="AR26" s="450"/>
      <c r="AS26" s="450"/>
      <c r="AT26" s="450"/>
      <c r="AU26" s="334"/>
      <c r="AV26" s="334"/>
      <c r="AW26" s="334"/>
      <c r="AX26" s="334"/>
      <c r="AY26" s="334"/>
      <c r="AZ26" s="334"/>
      <c r="BA26" s="335"/>
      <c r="BB26" s="334"/>
      <c r="BC26" s="334"/>
      <c r="BD26" s="334"/>
      <c r="BE26" s="334"/>
      <c r="BF26" s="334"/>
      <c r="BG26" s="43"/>
      <c r="BK26" s="120"/>
      <c r="BL26" s="52"/>
    </row>
    <row r="27" spans="1:64" ht="16.2" thickBot="1">
      <c r="A27" s="771"/>
      <c r="B27" s="772"/>
      <c r="C27" s="3"/>
      <c r="D27" s="450"/>
      <c r="E27" s="450"/>
      <c r="F27" s="450"/>
      <c r="G27" s="450"/>
      <c r="H27" s="450"/>
      <c r="I27" s="450"/>
      <c r="J27" s="450"/>
      <c r="K27" s="568"/>
      <c r="L27" s="3"/>
      <c r="M27" s="450"/>
      <c r="N27" s="450"/>
      <c r="O27" s="450"/>
      <c r="P27" s="450"/>
      <c r="Q27" s="450"/>
      <c r="R27" s="450"/>
      <c r="S27" s="450"/>
      <c r="T27" s="450"/>
      <c r="U27" s="780"/>
      <c r="V27" s="772"/>
      <c r="W27" s="773"/>
      <c r="X27" s="774"/>
      <c r="Y27" s="3"/>
      <c r="Z27" s="450"/>
      <c r="AA27" s="450"/>
      <c r="AB27" s="450"/>
      <c r="AC27" s="450"/>
      <c r="AD27" s="783"/>
      <c r="AE27" s="784"/>
      <c r="AF27" s="780"/>
      <c r="AG27" s="772"/>
      <c r="AH27" s="567"/>
      <c r="AI27" s="450"/>
      <c r="AJ27" s="450"/>
      <c r="AK27" s="450"/>
      <c r="AL27" s="450"/>
      <c r="AM27" s="450"/>
      <c r="AN27" s="450"/>
      <c r="AO27" s="450"/>
      <c r="AP27" s="450"/>
      <c r="AQ27" s="450"/>
      <c r="AR27" s="450"/>
      <c r="AS27" s="450"/>
      <c r="AT27" s="450"/>
      <c r="AU27" s="565"/>
      <c r="AV27" s="565"/>
      <c r="AW27" s="565"/>
      <c r="AX27" s="565"/>
      <c r="AY27" s="565"/>
      <c r="AZ27" s="565"/>
      <c r="BA27" s="566"/>
      <c r="BK27" s="120"/>
      <c r="BL27" s="52"/>
    </row>
    <row r="28" spans="1:64">
      <c r="BK28" s="120"/>
      <c r="BL28" s="52"/>
    </row>
    <row r="29" spans="1:64">
      <c r="BK29" s="101"/>
      <c r="BL29" s="51"/>
    </row>
    <row r="30" spans="1:64">
      <c r="BK30" s="51"/>
      <c r="BL30" s="51"/>
    </row>
    <row r="31" spans="1:64">
      <c r="BK31" s="51"/>
      <c r="BL31" s="51"/>
    </row>
    <row r="32" spans="1:64">
      <c r="BK32" s="51"/>
      <c r="BL32" s="51"/>
    </row>
    <row r="33" spans="63:64">
      <c r="BK33" s="51"/>
      <c r="BL33" s="51"/>
    </row>
    <row r="34" spans="63:64">
      <c r="BK34" s="51"/>
      <c r="BL34" s="51"/>
    </row>
    <row r="35" spans="63:64">
      <c r="BK35" s="51"/>
      <c r="BL35" s="51"/>
    </row>
    <row r="36" spans="63:64">
      <c r="BK36" s="51"/>
      <c r="BL36" s="51"/>
    </row>
    <row r="37" spans="63:64">
      <c r="BK37" s="51"/>
      <c r="BL37" s="51"/>
    </row>
    <row r="38" spans="63:64">
      <c r="BK38" s="51"/>
      <c r="BL38" s="51"/>
    </row>
    <row r="39" spans="63:64">
      <c r="BK39" s="51"/>
      <c r="BL39" s="51"/>
    </row>
  </sheetData>
  <mergeCells count="109">
    <mergeCell ref="A16:B16"/>
    <mergeCell ref="U16:V16"/>
    <mergeCell ref="W16:X16"/>
    <mergeCell ref="AD16:AE16"/>
    <mergeCell ref="AF16:AG16"/>
    <mergeCell ref="A27:B27"/>
    <mergeCell ref="U27:V27"/>
    <mergeCell ref="W27:X27"/>
    <mergeCell ref="AD27:AE27"/>
    <mergeCell ref="AF27:AG27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0:B10"/>
    <mergeCell ref="U10:V10"/>
    <mergeCell ref="W10:X10"/>
    <mergeCell ref="AD10:AE10"/>
    <mergeCell ref="AF10:AG10"/>
    <mergeCell ref="A13:B13"/>
    <mergeCell ref="U13:V13"/>
    <mergeCell ref="W13:X13"/>
    <mergeCell ref="AD13:AE13"/>
    <mergeCell ref="AF13:AG13"/>
    <mergeCell ref="A12:B12"/>
    <mergeCell ref="U12:V12"/>
    <mergeCell ref="W12:X12"/>
    <mergeCell ref="AD12:AE12"/>
    <mergeCell ref="AF12:AG12"/>
    <mergeCell ref="A11:B11"/>
    <mergeCell ref="U11:V11"/>
    <mergeCell ref="W11:X11"/>
    <mergeCell ref="AD11:AE11"/>
    <mergeCell ref="AF11:AG11"/>
    <mergeCell ref="A8:B8"/>
    <mergeCell ref="U8:V8"/>
    <mergeCell ref="W8:X8"/>
    <mergeCell ref="AD8:AE8"/>
    <mergeCell ref="AF8:AG8"/>
    <mergeCell ref="A9:B9"/>
    <mergeCell ref="U9:V9"/>
    <mergeCell ref="W9:X9"/>
    <mergeCell ref="AD9:AE9"/>
    <mergeCell ref="AF9:AG9"/>
    <mergeCell ref="G1:T1"/>
    <mergeCell ref="U1:AO2"/>
    <mergeCell ref="BB1:BG1"/>
    <mergeCell ref="G2:T2"/>
    <mergeCell ref="BB2:BG2"/>
    <mergeCell ref="A6:B7"/>
    <mergeCell ref="C6:K7"/>
    <mergeCell ref="L6:T7"/>
    <mergeCell ref="BB6:BG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BM46"/>
  <sheetViews>
    <sheetView zoomScale="85" zoomScaleNormal="85" workbookViewId="0">
      <selection activeCell="A9" sqref="A9:B30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33203125" style="295" customWidth="1"/>
    <col min="31" max="33" width="2.6640625" style="295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5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601"/>
      <c r="AT1" s="602"/>
      <c r="AU1" s="602"/>
      <c r="AV1" s="602"/>
      <c r="AW1" s="602"/>
      <c r="AX1" s="603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5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604"/>
      <c r="AT2" s="605"/>
      <c r="AU2" s="605"/>
      <c r="AV2" s="605"/>
      <c r="AW2" s="605"/>
      <c r="AX2" s="606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5" ht="16.2" thickBot="1">
      <c r="A3" s="334"/>
      <c r="B3" s="334"/>
      <c r="C3" s="55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582"/>
      <c r="AE3" s="582"/>
      <c r="AF3" s="582"/>
      <c r="AG3" s="582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</row>
    <row r="4" spans="1:65" ht="16.2" thickBot="1">
      <c r="A4" s="24" t="s">
        <v>5</v>
      </c>
      <c r="B4" s="25"/>
      <c r="C4" s="56"/>
      <c r="D4" s="25"/>
      <c r="E4" s="25"/>
      <c r="F4" s="25"/>
      <c r="G4" s="26"/>
      <c r="H4" s="5" t="s">
        <v>1792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1780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</row>
    <row r="5" spans="1:65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1277</v>
      </c>
      <c r="BL5" s="353" t="s">
        <v>812</v>
      </c>
    </row>
    <row r="6" spans="1:65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585" t="s">
        <v>19</v>
      </c>
      <c r="V6" s="583"/>
      <c r="W6" s="589" t="s">
        <v>22</v>
      </c>
      <c r="X6" s="590"/>
      <c r="Y6" s="585" t="s">
        <v>11</v>
      </c>
      <c r="Z6" s="586"/>
      <c r="AA6" s="586"/>
      <c r="AB6" s="586"/>
      <c r="AC6" s="583"/>
      <c r="AD6" s="593" t="s">
        <v>12</v>
      </c>
      <c r="AE6" s="594"/>
      <c r="AF6" s="597" t="s">
        <v>13</v>
      </c>
      <c r="AG6" s="598"/>
      <c r="AH6" s="585" t="s">
        <v>14</v>
      </c>
      <c r="AI6" s="586"/>
      <c r="AJ6" s="586"/>
      <c r="AK6" s="586"/>
      <c r="AL6" s="586"/>
      <c r="AM6" s="586"/>
      <c r="AN6" s="586"/>
      <c r="AO6" s="586"/>
      <c r="AP6" s="586"/>
      <c r="AQ6" s="586"/>
      <c r="AR6" s="586"/>
      <c r="AS6" s="586"/>
      <c r="AT6" s="586"/>
      <c r="AU6" s="586"/>
      <c r="AV6" s="586"/>
      <c r="AW6" s="586"/>
      <c r="AX6" s="586"/>
      <c r="AY6" s="586"/>
      <c r="AZ6" s="586"/>
      <c r="BA6" s="583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5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587"/>
      <c r="V7" s="584"/>
      <c r="W7" s="591"/>
      <c r="X7" s="592"/>
      <c r="Y7" s="587"/>
      <c r="Z7" s="588"/>
      <c r="AA7" s="588"/>
      <c r="AB7" s="588"/>
      <c r="AC7" s="584"/>
      <c r="AD7" s="595"/>
      <c r="AE7" s="596"/>
      <c r="AF7" s="599"/>
      <c r="AG7" s="600"/>
      <c r="AH7" s="587"/>
      <c r="AI7" s="588"/>
      <c r="AJ7" s="588"/>
      <c r="AK7" s="588"/>
      <c r="AL7" s="588"/>
      <c r="AM7" s="588"/>
      <c r="AN7" s="588"/>
      <c r="AO7" s="588"/>
      <c r="AP7" s="588"/>
      <c r="AQ7" s="588"/>
      <c r="AR7" s="588"/>
      <c r="AS7" s="588"/>
      <c r="AT7" s="588"/>
      <c r="AU7" s="588"/>
      <c r="AV7" s="588"/>
      <c r="AW7" s="588"/>
      <c r="AX7" s="588"/>
      <c r="AY7" s="588"/>
      <c r="AZ7" s="588"/>
      <c r="BA7" s="584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5" ht="16.2" thickTop="1">
      <c r="A8" s="771">
        <v>1</v>
      </c>
      <c r="B8" s="772"/>
      <c r="C8" s="58" t="s">
        <v>24</v>
      </c>
      <c r="D8" s="612"/>
      <c r="E8" s="450"/>
      <c r="F8" s="450"/>
      <c r="G8" s="450"/>
      <c r="H8" s="450"/>
      <c r="I8" s="450"/>
      <c r="J8" s="450"/>
      <c r="K8" s="611"/>
      <c r="L8" s="538" t="s">
        <v>1787</v>
      </c>
      <c r="M8" s="539"/>
      <c r="N8" s="539"/>
      <c r="O8" s="539"/>
      <c r="P8" s="539"/>
      <c r="Q8" s="539"/>
      <c r="R8" s="539"/>
      <c r="S8" s="539"/>
      <c r="T8" s="539"/>
      <c r="U8" s="773" t="s">
        <v>1556</v>
      </c>
      <c r="V8" s="774"/>
      <c r="W8" s="773" t="s">
        <v>1556</v>
      </c>
      <c r="X8" s="774"/>
      <c r="Y8" s="3" t="s">
        <v>199</v>
      </c>
      <c r="Z8" s="450"/>
      <c r="AA8" s="450"/>
      <c r="AB8" s="3"/>
      <c r="AC8" s="3"/>
      <c r="AD8" s="777">
        <v>32</v>
      </c>
      <c r="AE8" s="777"/>
      <c r="AF8" s="777"/>
      <c r="AG8" s="777"/>
      <c r="AH8" s="612"/>
      <c r="AI8" s="3"/>
      <c r="AJ8" s="3"/>
      <c r="AK8" s="3"/>
      <c r="AL8" s="3"/>
      <c r="AM8" s="3"/>
      <c r="AN8" s="450"/>
      <c r="AO8" s="3"/>
      <c r="AP8" s="3"/>
      <c r="AQ8" s="3"/>
      <c r="AR8" s="3"/>
      <c r="AS8" s="3"/>
      <c r="AT8" s="3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/>
      <c r="BL8" s="52"/>
    </row>
    <row r="9" spans="1:65">
      <c r="A9" s="771">
        <v>2</v>
      </c>
      <c r="B9" s="772"/>
      <c r="C9" s="3" t="s">
        <v>1557</v>
      </c>
      <c r="D9" s="450"/>
      <c r="E9" s="450"/>
      <c r="F9" s="450"/>
      <c r="G9" s="450"/>
      <c r="H9" s="450"/>
      <c r="I9" s="450"/>
      <c r="J9" s="450"/>
      <c r="K9" s="611"/>
      <c r="L9" s="3" t="s">
        <v>1781</v>
      </c>
      <c r="M9" s="3"/>
      <c r="N9" s="3"/>
      <c r="O9" s="3"/>
      <c r="P9" s="3"/>
      <c r="Q9" s="3"/>
      <c r="R9" s="3"/>
      <c r="S9" s="3"/>
      <c r="T9" s="3"/>
      <c r="U9" s="775"/>
      <c r="V9" s="776"/>
      <c r="W9" s="775"/>
      <c r="X9" s="776"/>
      <c r="Y9" s="3" t="s">
        <v>1558</v>
      </c>
      <c r="Z9" s="450"/>
      <c r="AA9" s="450"/>
      <c r="AB9" s="3"/>
      <c r="AC9" s="3"/>
      <c r="AD9" s="778">
        <v>32</v>
      </c>
      <c r="AE9" s="779"/>
      <c r="AF9" s="775"/>
      <c r="AG9" s="776"/>
      <c r="AH9" s="612" t="s">
        <v>1559</v>
      </c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34"/>
      <c r="AV9" s="334"/>
      <c r="AW9" s="334"/>
      <c r="AX9" s="334"/>
      <c r="AY9" s="334"/>
      <c r="AZ9" s="334"/>
      <c r="BA9" s="335"/>
      <c r="BB9" s="334"/>
      <c r="BC9" s="334"/>
      <c r="BD9" s="334"/>
      <c r="BE9" s="334"/>
      <c r="BF9" s="334"/>
      <c r="BG9" s="43"/>
      <c r="BH9" s="36"/>
      <c r="BK9" s="120"/>
      <c r="BL9" s="52"/>
    </row>
    <row r="10" spans="1:65">
      <c r="A10" s="771">
        <v>3</v>
      </c>
      <c r="B10" s="772"/>
      <c r="C10" s="1" t="s">
        <v>1560</v>
      </c>
      <c r="D10" s="452"/>
      <c r="E10" s="452"/>
      <c r="F10" s="452"/>
      <c r="G10" s="452"/>
      <c r="H10" s="452"/>
      <c r="I10" s="452"/>
      <c r="J10" s="452"/>
      <c r="K10" s="332"/>
      <c r="L10" s="452" t="s">
        <v>1590</v>
      </c>
      <c r="M10" s="452"/>
      <c r="N10" s="452"/>
      <c r="O10" s="452"/>
      <c r="P10" s="452"/>
      <c r="Q10" s="452"/>
      <c r="R10" s="452"/>
      <c r="S10" s="452"/>
      <c r="T10" s="452"/>
      <c r="U10" s="780"/>
      <c r="V10" s="772"/>
      <c r="W10" s="775"/>
      <c r="X10" s="776"/>
      <c r="Y10" s="3" t="s">
        <v>199</v>
      </c>
      <c r="Z10" s="450"/>
      <c r="AA10" s="450"/>
      <c r="AB10" s="450"/>
      <c r="AC10" s="453"/>
      <c r="AD10" s="781">
        <v>1</v>
      </c>
      <c r="AE10" s="782"/>
      <c r="AF10" s="781"/>
      <c r="AG10" s="782"/>
      <c r="AH10" s="610"/>
      <c r="AI10" s="450"/>
      <c r="AJ10" s="450"/>
      <c r="AK10" s="450"/>
      <c r="AL10" s="450"/>
      <c r="AM10" s="450"/>
      <c r="AN10" s="450"/>
      <c r="AO10" s="450"/>
      <c r="AP10" s="450"/>
      <c r="AQ10" s="450"/>
      <c r="AR10" s="450"/>
      <c r="AS10" s="450"/>
      <c r="AT10" s="450"/>
      <c r="AU10" s="331"/>
      <c r="AV10" s="331"/>
      <c r="AW10" s="331"/>
      <c r="AX10" s="331"/>
      <c r="AY10" s="331"/>
      <c r="AZ10" s="331"/>
      <c r="BA10" s="332"/>
      <c r="BB10" s="334"/>
      <c r="BC10" s="334"/>
      <c r="BD10" s="334"/>
      <c r="BE10" s="334"/>
      <c r="BF10" s="334"/>
      <c r="BG10" s="43"/>
      <c r="BH10" s="36"/>
      <c r="BK10" s="120"/>
      <c r="BL10" s="52"/>
    </row>
    <row r="11" spans="1:65">
      <c r="A11" s="771">
        <v>4</v>
      </c>
      <c r="B11" s="772"/>
      <c r="C11" s="612" t="s">
        <v>1561</v>
      </c>
      <c r="D11" s="450"/>
      <c r="E11" s="450"/>
      <c r="F11" s="450"/>
      <c r="G11" s="450"/>
      <c r="H11" s="450"/>
      <c r="I11" s="450"/>
      <c r="J11" s="450"/>
      <c r="K11" s="611"/>
      <c r="L11" s="3" t="s">
        <v>1783</v>
      </c>
      <c r="M11" s="450"/>
      <c r="N11" s="450"/>
      <c r="O11" s="450"/>
      <c r="P11" s="450"/>
      <c r="Q11" s="450"/>
      <c r="R11" s="450"/>
      <c r="S11" s="450"/>
      <c r="T11" s="450"/>
      <c r="U11" s="780"/>
      <c r="V11" s="772"/>
      <c r="W11" s="773"/>
      <c r="X11" s="774"/>
      <c r="Y11" s="3" t="s">
        <v>16</v>
      </c>
      <c r="Z11" s="450"/>
      <c r="AA11" s="450"/>
      <c r="AB11" s="450"/>
      <c r="AC11" s="611"/>
      <c r="AD11" s="781">
        <v>300</v>
      </c>
      <c r="AE11" s="782"/>
      <c r="AF11" s="781"/>
      <c r="AG11" s="782"/>
      <c r="AH11" s="610"/>
      <c r="AI11" s="450"/>
      <c r="AJ11" s="450"/>
      <c r="AK11" s="450"/>
      <c r="AL11" s="450"/>
      <c r="AM11" s="450"/>
      <c r="AN11" s="3"/>
      <c r="AO11" s="450"/>
      <c r="AP11" s="450"/>
      <c r="AQ11" s="450"/>
      <c r="AR11" s="450"/>
      <c r="AS11" s="450"/>
      <c r="AT11" s="450"/>
      <c r="AU11" s="334"/>
      <c r="AV11" s="334"/>
      <c r="AW11" s="334"/>
      <c r="AX11" s="334"/>
      <c r="AY11" s="334"/>
      <c r="AZ11" s="334"/>
      <c r="BA11" s="335"/>
      <c r="BB11" s="48"/>
      <c r="BC11" s="48"/>
      <c r="BD11" s="48"/>
      <c r="BE11" s="48"/>
      <c r="BF11" s="48"/>
      <c r="BG11" s="49"/>
      <c r="BK11" s="120"/>
      <c r="BL11" s="52"/>
    </row>
    <row r="12" spans="1:65">
      <c r="A12" s="771">
        <v>5</v>
      </c>
      <c r="B12" s="772"/>
      <c r="C12" s="612" t="s">
        <v>1562</v>
      </c>
      <c r="D12" s="450"/>
      <c r="E12" s="450"/>
      <c r="F12" s="450"/>
      <c r="G12" s="450"/>
      <c r="H12" s="450"/>
      <c r="I12" s="450"/>
      <c r="J12" s="450"/>
      <c r="K12" s="611"/>
      <c r="L12" s="539" t="s">
        <v>1788</v>
      </c>
      <c r="M12" s="539"/>
      <c r="N12" s="539"/>
      <c r="O12" s="539"/>
      <c r="P12" s="538"/>
      <c r="Q12" s="538"/>
      <c r="R12" s="538"/>
      <c r="S12" s="538"/>
      <c r="T12" s="538"/>
      <c r="U12" s="780"/>
      <c r="V12" s="772"/>
      <c r="W12" s="775"/>
      <c r="X12" s="776"/>
      <c r="Y12" s="3" t="s">
        <v>16</v>
      </c>
      <c r="Z12" s="450"/>
      <c r="AA12" s="450"/>
      <c r="AB12" s="450"/>
      <c r="AC12" s="611"/>
      <c r="AD12" s="781">
        <v>100</v>
      </c>
      <c r="AE12" s="782"/>
      <c r="AF12" s="781"/>
      <c r="AG12" s="782"/>
      <c r="AH12" s="610"/>
      <c r="AI12" s="3"/>
      <c r="AJ12" s="3"/>
      <c r="AK12" s="3"/>
      <c r="AL12" s="3"/>
      <c r="AM12" s="3"/>
      <c r="AN12" s="3"/>
      <c r="AO12" s="450"/>
      <c r="AP12" s="450"/>
      <c r="AQ12" s="450"/>
      <c r="AR12" s="450"/>
      <c r="AS12" s="450"/>
      <c r="AT12" s="450"/>
      <c r="AU12" s="334"/>
      <c r="AV12" s="334"/>
      <c r="AW12" s="334"/>
      <c r="AX12" s="334"/>
      <c r="AY12" s="334"/>
      <c r="AZ12" s="334"/>
      <c r="BA12" s="335"/>
      <c r="BB12" s="334"/>
      <c r="BC12" s="334"/>
      <c r="BD12" s="334"/>
      <c r="BE12" s="334"/>
      <c r="BF12" s="334"/>
      <c r="BG12" s="43"/>
      <c r="BK12" s="120"/>
      <c r="BL12" s="52"/>
    </row>
    <row r="13" spans="1:65">
      <c r="A13" s="771">
        <v>6</v>
      </c>
      <c r="B13" s="772"/>
      <c r="C13" s="612" t="s">
        <v>1791</v>
      </c>
      <c r="D13" s="450"/>
      <c r="E13" s="450"/>
      <c r="F13" s="450"/>
      <c r="G13" s="450"/>
      <c r="H13" s="450"/>
      <c r="I13" s="450"/>
      <c r="J13" s="450"/>
      <c r="K13" s="611"/>
      <c r="L13" s="539" t="s">
        <v>1784</v>
      </c>
      <c r="M13" s="538"/>
      <c r="N13" s="538"/>
      <c r="O13" s="538"/>
      <c r="P13" s="538"/>
      <c r="Q13" s="538"/>
      <c r="R13" s="538"/>
      <c r="S13" s="538"/>
      <c r="T13" s="538"/>
      <c r="U13" s="780"/>
      <c r="V13" s="772"/>
      <c r="W13" s="773"/>
      <c r="X13" s="774"/>
      <c r="Y13" s="3" t="s">
        <v>16</v>
      </c>
      <c r="Z13" s="450"/>
      <c r="AA13" s="450"/>
      <c r="AB13" s="450"/>
      <c r="AC13" s="450"/>
      <c r="AD13" s="783">
        <v>100</v>
      </c>
      <c r="AE13" s="784"/>
      <c r="AF13" s="780"/>
      <c r="AG13" s="772"/>
      <c r="AH13" s="610"/>
      <c r="AI13" s="3"/>
      <c r="AJ13" s="3"/>
      <c r="AK13" s="3"/>
      <c r="AL13" s="3"/>
      <c r="AM13" s="3"/>
      <c r="AN13" s="3"/>
      <c r="AO13" s="450"/>
      <c r="AP13" s="450"/>
      <c r="AQ13" s="450"/>
      <c r="AR13" s="450"/>
      <c r="AS13" s="450"/>
      <c r="AT13" s="450"/>
      <c r="AU13" s="334"/>
      <c r="AV13" s="334"/>
      <c r="AW13" s="334"/>
      <c r="AX13" s="334"/>
      <c r="AY13" s="334"/>
      <c r="AZ13" s="334"/>
      <c r="BA13" s="335"/>
      <c r="BB13" s="334"/>
      <c r="BC13" s="334"/>
      <c r="BD13" s="334"/>
      <c r="BE13" s="334"/>
      <c r="BF13" s="334"/>
      <c r="BG13" s="43"/>
      <c r="BK13" s="120"/>
      <c r="BL13" s="52"/>
    </row>
    <row r="14" spans="1:65">
      <c r="A14" s="771">
        <v>7</v>
      </c>
      <c r="B14" s="772"/>
      <c r="C14" s="612" t="s">
        <v>1563</v>
      </c>
      <c r="D14" s="450"/>
      <c r="E14" s="450"/>
      <c r="F14" s="450"/>
      <c r="G14" s="450"/>
      <c r="H14" s="450"/>
      <c r="I14" s="450"/>
      <c r="J14" s="450"/>
      <c r="K14" s="611"/>
      <c r="L14" s="3" t="s">
        <v>827</v>
      </c>
      <c r="M14" s="450"/>
      <c r="N14" s="450"/>
      <c r="O14" s="450"/>
      <c r="P14" s="450"/>
      <c r="Q14" s="450"/>
      <c r="R14" s="450"/>
      <c r="S14" s="450"/>
      <c r="T14" s="450"/>
      <c r="U14" s="780"/>
      <c r="V14" s="772"/>
      <c r="W14" s="773"/>
      <c r="X14" s="774"/>
      <c r="Y14" s="3" t="s">
        <v>16</v>
      </c>
      <c r="Z14" s="450"/>
      <c r="AA14" s="450"/>
      <c r="AB14" s="450"/>
      <c r="AC14" s="450"/>
      <c r="AD14" s="783">
        <v>500</v>
      </c>
      <c r="AE14" s="784"/>
      <c r="AF14" s="780"/>
      <c r="AG14" s="772"/>
      <c r="AH14" s="610"/>
      <c r="AI14" s="450"/>
      <c r="AJ14" s="450"/>
      <c r="AK14" s="450"/>
      <c r="AL14" s="450"/>
      <c r="AM14" s="450"/>
      <c r="AN14" s="3"/>
      <c r="AO14" s="450"/>
      <c r="AP14" s="450"/>
      <c r="AQ14" s="450"/>
      <c r="AR14" s="450"/>
      <c r="AS14" s="450"/>
      <c r="AT14" s="450"/>
      <c r="AU14" s="334"/>
      <c r="AV14" s="334"/>
      <c r="AW14" s="334"/>
      <c r="AX14" s="334"/>
      <c r="AY14" s="334"/>
      <c r="AZ14" s="334"/>
      <c r="BA14" s="335"/>
      <c r="BB14" s="334"/>
      <c r="BC14" s="334"/>
      <c r="BD14" s="334"/>
      <c r="BE14" s="334"/>
      <c r="BF14" s="334"/>
      <c r="BG14" s="43"/>
      <c r="BK14" s="120"/>
      <c r="BL14" s="52"/>
      <c r="BM14" s="3"/>
    </row>
    <row r="15" spans="1:65">
      <c r="A15" s="771">
        <v>8</v>
      </c>
      <c r="B15" s="772"/>
      <c r="C15" s="612" t="s">
        <v>1564</v>
      </c>
      <c r="D15" s="450"/>
      <c r="E15" s="450"/>
      <c r="F15" s="450"/>
      <c r="G15" s="450"/>
      <c r="H15" s="450"/>
      <c r="I15" s="450"/>
      <c r="J15" s="450"/>
      <c r="K15" s="611"/>
      <c r="L15" s="3" t="s">
        <v>1565</v>
      </c>
      <c r="M15" s="450"/>
      <c r="N15" s="450"/>
      <c r="O15" s="450"/>
      <c r="P15" s="450"/>
      <c r="Q15" s="450"/>
      <c r="R15" s="450"/>
      <c r="S15" s="450"/>
      <c r="T15" s="450"/>
      <c r="U15" s="780"/>
      <c r="V15" s="772"/>
      <c r="W15" s="773"/>
      <c r="X15" s="774"/>
      <c r="Y15" s="3" t="s">
        <v>16</v>
      </c>
      <c r="Z15" s="450"/>
      <c r="AA15" s="450"/>
      <c r="AB15" s="450"/>
      <c r="AC15" s="450"/>
      <c r="AD15" s="783">
        <v>500</v>
      </c>
      <c r="AE15" s="784"/>
      <c r="AF15" s="780"/>
      <c r="AG15" s="772"/>
      <c r="AH15" s="610"/>
      <c r="AI15" s="450"/>
      <c r="AJ15" s="450"/>
      <c r="AK15" s="450"/>
      <c r="AL15" s="450"/>
      <c r="AM15" s="450"/>
      <c r="AN15" s="3"/>
      <c r="AO15" s="450"/>
      <c r="AP15" s="450"/>
      <c r="AQ15" s="450"/>
      <c r="AR15" s="450"/>
      <c r="AS15" s="450"/>
      <c r="AT15" s="450"/>
      <c r="AU15" s="334"/>
      <c r="AV15" s="334"/>
      <c r="AW15" s="334"/>
      <c r="AX15" s="334"/>
      <c r="AY15" s="334"/>
      <c r="AZ15" s="334"/>
      <c r="BA15" s="335"/>
      <c r="BB15" s="334"/>
      <c r="BC15" s="334"/>
      <c r="BD15" s="334"/>
      <c r="BE15" s="334"/>
      <c r="BF15" s="334"/>
      <c r="BG15" s="43"/>
      <c r="BK15" s="120"/>
      <c r="BL15" s="52"/>
    </row>
    <row r="16" spans="1:65">
      <c r="A16" s="771">
        <v>9</v>
      </c>
      <c r="B16" s="772"/>
      <c r="C16" s="612" t="s">
        <v>1566</v>
      </c>
      <c r="D16" s="450"/>
      <c r="E16" s="450"/>
      <c r="F16" s="450"/>
      <c r="G16" s="450"/>
      <c r="H16" s="450"/>
      <c r="I16" s="450"/>
      <c r="J16" s="450"/>
      <c r="K16" s="611"/>
      <c r="L16" s="3" t="s">
        <v>1567</v>
      </c>
      <c r="M16" s="450"/>
      <c r="N16" s="450"/>
      <c r="O16" s="450"/>
      <c r="P16" s="450"/>
      <c r="Q16" s="450"/>
      <c r="R16" s="450"/>
      <c r="S16" s="450"/>
      <c r="T16" s="450"/>
      <c r="U16" s="780"/>
      <c r="V16" s="772"/>
      <c r="W16" s="773"/>
      <c r="X16" s="774"/>
      <c r="Y16" s="3" t="s">
        <v>16</v>
      </c>
      <c r="Z16" s="450"/>
      <c r="AA16" s="450"/>
      <c r="AB16" s="450"/>
      <c r="AC16" s="450"/>
      <c r="AD16" s="783">
        <v>500</v>
      </c>
      <c r="AE16" s="784"/>
      <c r="AF16" s="780"/>
      <c r="AG16" s="772"/>
      <c r="AH16" s="610"/>
      <c r="AI16" s="450"/>
      <c r="AJ16" s="450"/>
      <c r="AK16" s="450"/>
      <c r="AL16" s="450"/>
      <c r="AM16" s="450"/>
      <c r="AN16" s="3"/>
      <c r="AO16" s="450"/>
      <c r="AP16" s="450"/>
      <c r="AQ16" s="450"/>
      <c r="AR16" s="450"/>
      <c r="AS16" s="450"/>
      <c r="AT16" s="450"/>
      <c r="AU16" s="334"/>
      <c r="AV16" s="334"/>
      <c r="AW16" s="334"/>
      <c r="AX16" s="334"/>
      <c r="AY16" s="334"/>
      <c r="AZ16" s="334"/>
      <c r="BA16" s="335"/>
      <c r="BB16" s="334"/>
      <c r="BC16" s="334"/>
      <c r="BD16" s="334"/>
      <c r="BE16" s="334"/>
      <c r="BF16" s="334"/>
      <c r="BG16" s="43"/>
      <c r="BK16" s="120"/>
      <c r="BL16" s="52"/>
    </row>
    <row r="17" spans="1:65">
      <c r="A17" s="771">
        <v>10</v>
      </c>
      <c r="B17" s="772"/>
      <c r="C17" s="612" t="s">
        <v>1568</v>
      </c>
      <c r="D17" s="450"/>
      <c r="E17" s="450"/>
      <c r="F17" s="450"/>
      <c r="G17" s="450"/>
      <c r="H17" s="450"/>
      <c r="I17" s="450"/>
      <c r="J17" s="450"/>
      <c r="K17" s="611"/>
      <c r="L17" s="3" t="s">
        <v>1569</v>
      </c>
      <c r="M17" s="450"/>
      <c r="N17" s="450"/>
      <c r="O17" s="450"/>
      <c r="P17" s="450"/>
      <c r="Q17" s="450"/>
      <c r="R17" s="450"/>
      <c r="S17" s="450"/>
      <c r="T17" s="450"/>
      <c r="U17" s="780"/>
      <c r="V17" s="772"/>
      <c r="W17" s="773"/>
      <c r="X17" s="774"/>
      <c r="Y17" s="3" t="s">
        <v>16</v>
      </c>
      <c r="Z17" s="450"/>
      <c r="AA17" s="450"/>
      <c r="AB17" s="450"/>
      <c r="AC17" s="450"/>
      <c r="AD17" s="783">
        <v>500</v>
      </c>
      <c r="AE17" s="784"/>
      <c r="AF17" s="780"/>
      <c r="AG17" s="772"/>
      <c r="AH17" s="610"/>
      <c r="AI17" s="450"/>
      <c r="AJ17" s="450"/>
      <c r="AK17" s="450"/>
      <c r="AL17" s="450"/>
      <c r="AM17" s="450"/>
      <c r="AN17" s="3"/>
      <c r="AO17" s="450"/>
      <c r="AP17" s="450"/>
      <c r="AQ17" s="450"/>
      <c r="AR17" s="450"/>
      <c r="AS17" s="450"/>
      <c r="AT17" s="450"/>
      <c r="AU17" s="334"/>
      <c r="AV17" s="334"/>
      <c r="AW17" s="334"/>
      <c r="AX17" s="334"/>
      <c r="AY17" s="334"/>
      <c r="AZ17" s="334"/>
      <c r="BA17" s="335"/>
      <c r="BB17" s="334"/>
      <c r="BC17" s="334"/>
      <c r="BD17" s="334"/>
      <c r="BE17" s="334"/>
      <c r="BF17" s="334"/>
      <c r="BG17" s="43"/>
      <c r="BK17" s="120"/>
      <c r="BL17" s="339"/>
      <c r="BM17" s="3"/>
    </row>
    <row r="18" spans="1:65">
      <c r="A18" s="771">
        <v>11</v>
      </c>
      <c r="B18" s="772"/>
      <c r="C18" s="612" t="s">
        <v>1570</v>
      </c>
      <c r="D18" s="450"/>
      <c r="E18" s="450"/>
      <c r="F18" s="450"/>
      <c r="G18" s="450"/>
      <c r="H18" s="450"/>
      <c r="I18" s="450"/>
      <c r="J18" s="450"/>
      <c r="K18" s="611"/>
      <c r="L18" s="3" t="s">
        <v>1571</v>
      </c>
      <c r="M18" s="450"/>
      <c r="N18" s="450"/>
      <c r="O18" s="450"/>
      <c r="P18" s="450"/>
      <c r="Q18" s="450"/>
      <c r="R18" s="450"/>
      <c r="S18" s="450"/>
      <c r="T18" s="450"/>
      <c r="U18" s="780"/>
      <c r="V18" s="772"/>
      <c r="W18" s="773"/>
      <c r="X18" s="774"/>
      <c r="Y18" s="3" t="s">
        <v>16</v>
      </c>
      <c r="Z18" s="450"/>
      <c r="AA18" s="450"/>
      <c r="AB18" s="450"/>
      <c r="AC18" s="450"/>
      <c r="AD18" s="783">
        <v>500</v>
      </c>
      <c r="AE18" s="784"/>
      <c r="AF18" s="780"/>
      <c r="AG18" s="772"/>
      <c r="AH18" s="610"/>
      <c r="AI18" s="3"/>
      <c r="AJ18" s="3"/>
      <c r="AK18" s="3"/>
      <c r="AL18" s="3"/>
      <c r="AM18" s="3"/>
      <c r="AN18" s="3"/>
      <c r="AO18" s="450"/>
      <c r="AP18" s="450"/>
      <c r="AQ18" s="450"/>
      <c r="AR18" s="450"/>
      <c r="AS18" s="450"/>
      <c r="AT18" s="450"/>
      <c r="AU18" s="334"/>
      <c r="AV18" s="334"/>
      <c r="AW18" s="334"/>
      <c r="AX18" s="334"/>
      <c r="AY18" s="334"/>
      <c r="AZ18" s="334"/>
      <c r="BA18" s="335"/>
      <c r="BB18" s="334"/>
      <c r="BC18" s="334"/>
      <c r="BD18" s="334"/>
      <c r="BE18" s="334"/>
      <c r="BF18" s="334"/>
      <c r="BG18" s="43"/>
      <c r="BK18" s="120"/>
      <c r="BL18" s="52"/>
    </row>
    <row r="19" spans="1:65">
      <c r="A19" s="771">
        <v>12</v>
      </c>
      <c r="B19" s="772"/>
      <c r="C19" s="612" t="s">
        <v>1572</v>
      </c>
      <c r="D19" s="450"/>
      <c r="E19" s="450"/>
      <c r="F19" s="450"/>
      <c r="G19" s="450"/>
      <c r="H19" s="450"/>
      <c r="I19" s="450"/>
      <c r="J19" s="450"/>
      <c r="K19" s="611"/>
      <c r="L19" s="3" t="s">
        <v>1573</v>
      </c>
      <c r="M19" s="450"/>
      <c r="N19" s="450"/>
      <c r="O19" s="450"/>
      <c r="P19" s="450"/>
      <c r="Q19" s="450"/>
      <c r="R19" s="450"/>
      <c r="S19" s="450"/>
      <c r="T19" s="450"/>
      <c r="U19" s="780"/>
      <c r="V19" s="772"/>
      <c r="W19" s="773"/>
      <c r="X19" s="774"/>
      <c r="Y19" s="3" t="s">
        <v>16</v>
      </c>
      <c r="Z19" s="450"/>
      <c r="AA19" s="450"/>
      <c r="AB19" s="450"/>
      <c r="AC19" s="450"/>
      <c r="AD19" s="783">
        <v>500</v>
      </c>
      <c r="AE19" s="784"/>
      <c r="AF19" s="780"/>
      <c r="AG19" s="772"/>
      <c r="AH19" s="610"/>
      <c r="AI19" s="307"/>
      <c r="AJ19" s="307"/>
      <c r="AK19" s="307"/>
      <c r="AL19" s="307"/>
      <c r="AM19" s="307"/>
      <c r="AN19" s="307"/>
      <c r="AO19" s="452"/>
      <c r="AP19" s="452"/>
      <c r="AQ19" s="452"/>
      <c r="AR19" s="452"/>
      <c r="AS19" s="452"/>
      <c r="AT19" s="452"/>
      <c r="AU19" s="334"/>
      <c r="AV19" s="334"/>
      <c r="AW19" s="334"/>
      <c r="AX19" s="334"/>
      <c r="AY19" s="334"/>
      <c r="AZ19" s="334"/>
      <c r="BA19" s="335"/>
      <c r="BB19" s="334"/>
      <c r="BC19" s="334"/>
      <c r="BD19" s="334"/>
      <c r="BE19" s="334"/>
      <c r="BF19" s="334"/>
      <c r="BG19" s="43"/>
      <c r="BK19" s="101"/>
      <c r="BL19" s="52"/>
    </row>
    <row r="20" spans="1:65">
      <c r="A20" s="771">
        <v>13</v>
      </c>
      <c r="B20" s="772"/>
      <c r="C20" s="3" t="s">
        <v>1790</v>
      </c>
      <c r="D20" s="450"/>
      <c r="E20" s="450"/>
      <c r="F20" s="450"/>
      <c r="G20" s="450"/>
      <c r="H20" s="450"/>
      <c r="I20" s="450"/>
      <c r="J20" s="450"/>
      <c r="K20" s="611"/>
      <c r="L20" s="539" t="s">
        <v>1786</v>
      </c>
      <c r="M20" s="538"/>
      <c r="N20" s="538"/>
      <c r="O20" s="538"/>
      <c r="P20" s="538"/>
      <c r="Q20" s="538"/>
      <c r="R20" s="538"/>
      <c r="S20" s="538"/>
      <c r="T20" s="538"/>
      <c r="U20" s="780"/>
      <c r="V20" s="772"/>
      <c r="W20" s="775"/>
      <c r="X20" s="776"/>
      <c r="Y20" s="3" t="s">
        <v>199</v>
      </c>
      <c r="Z20" s="450"/>
      <c r="AA20" s="450"/>
      <c r="AB20" s="450"/>
      <c r="AC20" s="450"/>
      <c r="AD20" s="783">
        <v>2</v>
      </c>
      <c r="AE20" s="784"/>
      <c r="AF20" s="780"/>
      <c r="AG20" s="772"/>
      <c r="AH20" s="455"/>
      <c r="AI20" s="3"/>
      <c r="AJ20" s="3"/>
      <c r="AK20" s="3"/>
      <c r="AL20" s="3"/>
      <c r="AM20" s="3"/>
      <c r="AN20" s="3"/>
      <c r="AO20" s="3"/>
      <c r="AP20" s="3"/>
      <c r="AQ20" s="450"/>
      <c r="AR20" s="450"/>
      <c r="AS20" s="450"/>
      <c r="AT20" s="450"/>
      <c r="AU20" s="334"/>
      <c r="AV20" s="334"/>
      <c r="AW20" s="334"/>
      <c r="AX20" s="334"/>
      <c r="AY20" s="334"/>
      <c r="AZ20" s="334"/>
      <c r="BA20" s="335"/>
      <c r="BB20" s="334"/>
      <c r="BC20" s="334"/>
      <c r="BD20" s="334"/>
      <c r="BE20" s="334"/>
      <c r="BF20" s="334"/>
      <c r="BG20" s="43"/>
      <c r="BK20" s="51"/>
      <c r="BL20" s="51"/>
    </row>
    <row r="21" spans="1:65">
      <c r="A21" s="771">
        <v>14</v>
      </c>
      <c r="B21" s="772"/>
      <c r="C21" s="1" t="s">
        <v>1773</v>
      </c>
      <c r="D21" s="452"/>
      <c r="E21" s="452"/>
      <c r="F21" s="452"/>
      <c r="G21" s="452"/>
      <c r="H21" s="452"/>
      <c r="I21" s="452"/>
      <c r="J21" s="452"/>
      <c r="K21" s="332"/>
      <c r="L21" s="539" t="s">
        <v>1774</v>
      </c>
      <c r="M21" s="538"/>
      <c r="N21" s="538"/>
      <c r="O21" s="538"/>
      <c r="P21" s="538"/>
      <c r="Q21" s="538"/>
      <c r="R21" s="538"/>
      <c r="S21" s="538"/>
      <c r="T21" s="538"/>
      <c r="U21" s="780"/>
      <c r="V21" s="772"/>
      <c r="W21" s="775"/>
      <c r="X21" s="776"/>
      <c r="Y21" s="3" t="s">
        <v>16</v>
      </c>
      <c r="Z21" s="450"/>
      <c r="AA21" s="450"/>
      <c r="AB21" s="450"/>
      <c r="AC21" s="450"/>
      <c r="AD21" s="783">
        <v>500</v>
      </c>
      <c r="AE21" s="784"/>
      <c r="AF21" s="780"/>
      <c r="AG21" s="772"/>
      <c r="AH21" s="231" t="s">
        <v>1772</v>
      </c>
      <c r="AI21" s="539"/>
      <c r="AJ21" s="539"/>
      <c r="AK21" s="539"/>
      <c r="AL21" s="539"/>
      <c r="AM21" s="307"/>
      <c r="AN21" s="3"/>
      <c r="AO21" s="3"/>
      <c r="AP21" s="3"/>
      <c r="AQ21" s="450"/>
      <c r="AR21" s="450"/>
      <c r="AS21" s="450"/>
      <c r="AT21" s="450"/>
      <c r="AU21" s="334"/>
      <c r="AV21" s="334"/>
      <c r="AW21" s="334"/>
      <c r="AX21" s="334"/>
      <c r="AY21" s="334"/>
      <c r="AZ21" s="334"/>
      <c r="BA21" s="335"/>
      <c r="BB21" s="334"/>
      <c r="BC21" s="334"/>
      <c r="BD21" s="334"/>
      <c r="BE21" s="334"/>
      <c r="BF21" s="334"/>
      <c r="BG21" s="43"/>
      <c r="BK21" s="51"/>
      <c r="BL21" s="51"/>
    </row>
    <row r="22" spans="1:65">
      <c r="A22" s="771">
        <v>15</v>
      </c>
      <c r="B22" s="772"/>
      <c r="C22" s="644" t="s">
        <v>1795</v>
      </c>
      <c r="D22" s="645"/>
      <c r="E22" s="645"/>
      <c r="F22" s="645"/>
      <c r="G22" s="645"/>
      <c r="H22" s="645"/>
      <c r="I22" s="645"/>
      <c r="J22" s="645"/>
      <c r="K22" s="646"/>
      <c r="L22" s="645" t="s">
        <v>1812</v>
      </c>
      <c r="M22" s="645"/>
      <c r="N22" s="645"/>
      <c r="O22" s="645"/>
      <c r="P22" s="645"/>
      <c r="Q22" s="645"/>
      <c r="R22" s="645"/>
      <c r="S22" s="645"/>
      <c r="T22" s="645"/>
      <c r="U22" s="794"/>
      <c r="V22" s="795"/>
      <c r="W22" s="800"/>
      <c r="X22" s="801"/>
      <c r="Y22" s="644" t="s">
        <v>1275</v>
      </c>
      <c r="Z22" s="645"/>
      <c r="AA22" s="645"/>
      <c r="AB22" s="645"/>
      <c r="AC22" s="645"/>
      <c r="AD22" s="798">
        <v>1000</v>
      </c>
      <c r="AE22" s="799"/>
      <c r="AF22" s="788"/>
      <c r="AG22" s="789"/>
      <c r="AH22" s="330"/>
      <c r="AI22" s="307"/>
      <c r="AJ22" s="307"/>
      <c r="AK22" s="307"/>
      <c r="AL22" s="307"/>
      <c r="AM22" s="307"/>
      <c r="AN22" s="3"/>
      <c r="AO22" s="3"/>
      <c r="AP22" s="3"/>
      <c r="AQ22" s="450"/>
      <c r="AR22" s="450"/>
      <c r="AS22" s="450"/>
      <c r="AT22" s="450"/>
      <c r="AU22" s="334"/>
      <c r="AV22" s="334"/>
      <c r="AW22" s="334"/>
      <c r="AX22" s="334"/>
      <c r="AY22" s="334"/>
      <c r="AZ22" s="334"/>
      <c r="BA22" s="335"/>
      <c r="BB22" s="334"/>
      <c r="BC22" s="334"/>
      <c r="BD22" s="334"/>
      <c r="BE22" s="334"/>
      <c r="BF22" s="334"/>
      <c r="BG22" s="43"/>
      <c r="BK22" s="51"/>
      <c r="BL22" s="51"/>
    </row>
    <row r="23" spans="1:65">
      <c r="A23" s="771">
        <v>16</v>
      </c>
      <c r="B23" s="772"/>
      <c r="C23" s="644" t="s">
        <v>1794</v>
      </c>
      <c r="D23" s="645"/>
      <c r="E23" s="645"/>
      <c r="F23" s="645"/>
      <c r="G23" s="645"/>
      <c r="H23" s="645"/>
      <c r="I23" s="645"/>
      <c r="J23" s="645"/>
      <c r="K23" s="646"/>
      <c r="L23" s="645" t="s">
        <v>1813</v>
      </c>
      <c r="M23" s="645"/>
      <c r="N23" s="645"/>
      <c r="O23" s="645"/>
      <c r="P23" s="645"/>
      <c r="Q23" s="645"/>
      <c r="R23" s="645"/>
      <c r="S23" s="645"/>
      <c r="T23" s="645"/>
      <c r="U23" s="794"/>
      <c r="V23" s="795"/>
      <c r="W23" s="800"/>
      <c r="X23" s="801"/>
      <c r="Y23" s="644" t="s">
        <v>1275</v>
      </c>
      <c r="Z23" s="645"/>
      <c r="AA23" s="645"/>
      <c r="AB23" s="645"/>
      <c r="AC23" s="645"/>
      <c r="AD23" s="798">
        <v>1000</v>
      </c>
      <c r="AE23" s="799"/>
      <c r="AF23" s="788"/>
      <c r="AG23" s="789"/>
      <c r="AH23" s="330"/>
      <c r="AI23" s="307"/>
      <c r="AJ23" s="307"/>
      <c r="AK23" s="307"/>
      <c r="AL23" s="307"/>
      <c r="AM23" s="307"/>
      <c r="AN23" s="3"/>
      <c r="AO23" s="3"/>
      <c r="AP23" s="3"/>
      <c r="AQ23" s="450"/>
      <c r="AR23" s="450"/>
      <c r="AS23" s="450"/>
      <c r="AT23" s="450"/>
      <c r="AU23" s="334"/>
      <c r="AV23" s="334"/>
      <c r="AW23" s="334"/>
      <c r="AX23" s="334"/>
      <c r="AY23" s="334"/>
      <c r="AZ23" s="334"/>
      <c r="BA23" s="335"/>
      <c r="BB23" s="334"/>
      <c r="BC23" s="334"/>
      <c r="BD23" s="334"/>
      <c r="BE23" s="334"/>
      <c r="BF23" s="334"/>
      <c r="BG23" s="43"/>
      <c r="BK23" s="51"/>
      <c r="BL23" s="51"/>
    </row>
    <row r="24" spans="1:65">
      <c r="A24" s="771">
        <v>17</v>
      </c>
      <c r="B24" s="772"/>
      <c r="C24" s="3" t="s">
        <v>1574</v>
      </c>
      <c r="D24" s="450"/>
      <c r="E24" s="450"/>
      <c r="F24" s="450"/>
      <c r="G24" s="450"/>
      <c r="H24" s="450"/>
      <c r="I24" s="450"/>
      <c r="J24" s="450"/>
      <c r="K24" s="611"/>
      <c r="L24" s="3" t="s">
        <v>1575</v>
      </c>
      <c r="M24" s="450"/>
      <c r="N24" s="450"/>
      <c r="O24" s="450"/>
      <c r="P24" s="450"/>
      <c r="Q24" s="450"/>
      <c r="R24" s="450"/>
      <c r="S24" s="450"/>
      <c r="T24" s="450"/>
      <c r="U24" s="780"/>
      <c r="V24" s="772"/>
      <c r="W24" s="773"/>
      <c r="X24" s="774"/>
      <c r="Y24" s="3" t="s">
        <v>199</v>
      </c>
      <c r="Z24" s="450"/>
      <c r="AA24" s="450"/>
      <c r="AB24" s="450"/>
      <c r="AC24" s="450"/>
      <c r="AD24" s="783">
        <v>2</v>
      </c>
      <c r="AE24" s="784"/>
      <c r="AF24" s="780"/>
      <c r="AG24" s="772"/>
      <c r="AH24" s="610" t="s">
        <v>1576</v>
      </c>
      <c r="AI24" s="3"/>
      <c r="AJ24" s="3"/>
      <c r="AK24" s="3"/>
      <c r="AL24" s="3"/>
      <c r="AM24" s="3"/>
      <c r="AN24" s="3"/>
      <c r="AO24" s="3"/>
      <c r="AP24" s="3"/>
      <c r="AQ24" s="450"/>
      <c r="AR24" s="450"/>
      <c r="AS24" s="450"/>
      <c r="AT24" s="450"/>
      <c r="AU24" s="334"/>
      <c r="AV24" s="334"/>
      <c r="AW24" s="334"/>
      <c r="AX24" s="334"/>
      <c r="AY24" s="334"/>
      <c r="AZ24" s="334"/>
      <c r="BA24" s="335"/>
      <c r="BB24" s="334"/>
      <c r="BC24" s="334"/>
      <c r="BD24" s="334"/>
      <c r="BE24" s="334"/>
      <c r="BF24" s="334"/>
      <c r="BG24" s="43"/>
      <c r="BK24" s="51"/>
      <c r="BL24" s="52"/>
    </row>
    <row r="25" spans="1:65">
      <c r="A25" s="771">
        <v>18</v>
      </c>
      <c r="B25" s="772"/>
      <c r="C25" s="3" t="s">
        <v>1031</v>
      </c>
      <c r="D25" s="450"/>
      <c r="E25" s="450"/>
      <c r="F25" s="450"/>
      <c r="G25" s="450"/>
      <c r="H25" s="450"/>
      <c r="I25" s="450"/>
      <c r="J25" s="450"/>
      <c r="K25" s="611"/>
      <c r="L25" s="3" t="s">
        <v>1577</v>
      </c>
      <c r="M25" s="450"/>
      <c r="N25" s="450"/>
      <c r="O25" s="450"/>
      <c r="P25" s="450"/>
      <c r="Q25" s="450"/>
      <c r="R25" s="450"/>
      <c r="S25" s="450"/>
      <c r="T25" s="450"/>
      <c r="U25" s="780"/>
      <c r="V25" s="772"/>
      <c r="W25" s="773"/>
      <c r="X25" s="774"/>
      <c r="Y25" s="3" t="s">
        <v>17</v>
      </c>
      <c r="Z25" s="450"/>
      <c r="AA25" s="450"/>
      <c r="AB25" s="450"/>
      <c r="AC25" s="450"/>
      <c r="AD25" s="783"/>
      <c r="AE25" s="784"/>
      <c r="AF25" s="780"/>
      <c r="AG25" s="772"/>
      <c r="AH25" s="610" t="s">
        <v>1578</v>
      </c>
      <c r="AI25" s="3"/>
      <c r="AJ25" s="3"/>
      <c r="AK25" s="3"/>
      <c r="AL25" s="3"/>
      <c r="AM25" s="3"/>
      <c r="AN25" s="3"/>
      <c r="AO25" s="3"/>
      <c r="AP25" s="3"/>
      <c r="AQ25" s="450"/>
      <c r="AR25" s="450"/>
      <c r="AS25" s="450"/>
      <c r="AT25" s="450"/>
      <c r="AU25" s="334"/>
      <c r="AV25" s="334"/>
      <c r="AW25" s="334"/>
      <c r="AX25" s="334"/>
      <c r="AY25" s="334"/>
      <c r="AZ25" s="334"/>
      <c r="BA25" s="335"/>
      <c r="BB25" s="334"/>
      <c r="BC25" s="334"/>
      <c r="BD25" s="334"/>
      <c r="BE25" s="334"/>
      <c r="BF25" s="334"/>
      <c r="BG25" s="43"/>
      <c r="BK25" s="101"/>
      <c r="BL25" s="51"/>
    </row>
    <row r="26" spans="1:65">
      <c r="A26" s="771">
        <v>19</v>
      </c>
      <c r="B26" s="772"/>
      <c r="C26" s="3" t="s">
        <v>1579</v>
      </c>
      <c r="D26" s="450"/>
      <c r="E26" s="450"/>
      <c r="F26" s="450"/>
      <c r="G26" s="450"/>
      <c r="H26" s="450"/>
      <c r="I26" s="450"/>
      <c r="J26" s="450"/>
      <c r="K26" s="611"/>
      <c r="L26" s="3" t="s">
        <v>1580</v>
      </c>
      <c r="M26" s="450"/>
      <c r="N26" s="450"/>
      <c r="O26" s="450"/>
      <c r="P26" s="450"/>
      <c r="Q26" s="450"/>
      <c r="R26" s="450"/>
      <c r="S26" s="450"/>
      <c r="T26" s="450"/>
      <c r="U26" s="780"/>
      <c r="V26" s="772"/>
      <c r="W26" s="773"/>
      <c r="X26" s="774"/>
      <c r="Y26" s="3" t="s">
        <v>199</v>
      </c>
      <c r="Z26" s="450"/>
      <c r="AA26" s="450"/>
      <c r="AB26" s="450"/>
      <c r="AC26" s="450"/>
      <c r="AD26" s="781">
        <v>32</v>
      </c>
      <c r="AE26" s="782"/>
      <c r="AF26" s="780"/>
      <c r="AG26" s="772"/>
      <c r="AH26" s="610"/>
      <c r="AI26" s="3"/>
      <c r="AJ26" s="3"/>
      <c r="AK26" s="3"/>
      <c r="AL26" s="3"/>
      <c r="AM26" s="3"/>
      <c r="AN26" s="3"/>
      <c r="AO26" s="3"/>
      <c r="AP26" s="3"/>
      <c r="AQ26" s="450"/>
      <c r="AR26" s="450"/>
      <c r="AS26" s="450"/>
      <c r="AT26" s="450"/>
      <c r="AU26" s="334"/>
      <c r="AV26" s="334"/>
      <c r="AW26" s="334"/>
      <c r="AX26" s="334"/>
      <c r="AY26" s="334"/>
      <c r="AZ26" s="334"/>
      <c r="BA26" s="335"/>
      <c r="BB26" s="334"/>
      <c r="BC26" s="334"/>
      <c r="BD26" s="334"/>
      <c r="BE26" s="334"/>
      <c r="BF26" s="334"/>
      <c r="BG26" s="43"/>
      <c r="BK26" s="51"/>
      <c r="BL26" s="51"/>
    </row>
    <row r="27" spans="1:65">
      <c r="A27" s="771">
        <v>20</v>
      </c>
      <c r="B27" s="772"/>
      <c r="C27" s="3" t="s">
        <v>1581</v>
      </c>
      <c r="D27" s="450"/>
      <c r="E27" s="450"/>
      <c r="F27" s="450"/>
      <c r="G27" s="450"/>
      <c r="H27" s="450"/>
      <c r="I27" s="450"/>
      <c r="J27" s="450"/>
      <c r="K27" s="611"/>
      <c r="L27" s="3" t="s">
        <v>1582</v>
      </c>
      <c r="M27" s="450"/>
      <c r="N27" s="450"/>
      <c r="O27" s="450"/>
      <c r="P27" s="450"/>
      <c r="Q27" s="450"/>
      <c r="R27" s="450"/>
      <c r="S27" s="450"/>
      <c r="T27" s="450"/>
      <c r="U27" s="780"/>
      <c r="V27" s="772"/>
      <c r="W27" s="773"/>
      <c r="X27" s="774"/>
      <c r="Y27" s="3" t="s">
        <v>16</v>
      </c>
      <c r="Z27" s="450"/>
      <c r="AA27" s="450"/>
      <c r="AB27" s="450"/>
      <c r="AC27" s="611"/>
      <c r="AD27" s="783">
        <v>100</v>
      </c>
      <c r="AE27" s="784"/>
      <c r="AF27" s="780"/>
      <c r="AG27" s="772"/>
      <c r="AH27" s="3"/>
      <c r="AI27" s="450"/>
      <c r="AJ27" s="450"/>
      <c r="AK27" s="450"/>
      <c r="AL27" s="450"/>
      <c r="AM27" s="450"/>
      <c r="AN27" s="450"/>
      <c r="AO27" s="450"/>
      <c r="AP27" s="450"/>
      <c r="AQ27" s="450"/>
      <c r="AR27" s="450"/>
      <c r="AS27" s="450"/>
      <c r="AT27" s="450"/>
      <c r="AU27" s="334"/>
      <c r="AV27" s="334"/>
      <c r="AW27" s="334"/>
      <c r="AX27" s="334"/>
      <c r="AY27" s="334"/>
      <c r="AZ27" s="334"/>
      <c r="BA27" s="335"/>
      <c r="BB27" s="334"/>
      <c r="BC27" s="334"/>
      <c r="BD27" s="334"/>
      <c r="BE27" s="334"/>
      <c r="BF27" s="334"/>
      <c r="BG27" s="43"/>
      <c r="BK27" s="120"/>
      <c r="BL27" s="52"/>
    </row>
    <row r="28" spans="1:65">
      <c r="A28" s="771">
        <v>21</v>
      </c>
      <c r="B28" s="772"/>
      <c r="C28" s="3" t="s">
        <v>1583</v>
      </c>
      <c r="D28" s="450"/>
      <c r="E28" s="450"/>
      <c r="F28" s="450"/>
      <c r="G28" s="450"/>
      <c r="H28" s="450"/>
      <c r="I28" s="450"/>
      <c r="J28" s="450"/>
      <c r="K28" s="611"/>
      <c r="L28" s="3" t="s">
        <v>1584</v>
      </c>
      <c r="M28" s="450"/>
      <c r="N28" s="450"/>
      <c r="O28" s="450"/>
      <c r="P28" s="450"/>
      <c r="Q28" s="450"/>
      <c r="R28" s="450"/>
      <c r="S28" s="450"/>
      <c r="T28" s="450"/>
      <c r="U28" s="780"/>
      <c r="V28" s="772"/>
      <c r="W28" s="773"/>
      <c r="X28" s="774"/>
      <c r="Y28" s="3" t="s">
        <v>17</v>
      </c>
      <c r="Z28" s="450"/>
      <c r="AA28" s="450"/>
      <c r="AB28" s="450"/>
      <c r="AC28" s="450"/>
      <c r="AD28" s="786"/>
      <c r="AE28" s="787"/>
      <c r="AF28" s="780"/>
      <c r="AG28" s="772"/>
      <c r="AH28" s="610" t="s">
        <v>1578</v>
      </c>
      <c r="AI28" s="450"/>
      <c r="AJ28" s="450"/>
      <c r="AK28" s="450"/>
      <c r="AL28" s="450"/>
      <c r="AM28" s="450"/>
      <c r="AN28" s="450"/>
      <c r="AO28" s="450"/>
      <c r="AP28" s="450"/>
      <c r="AQ28" s="450"/>
      <c r="AR28" s="450"/>
      <c r="AS28" s="450"/>
      <c r="AT28" s="450"/>
      <c r="AU28" s="334"/>
      <c r="AV28" s="334"/>
      <c r="AW28" s="334"/>
      <c r="AX28" s="334"/>
      <c r="AY28" s="334"/>
      <c r="AZ28" s="334"/>
      <c r="BA28" s="335"/>
      <c r="BB28" s="334"/>
      <c r="BC28" s="334"/>
      <c r="BD28" s="334"/>
      <c r="BE28" s="334"/>
      <c r="BF28" s="334"/>
      <c r="BG28" s="43"/>
      <c r="BK28" s="120"/>
      <c r="BL28" s="52"/>
    </row>
    <row r="29" spans="1:65">
      <c r="A29" s="771">
        <v>22</v>
      </c>
      <c r="B29" s="772"/>
      <c r="C29" s="3" t="s">
        <v>1585</v>
      </c>
      <c r="D29" s="450"/>
      <c r="E29" s="450"/>
      <c r="F29" s="450"/>
      <c r="G29" s="450"/>
      <c r="H29" s="450"/>
      <c r="I29" s="450"/>
      <c r="J29" s="450"/>
      <c r="K29" s="611"/>
      <c r="L29" s="3" t="s">
        <v>1586</v>
      </c>
      <c r="M29" s="450"/>
      <c r="N29" s="450"/>
      <c r="O29" s="450"/>
      <c r="P29" s="450"/>
      <c r="Q29" s="450"/>
      <c r="R29" s="450"/>
      <c r="S29" s="450"/>
      <c r="T29" s="450"/>
      <c r="U29" s="780"/>
      <c r="V29" s="772"/>
      <c r="W29" s="773"/>
      <c r="X29" s="774"/>
      <c r="Y29" s="3" t="s">
        <v>199</v>
      </c>
      <c r="Z29" s="450"/>
      <c r="AA29" s="450"/>
      <c r="AB29" s="450"/>
      <c r="AC29" s="450"/>
      <c r="AD29" s="783">
        <v>32</v>
      </c>
      <c r="AE29" s="784"/>
      <c r="AF29" s="785"/>
      <c r="AG29" s="772"/>
      <c r="AH29" s="610"/>
      <c r="AI29" s="450"/>
      <c r="AJ29" s="450"/>
      <c r="AK29" s="450"/>
      <c r="AL29" s="450"/>
      <c r="AM29" s="450"/>
      <c r="AN29" s="450"/>
      <c r="AO29" s="450"/>
      <c r="AP29" s="450"/>
      <c r="AQ29" s="450"/>
      <c r="AR29" s="450"/>
      <c r="AS29" s="450"/>
      <c r="AT29" s="450"/>
      <c r="AU29" s="334"/>
      <c r="AV29" s="334"/>
      <c r="AW29" s="334"/>
      <c r="AX29" s="334"/>
      <c r="AY29" s="334"/>
      <c r="AZ29" s="334"/>
      <c r="BA29" s="335"/>
      <c r="BB29" s="334"/>
      <c r="BC29" s="334"/>
      <c r="BD29" s="334"/>
      <c r="BE29" s="334"/>
      <c r="BF29" s="334"/>
      <c r="BG29" s="43"/>
      <c r="BK29" s="51"/>
      <c r="BL29" s="52"/>
    </row>
    <row r="30" spans="1:65">
      <c r="A30" s="771">
        <v>23</v>
      </c>
      <c r="B30" s="772"/>
      <c r="C30" s="3" t="s">
        <v>1587</v>
      </c>
      <c r="D30" s="450"/>
      <c r="E30" s="450"/>
      <c r="F30" s="450"/>
      <c r="G30" s="450"/>
      <c r="H30" s="450"/>
      <c r="I30" s="450"/>
      <c r="J30" s="450"/>
      <c r="K30" s="611"/>
      <c r="L30" s="3" t="s">
        <v>1588</v>
      </c>
      <c r="M30" s="450"/>
      <c r="N30" s="450"/>
      <c r="O30" s="450"/>
      <c r="P30" s="450"/>
      <c r="Q30" s="450"/>
      <c r="R30" s="450"/>
      <c r="S30" s="450"/>
      <c r="T30" s="450"/>
      <c r="U30" s="780"/>
      <c r="V30" s="772"/>
      <c r="W30" s="773"/>
      <c r="X30" s="774"/>
      <c r="Y30" s="3" t="s">
        <v>16</v>
      </c>
      <c r="Z30" s="450"/>
      <c r="AA30" s="450"/>
      <c r="AB30" s="450"/>
      <c r="AC30" s="611"/>
      <c r="AD30" s="781">
        <v>100</v>
      </c>
      <c r="AE30" s="782"/>
      <c r="AF30" s="780"/>
      <c r="AG30" s="772"/>
      <c r="AH30" s="610"/>
      <c r="AI30" s="450"/>
      <c r="AJ30" s="450"/>
      <c r="AK30" s="450"/>
      <c r="AL30" s="450"/>
      <c r="AM30" s="450"/>
      <c r="AN30" s="450"/>
      <c r="AO30" s="450"/>
      <c r="AP30" s="450"/>
      <c r="AQ30" s="450"/>
      <c r="AR30" s="450"/>
      <c r="AS30" s="450"/>
      <c r="AT30" s="450"/>
      <c r="AU30" s="334"/>
      <c r="AV30" s="334"/>
      <c r="AW30" s="334"/>
      <c r="AX30" s="334"/>
      <c r="AY30" s="334"/>
      <c r="AZ30" s="334"/>
      <c r="BA30" s="335"/>
      <c r="BB30" s="334"/>
      <c r="BC30" s="334"/>
      <c r="BD30" s="334"/>
      <c r="BE30" s="334"/>
      <c r="BF30" s="334"/>
      <c r="BG30" s="43"/>
      <c r="BK30" s="101"/>
      <c r="BL30" s="51"/>
    </row>
    <row r="31" spans="1:65">
      <c r="A31" s="771"/>
      <c r="B31" s="772"/>
      <c r="C31" s="3"/>
      <c r="D31" s="450"/>
      <c r="E31" s="450"/>
      <c r="F31" s="450"/>
      <c r="G31" s="450"/>
      <c r="H31" s="450"/>
      <c r="I31" s="450"/>
      <c r="J31" s="450"/>
      <c r="K31" s="611"/>
      <c r="L31" s="3"/>
      <c r="M31" s="450"/>
      <c r="N31" s="450"/>
      <c r="O31" s="450"/>
      <c r="P31" s="450"/>
      <c r="Q31" s="450"/>
      <c r="R31" s="450"/>
      <c r="S31" s="450"/>
      <c r="T31" s="450"/>
      <c r="U31" s="780"/>
      <c r="V31" s="772"/>
      <c r="W31" s="773"/>
      <c r="X31" s="774"/>
      <c r="Y31" s="3"/>
      <c r="Z31" s="450"/>
      <c r="AA31" s="450"/>
      <c r="AB31" s="450"/>
      <c r="AC31" s="450"/>
      <c r="AD31" s="781"/>
      <c r="AE31" s="782"/>
      <c r="AF31" s="781"/>
      <c r="AG31" s="782"/>
      <c r="AH31" s="610"/>
      <c r="AI31" s="450"/>
      <c r="AJ31" s="450"/>
      <c r="AK31" s="450"/>
      <c r="AL31" s="450"/>
      <c r="AM31" s="450"/>
      <c r="AN31" s="450"/>
      <c r="AO31" s="450"/>
      <c r="AP31" s="450"/>
      <c r="AQ31" s="450"/>
      <c r="AR31" s="450"/>
      <c r="AS31" s="450"/>
      <c r="AT31" s="450"/>
      <c r="AU31" s="334"/>
      <c r="AV31" s="334"/>
      <c r="AW31" s="334"/>
      <c r="AX31" s="334"/>
      <c r="AY31" s="334"/>
      <c r="AZ31" s="334"/>
      <c r="BA31" s="335"/>
      <c r="BB31" s="334"/>
      <c r="BC31" s="334"/>
      <c r="BD31" s="334"/>
      <c r="BE31" s="334"/>
      <c r="BF31" s="334"/>
      <c r="BG31" s="43"/>
      <c r="BK31" s="51"/>
      <c r="BL31" s="51"/>
    </row>
    <row r="32" spans="1:65">
      <c r="A32" s="771"/>
      <c r="B32" s="772"/>
      <c r="C32" s="610"/>
      <c r="D32" s="450"/>
      <c r="E32" s="450"/>
      <c r="F32" s="450"/>
      <c r="G32" s="450"/>
      <c r="H32" s="450"/>
      <c r="I32" s="450"/>
      <c r="J32" s="450"/>
      <c r="K32" s="611"/>
      <c r="L32" s="450"/>
      <c r="M32" s="450"/>
      <c r="N32" s="450"/>
      <c r="O32" s="450"/>
      <c r="P32" s="450"/>
      <c r="Q32" s="450"/>
      <c r="R32" s="450"/>
      <c r="S32" s="450"/>
      <c r="T32" s="450"/>
      <c r="U32" s="780"/>
      <c r="V32" s="772"/>
      <c r="W32" s="780"/>
      <c r="X32" s="772"/>
      <c r="Y32" s="610"/>
      <c r="Z32" s="450"/>
      <c r="AA32" s="450"/>
      <c r="AB32" s="450"/>
      <c r="AC32" s="611"/>
      <c r="AD32" s="781"/>
      <c r="AE32" s="782"/>
      <c r="AF32" s="781"/>
      <c r="AG32" s="782"/>
      <c r="AH32" s="610"/>
      <c r="AI32" s="450"/>
      <c r="AJ32" s="450"/>
      <c r="AK32" s="450"/>
      <c r="AL32" s="450"/>
      <c r="AM32" s="450"/>
      <c r="AN32" s="450"/>
      <c r="AO32" s="450"/>
      <c r="AP32" s="450"/>
      <c r="AQ32" s="450"/>
      <c r="AR32" s="450"/>
      <c r="AS32" s="450"/>
      <c r="AT32" s="450"/>
      <c r="AU32" s="334"/>
      <c r="AV32" s="334"/>
      <c r="AW32" s="334"/>
      <c r="AX32" s="334"/>
      <c r="AY32" s="334"/>
      <c r="AZ32" s="334"/>
      <c r="BA32" s="335"/>
      <c r="BB32" s="334"/>
      <c r="BC32" s="334"/>
      <c r="BD32" s="334"/>
      <c r="BE32" s="334"/>
      <c r="BF32" s="334"/>
      <c r="BG32" s="43"/>
      <c r="BK32" s="120"/>
      <c r="BL32" s="52"/>
    </row>
    <row r="33" spans="1:64">
      <c r="A33" s="681"/>
      <c r="B33" s="682"/>
      <c r="C33" s="59"/>
      <c r="D33" s="334"/>
      <c r="E33" s="334"/>
      <c r="F33" s="334"/>
      <c r="G33" s="334"/>
      <c r="H33" s="334"/>
      <c r="I33" s="334"/>
      <c r="J33" s="334"/>
      <c r="K33" s="335"/>
      <c r="L33" s="36"/>
      <c r="M33" s="334"/>
      <c r="N33" s="334"/>
      <c r="O33" s="334"/>
      <c r="P33" s="334"/>
      <c r="Q33" s="334"/>
      <c r="R33" s="334"/>
      <c r="S33" s="334"/>
      <c r="T33" s="334"/>
      <c r="U33" s="683"/>
      <c r="V33" s="682"/>
      <c r="W33" s="684"/>
      <c r="X33" s="685"/>
      <c r="Y33" s="333"/>
      <c r="Z33" s="334"/>
      <c r="AA33" s="334"/>
      <c r="AB33" s="334"/>
      <c r="AC33" s="335"/>
      <c r="AD33" s="580"/>
      <c r="AE33" s="581"/>
      <c r="AF33" s="580"/>
      <c r="AG33" s="581"/>
      <c r="AH33" s="333"/>
      <c r="AI33" s="334"/>
      <c r="AJ33" s="334"/>
      <c r="AK33" s="334"/>
      <c r="AL33" s="334"/>
      <c r="AM33" s="334"/>
      <c r="AN33" s="334"/>
      <c r="AO33" s="334"/>
      <c r="AP33" s="334"/>
      <c r="AQ33" s="334"/>
      <c r="AR33" s="334"/>
      <c r="AS33" s="334"/>
      <c r="AT33" s="334"/>
      <c r="AU33" s="334"/>
      <c r="AV33" s="334"/>
      <c r="AW33" s="334"/>
      <c r="AX33" s="334"/>
      <c r="AY33" s="334"/>
      <c r="AZ33" s="334"/>
      <c r="BA33" s="335"/>
      <c r="BB33" s="334"/>
      <c r="BC33" s="334"/>
      <c r="BD33" s="334"/>
      <c r="BE33" s="334"/>
      <c r="BF33" s="334"/>
      <c r="BG33" s="43"/>
      <c r="BK33" s="120"/>
      <c r="BL33" s="52"/>
    </row>
    <row r="34" spans="1:64" ht="16.2" thickBot="1">
      <c r="A34" s="608"/>
      <c r="B34" s="608"/>
      <c r="C34" s="608"/>
      <c r="D34" s="608"/>
      <c r="E34" s="608"/>
      <c r="F34" s="608"/>
      <c r="G34" s="608"/>
      <c r="H34" s="608"/>
      <c r="I34" s="608"/>
      <c r="J34" s="608"/>
      <c r="K34" s="609"/>
      <c r="L34" s="608"/>
      <c r="M34" s="608"/>
      <c r="N34" s="608"/>
      <c r="O34" s="608"/>
      <c r="P34" s="608"/>
      <c r="Q34" s="608"/>
      <c r="R34" s="608"/>
      <c r="S34" s="608"/>
      <c r="T34" s="608"/>
      <c r="U34" s="677"/>
      <c r="V34" s="678"/>
      <c r="W34" s="677"/>
      <c r="X34" s="678"/>
      <c r="Y34" s="768"/>
      <c r="Z34" s="769"/>
      <c r="AA34" s="769"/>
      <c r="AB34" s="769"/>
      <c r="AC34" s="770"/>
      <c r="AD34" s="679"/>
      <c r="AE34" s="680"/>
      <c r="AF34" s="679"/>
      <c r="AG34" s="680"/>
      <c r="AH34" s="607"/>
      <c r="AI34" s="608"/>
      <c r="AJ34" s="608"/>
      <c r="AK34" s="608"/>
      <c r="AL34" s="608"/>
      <c r="AM34" s="608"/>
      <c r="AN34" s="608"/>
      <c r="AO34" s="608"/>
      <c r="AP34" s="608"/>
      <c r="AQ34" s="608"/>
      <c r="AR34" s="608"/>
      <c r="AS34" s="608"/>
      <c r="AT34" s="608"/>
      <c r="AU34" s="608"/>
      <c r="AV34" s="608"/>
      <c r="AW34" s="608"/>
      <c r="AX34" s="608"/>
      <c r="AY34" s="608"/>
      <c r="AZ34" s="608"/>
      <c r="BA34" s="609"/>
      <c r="BK34" s="120"/>
      <c r="BL34" s="52"/>
    </row>
    <row r="35" spans="1:64">
      <c r="BK35" s="120"/>
      <c r="BL35" s="52"/>
    </row>
    <row r="36" spans="1:64">
      <c r="BK36" s="101"/>
      <c r="BL36" s="51"/>
    </row>
    <row r="37" spans="1:64">
      <c r="BK37" s="51"/>
      <c r="BL37" s="51"/>
    </row>
    <row r="38" spans="1:64">
      <c r="BK38" s="51"/>
      <c r="BL38" s="51"/>
    </row>
    <row r="39" spans="1:64">
      <c r="BK39" s="51"/>
      <c r="BL39" s="51"/>
    </row>
    <row r="40" spans="1:64">
      <c r="BK40" s="51"/>
      <c r="BL40" s="51"/>
    </row>
    <row r="41" spans="1:64">
      <c r="BK41" s="51"/>
      <c r="BL41" s="51"/>
    </row>
    <row r="42" spans="1:64">
      <c r="BK42" s="51"/>
      <c r="BL42" s="51"/>
    </row>
    <row r="43" spans="1:64">
      <c r="BK43" s="51"/>
      <c r="BL43" s="51"/>
    </row>
    <row r="44" spans="1:64">
      <c r="BK44" s="51"/>
      <c r="BL44" s="51"/>
    </row>
    <row r="45" spans="1:64">
      <c r="BK45" s="51"/>
      <c r="BL45" s="51"/>
    </row>
    <row r="46" spans="1:64">
      <c r="BK46" s="51"/>
      <c r="BL46" s="51"/>
    </row>
  </sheetData>
  <mergeCells count="142">
    <mergeCell ref="AD22:AE22"/>
    <mergeCell ref="AD23:AE23"/>
    <mergeCell ref="AF22:AG22"/>
    <mergeCell ref="AF23:AG23"/>
    <mergeCell ref="A22:B22"/>
    <mergeCell ref="A23:B23"/>
    <mergeCell ref="U22:V22"/>
    <mergeCell ref="U23:V23"/>
    <mergeCell ref="W22:X22"/>
    <mergeCell ref="W23:X23"/>
    <mergeCell ref="U34:V34"/>
    <mergeCell ref="W34:X34"/>
    <mergeCell ref="Y34:AC34"/>
    <mergeCell ref="AD34:AE34"/>
    <mergeCell ref="AF34:AG34"/>
    <mergeCell ref="A32:B32"/>
    <mergeCell ref="U32:V32"/>
    <mergeCell ref="W32:X32"/>
    <mergeCell ref="AD32:AE32"/>
    <mergeCell ref="AF32:AG32"/>
    <mergeCell ref="A33:B33"/>
    <mergeCell ref="U33:V33"/>
    <mergeCell ref="W33:X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A8:B8"/>
    <mergeCell ref="U8:V8"/>
    <mergeCell ref="W8:X8"/>
    <mergeCell ref="AD8:AE8"/>
    <mergeCell ref="AF8:AG8"/>
    <mergeCell ref="A9:B9"/>
    <mergeCell ref="U9:V9"/>
    <mergeCell ref="W9:X9"/>
    <mergeCell ref="AD9:AE9"/>
    <mergeCell ref="AF9:AG9"/>
    <mergeCell ref="G1:T1"/>
    <mergeCell ref="U1:AO2"/>
    <mergeCell ref="BB1:BG1"/>
    <mergeCell ref="G2:T2"/>
    <mergeCell ref="BB2:BG2"/>
    <mergeCell ref="A6:B7"/>
    <mergeCell ref="C6:K7"/>
    <mergeCell ref="L6:T7"/>
    <mergeCell ref="BB6:BG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BM81"/>
  <sheetViews>
    <sheetView topLeftCell="A7" zoomScale="85" zoomScaleNormal="85" workbookViewId="0">
      <selection activeCell="BK33" sqref="BK33"/>
    </sheetView>
  </sheetViews>
  <sheetFormatPr defaultColWidth="9" defaultRowHeight="15.6"/>
  <cols>
    <col min="1" max="2" width="2.6640625" style="17" customWidth="1"/>
    <col min="3" max="3" width="2.6640625" style="60" customWidth="1"/>
    <col min="4" max="11" width="2.6640625" style="17" customWidth="1"/>
    <col min="12" max="12" width="2.77734375" style="17" customWidth="1"/>
    <col min="13" max="29" width="2.6640625" style="17" customWidth="1"/>
    <col min="30" max="30" width="7.33203125" style="295" customWidth="1"/>
    <col min="31" max="33" width="2.6640625" style="295" customWidth="1"/>
    <col min="34" max="53" width="2.6640625" style="17" customWidth="1"/>
    <col min="54" max="59" width="2.6640625" style="17" hidden="1" customWidth="1"/>
    <col min="60" max="61" width="2.6640625" style="17" customWidth="1"/>
    <col min="62" max="62" width="2" style="17" customWidth="1"/>
    <col min="63" max="63" width="18.44140625" style="17" customWidth="1"/>
    <col min="64" max="64" width="21.33203125" style="17" customWidth="1"/>
    <col min="65" max="16384" width="9" style="17"/>
  </cols>
  <sheetData>
    <row r="1" spans="1:65" ht="16.2" thickBot="1">
      <c r="A1" s="2" t="s">
        <v>6</v>
      </c>
      <c r="B1" s="11"/>
      <c r="C1" s="53"/>
      <c r="D1" s="11"/>
      <c r="E1" s="11"/>
      <c r="F1" s="12"/>
      <c r="G1" s="705" t="s">
        <v>25</v>
      </c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7"/>
      <c r="U1" s="708" t="s">
        <v>7</v>
      </c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10"/>
      <c r="AP1" s="13" t="s">
        <v>0</v>
      </c>
      <c r="AQ1" s="14"/>
      <c r="AR1" s="15"/>
      <c r="AS1" s="632"/>
      <c r="AT1" s="633"/>
      <c r="AU1" s="633"/>
      <c r="AV1" s="633"/>
      <c r="AW1" s="633"/>
      <c r="AX1" s="634"/>
      <c r="AY1" s="16" t="s">
        <v>1</v>
      </c>
      <c r="AZ1" s="11"/>
      <c r="BA1" s="12"/>
      <c r="BB1" s="717"/>
      <c r="BC1" s="718"/>
      <c r="BD1" s="718"/>
      <c r="BE1" s="718"/>
      <c r="BF1" s="718"/>
      <c r="BG1" s="719"/>
    </row>
    <row r="2" spans="1:65" ht="16.2" thickBot="1">
      <c r="A2" s="18" t="s">
        <v>8</v>
      </c>
      <c r="B2" s="19"/>
      <c r="C2" s="54"/>
      <c r="D2" s="19"/>
      <c r="E2" s="19"/>
      <c r="F2" s="20"/>
      <c r="G2" s="705" t="s">
        <v>26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7"/>
      <c r="U2" s="711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2"/>
      <c r="AK2" s="712"/>
      <c r="AL2" s="712"/>
      <c r="AM2" s="712"/>
      <c r="AN2" s="712"/>
      <c r="AO2" s="713"/>
      <c r="AP2" s="21" t="s">
        <v>2</v>
      </c>
      <c r="AQ2" s="19"/>
      <c r="AR2" s="22"/>
      <c r="AS2" s="635"/>
      <c r="AT2" s="636"/>
      <c r="AU2" s="636"/>
      <c r="AV2" s="636"/>
      <c r="AW2" s="636"/>
      <c r="AX2" s="637"/>
      <c r="AY2" s="21" t="s">
        <v>3</v>
      </c>
      <c r="AZ2" s="19"/>
      <c r="BA2" s="20"/>
      <c r="BB2" s="723"/>
      <c r="BC2" s="721"/>
      <c r="BD2" s="721"/>
      <c r="BE2" s="721"/>
      <c r="BF2" s="721"/>
      <c r="BG2" s="724"/>
    </row>
    <row r="3" spans="1:65" ht="16.2" thickBot="1">
      <c r="A3" s="334"/>
      <c r="B3" s="334"/>
      <c r="C3" s="55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613"/>
      <c r="AE3" s="613"/>
      <c r="AF3" s="613"/>
      <c r="AG3" s="613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</row>
    <row r="4" spans="1:65" ht="16.2" thickBot="1">
      <c r="A4" s="24" t="s">
        <v>5</v>
      </c>
      <c r="B4" s="25"/>
      <c r="C4" s="56"/>
      <c r="D4" s="25"/>
      <c r="E4" s="25"/>
      <c r="F4" s="25"/>
      <c r="G4" s="26"/>
      <c r="H4" s="5" t="s">
        <v>1896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U4" s="29" t="s">
        <v>4</v>
      </c>
      <c r="V4" s="25"/>
      <c r="W4" s="25"/>
      <c r="X4" s="25"/>
      <c r="Y4" s="25"/>
      <c r="Z4" s="26"/>
      <c r="AA4" s="6" t="s">
        <v>1895</v>
      </c>
      <c r="AB4" s="27"/>
      <c r="AC4" s="27"/>
      <c r="AD4" s="62"/>
      <c r="AE4" s="62"/>
      <c r="AF4" s="62"/>
      <c r="AG4" s="62"/>
      <c r="AH4" s="27"/>
      <c r="AI4" s="27"/>
      <c r="AJ4" s="27"/>
      <c r="AK4" s="27"/>
      <c r="AL4" s="27"/>
      <c r="AM4" s="27"/>
      <c r="AN4" s="27"/>
      <c r="AO4" s="30" t="s">
        <v>20</v>
      </c>
      <c r="AP4" s="31"/>
      <c r="AQ4" s="32"/>
      <c r="AR4" s="8" t="s">
        <v>23</v>
      </c>
      <c r="AS4" s="33"/>
      <c r="AT4" s="34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5"/>
      <c r="BK4" s="3" t="s">
        <v>1799</v>
      </c>
    </row>
    <row r="5" spans="1:65" ht="16.2" thickBot="1">
      <c r="A5" s="27"/>
      <c r="B5" s="27"/>
      <c r="C5" s="57"/>
      <c r="D5" s="27"/>
      <c r="E5" s="27"/>
      <c r="F5" s="27"/>
      <c r="G5" s="27"/>
      <c r="H5" s="5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62"/>
      <c r="AE5" s="62"/>
      <c r="AF5" s="62"/>
      <c r="AG5" s="62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K5" s="353" t="s">
        <v>1277</v>
      </c>
      <c r="BL5" s="353" t="s">
        <v>812</v>
      </c>
    </row>
    <row r="6" spans="1:65" ht="14.25" customHeight="1">
      <c r="A6" s="734" t="s">
        <v>21</v>
      </c>
      <c r="B6" s="701"/>
      <c r="C6" s="736" t="s">
        <v>9</v>
      </c>
      <c r="D6" s="737"/>
      <c r="E6" s="737"/>
      <c r="F6" s="737"/>
      <c r="G6" s="737"/>
      <c r="H6" s="737"/>
      <c r="I6" s="737"/>
      <c r="J6" s="737"/>
      <c r="K6" s="738"/>
      <c r="L6" s="699" t="s">
        <v>10</v>
      </c>
      <c r="M6" s="700"/>
      <c r="N6" s="700"/>
      <c r="O6" s="700"/>
      <c r="P6" s="700"/>
      <c r="Q6" s="700"/>
      <c r="R6" s="700"/>
      <c r="S6" s="700"/>
      <c r="T6" s="701"/>
      <c r="U6" s="616" t="s">
        <v>19</v>
      </c>
      <c r="V6" s="614"/>
      <c r="W6" s="620" t="s">
        <v>22</v>
      </c>
      <c r="X6" s="621"/>
      <c r="Y6" s="616" t="s">
        <v>11</v>
      </c>
      <c r="Z6" s="617"/>
      <c r="AA6" s="617"/>
      <c r="AB6" s="617"/>
      <c r="AC6" s="614"/>
      <c r="AD6" s="624" t="s">
        <v>12</v>
      </c>
      <c r="AE6" s="625"/>
      <c r="AF6" s="628" t="s">
        <v>13</v>
      </c>
      <c r="AG6" s="629"/>
      <c r="AH6" s="616" t="s">
        <v>14</v>
      </c>
      <c r="AI6" s="617"/>
      <c r="AJ6" s="617"/>
      <c r="AK6" s="617"/>
      <c r="AL6" s="617"/>
      <c r="AM6" s="617"/>
      <c r="AN6" s="617"/>
      <c r="AO6" s="617"/>
      <c r="AP6" s="617"/>
      <c r="AQ6" s="617"/>
      <c r="AR6" s="617"/>
      <c r="AS6" s="617"/>
      <c r="AT6" s="617"/>
      <c r="AU6" s="617"/>
      <c r="AV6" s="617"/>
      <c r="AW6" s="617"/>
      <c r="AX6" s="617"/>
      <c r="AY6" s="617"/>
      <c r="AZ6" s="617"/>
      <c r="BA6" s="614"/>
      <c r="BB6" s="699" t="s">
        <v>15</v>
      </c>
      <c r="BC6" s="700"/>
      <c r="BD6" s="700"/>
      <c r="BE6" s="700"/>
      <c r="BF6" s="700"/>
      <c r="BG6" s="725"/>
      <c r="BK6" s="3" t="s">
        <v>58</v>
      </c>
      <c r="BL6" s="3"/>
    </row>
    <row r="7" spans="1:65" ht="16.2" thickBot="1">
      <c r="A7" s="735"/>
      <c r="B7" s="704"/>
      <c r="C7" s="739"/>
      <c r="D7" s="740"/>
      <c r="E7" s="740"/>
      <c r="F7" s="740"/>
      <c r="G7" s="740"/>
      <c r="H7" s="740"/>
      <c r="I7" s="740"/>
      <c r="J7" s="740"/>
      <c r="K7" s="741"/>
      <c r="L7" s="702"/>
      <c r="M7" s="703"/>
      <c r="N7" s="703"/>
      <c r="O7" s="703"/>
      <c r="P7" s="703"/>
      <c r="Q7" s="703"/>
      <c r="R7" s="703"/>
      <c r="S7" s="703"/>
      <c r="T7" s="704"/>
      <c r="U7" s="618"/>
      <c r="V7" s="615"/>
      <c r="W7" s="622"/>
      <c r="X7" s="623"/>
      <c r="Y7" s="618"/>
      <c r="Z7" s="619"/>
      <c r="AA7" s="619"/>
      <c r="AB7" s="619"/>
      <c r="AC7" s="615"/>
      <c r="AD7" s="626"/>
      <c r="AE7" s="627"/>
      <c r="AF7" s="630"/>
      <c r="AG7" s="631"/>
      <c r="AH7" s="618"/>
      <c r="AI7" s="619"/>
      <c r="AJ7" s="619"/>
      <c r="AK7" s="619"/>
      <c r="AL7" s="619"/>
      <c r="AM7" s="619"/>
      <c r="AN7" s="619"/>
      <c r="AO7" s="619"/>
      <c r="AP7" s="619"/>
      <c r="AQ7" s="619"/>
      <c r="AR7" s="619"/>
      <c r="AS7" s="619"/>
      <c r="AT7" s="619"/>
      <c r="AU7" s="619"/>
      <c r="AV7" s="619"/>
      <c r="AW7" s="619"/>
      <c r="AX7" s="619"/>
      <c r="AY7" s="619"/>
      <c r="AZ7" s="619"/>
      <c r="BA7" s="615"/>
      <c r="BB7" s="702"/>
      <c r="BC7" s="703"/>
      <c r="BD7" s="703"/>
      <c r="BE7" s="703"/>
      <c r="BF7" s="703"/>
      <c r="BG7" s="726"/>
      <c r="BK7" s="50" t="s">
        <v>56</v>
      </c>
      <c r="BL7" s="50" t="s">
        <v>57</v>
      </c>
    </row>
    <row r="8" spans="1:65" ht="16.2" thickTop="1">
      <c r="A8" s="771">
        <v>1</v>
      </c>
      <c r="B8" s="772"/>
      <c r="C8" s="649" t="s">
        <v>1854</v>
      </c>
      <c r="D8" s="650"/>
      <c r="E8" s="650"/>
      <c r="F8" s="650"/>
      <c r="G8" s="650"/>
      <c r="H8" s="650"/>
      <c r="I8" s="650"/>
      <c r="J8" s="650"/>
      <c r="K8" s="459"/>
      <c r="L8" s="650" t="s">
        <v>1853</v>
      </c>
      <c r="M8" s="650"/>
      <c r="N8" s="650"/>
      <c r="O8" s="650"/>
      <c r="P8" s="650"/>
      <c r="Q8" s="650"/>
      <c r="R8" s="650"/>
      <c r="S8" s="650"/>
      <c r="T8" s="650"/>
      <c r="U8" s="794" t="s">
        <v>1556</v>
      </c>
      <c r="V8" s="795"/>
      <c r="W8" s="796"/>
      <c r="X8" s="797"/>
      <c r="Y8" s="647" t="s">
        <v>199</v>
      </c>
      <c r="Z8" s="650"/>
      <c r="AA8" s="650"/>
      <c r="AB8" s="650"/>
      <c r="AC8" s="459"/>
      <c r="AD8" s="798">
        <v>32</v>
      </c>
      <c r="AE8" s="799"/>
      <c r="AF8" s="781"/>
      <c r="AG8" s="782"/>
      <c r="AH8" s="640"/>
      <c r="AI8" s="331"/>
      <c r="AJ8" s="331"/>
      <c r="AK8" s="331"/>
      <c r="AL8" s="331"/>
      <c r="AM8" s="570"/>
      <c r="AN8" s="570"/>
      <c r="AO8" s="570"/>
      <c r="AP8" s="570"/>
      <c r="AQ8" s="570"/>
      <c r="AR8" s="570"/>
      <c r="AS8" s="570"/>
      <c r="AT8" s="570"/>
      <c r="AU8" s="38"/>
      <c r="AV8" s="38"/>
      <c r="AW8" s="38"/>
      <c r="AX8" s="38"/>
      <c r="AY8" s="38"/>
      <c r="AZ8" s="38"/>
      <c r="BA8" s="39"/>
      <c r="BB8" s="38"/>
      <c r="BC8" s="38"/>
      <c r="BD8" s="38"/>
      <c r="BE8" s="38"/>
      <c r="BF8" s="38"/>
      <c r="BG8" s="40"/>
      <c r="BK8" s="121"/>
      <c r="BL8" s="52"/>
    </row>
    <row r="9" spans="1:65">
      <c r="A9" s="771">
        <v>2</v>
      </c>
      <c r="B9" s="772"/>
      <c r="C9" s="649" t="s">
        <v>1856</v>
      </c>
      <c r="D9" s="650"/>
      <c r="E9" s="650"/>
      <c r="F9" s="650"/>
      <c r="G9" s="650"/>
      <c r="H9" s="650"/>
      <c r="I9" s="650"/>
      <c r="J9" s="650"/>
      <c r="K9" s="459"/>
      <c r="L9" s="650" t="s">
        <v>1855</v>
      </c>
      <c r="M9" s="650"/>
      <c r="N9" s="650"/>
      <c r="O9" s="650"/>
      <c r="P9" s="650"/>
      <c r="Q9" s="650"/>
      <c r="R9" s="650"/>
      <c r="S9" s="650"/>
      <c r="T9" s="650"/>
      <c r="U9" s="794"/>
      <c r="V9" s="795"/>
      <c r="W9" s="796"/>
      <c r="X9" s="797"/>
      <c r="Y9" s="647" t="s">
        <v>16</v>
      </c>
      <c r="Z9" s="650"/>
      <c r="AA9" s="650"/>
      <c r="AB9" s="650"/>
      <c r="AC9" s="459"/>
      <c r="AD9" s="798">
        <v>200</v>
      </c>
      <c r="AE9" s="799"/>
      <c r="AF9" s="781"/>
      <c r="AG9" s="782"/>
      <c r="AH9" s="640"/>
      <c r="AI9" s="331"/>
      <c r="AJ9" s="331"/>
      <c r="AK9" s="248" t="s">
        <v>1807</v>
      </c>
      <c r="AL9" s="248"/>
      <c r="AM9" s="248"/>
      <c r="AN9" s="248"/>
      <c r="AO9" s="248"/>
      <c r="AP9" s="248"/>
      <c r="AQ9" s="248"/>
      <c r="AR9" s="248"/>
      <c r="AS9" s="248"/>
      <c r="AT9" s="248"/>
      <c r="AU9" s="248"/>
      <c r="AV9" s="248"/>
      <c r="AW9" s="248"/>
      <c r="AX9" s="248"/>
      <c r="AY9" s="248"/>
      <c r="AZ9" s="248"/>
      <c r="BA9" s="249"/>
      <c r="BB9" s="334"/>
      <c r="BC9" s="334"/>
      <c r="BD9" s="334"/>
      <c r="BE9" s="334"/>
      <c r="BF9" s="334"/>
      <c r="BG9" s="43"/>
      <c r="BH9" s="36"/>
      <c r="BK9" s="120"/>
      <c r="BL9" s="52"/>
    </row>
    <row r="10" spans="1:65">
      <c r="A10" s="771">
        <v>3</v>
      </c>
      <c r="B10" s="772"/>
      <c r="C10" s="651" t="s">
        <v>1857</v>
      </c>
      <c r="D10" s="645"/>
      <c r="E10" s="645"/>
      <c r="F10" s="645"/>
      <c r="G10" s="645"/>
      <c r="H10" s="645"/>
      <c r="I10" s="645"/>
      <c r="J10" s="645"/>
      <c r="K10" s="646"/>
      <c r="L10" s="645" t="s">
        <v>1793</v>
      </c>
      <c r="M10" s="645"/>
      <c r="N10" s="645"/>
      <c r="O10" s="645"/>
      <c r="P10" s="645"/>
      <c r="Q10" s="645"/>
      <c r="R10" s="645"/>
      <c r="S10" s="645"/>
      <c r="T10" s="645"/>
      <c r="U10" s="794"/>
      <c r="V10" s="795"/>
      <c r="W10" s="796"/>
      <c r="X10" s="797"/>
      <c r="Y10" s="644" t="s">
        <v>199</v>
      </c>
      <c r="Z10" s="645"/>
      <c r="AA10" s="645"/>
      <c r="AB10" s="645"/>
      <c r="AC10" s="646"/>
      <c r="AD10" s="798">
        <v>32</v>
      </c>
      <c r="AE10" s="799"/>
      <c r="AF10" s="788"/>
      <c r="AG10" s="789"/>
      <c r="AH10" s="642"/>
      <c r="AI10" s="576"/>
      <c r="AJ10" s="331"/>
      <c r="AK10" s="248" t="s">
        <v>1808</v>
      </c>
      <c r="AL10" s="331"/>
      <c r="AM10" s="331"/>
      <c r="AN10" s="331"/>
      <c r="AO10" s="331"/>
      <c r="AP10" s="331"/>
      <c r="AQ10" s="331"/>
      <c r="AR10" s="331"/>
      <c r="AS10" s="331"/>
      <c r="AT10" s="331"/>
      <c r="AU10" s="334"/>
      <c r="AV10" s="334"/>
      <c r="AW10" s="334"/>
      <c r="AX10" s="334"/>
      <c r="AY10" s="334"/>
      <c r="AZ10" s="334"/>
      <c r="BA10" s="335"/>
      <c r="BB10" s="334"/>
      <c r="BC10" s="334"/>
      <c r="BD10" s="334"/>
      <c r="BE10" s="334"/>
      <c r="BF10" s="334"/>
      <c r="BG10" s="43"/>
      <c r="BK10" s="120"/>
      <c r="BL10" s="52"/>
    </row>
    <row r="11" spans="1:65">
      <c r="A11" s="771">
        <v>4</v>
      </c>
      <c r="B11" s="772"/>
      <c r="C11" s="644" t="s">
        <v>1858</v>
      </c>
      <c r="D11" s="645"/>
      <c r="E11" s="645"/>
      <c r="F11" s="645"/>
      <c r="G11" s="645"/>
      <c r="H11" s="645"/>
      <c r="I11" s="645"/>
      <c r="J11" s="645"/>
      <c r="K11" s="646"/>
      <c r="L11" s="645" t="s">
        <v>1897</v>
      </c>
      <c r="M11" s="645"/>
      <c r="N11" s="645"/>
      <c r="O11" s="645"/>
      <c r="P11" s="645"/>
      <c r="Q11" s="645"/>
      <c r="R11" s="645"/>
      <c r="S11" s="645"/>
      <c r="T11" s="645"/>
      <c r="U11" s="794"/>
      <c r="V11" s="795"/>
      <c r="W11" s="800"/>
      <c r="X11" s="801"/>
      <c r="Y11" s="644" t="s">
        <v>1798</v>
      </c>
      <c r="Z11" s="645"/>
      <c r="AA11" s="645"/>
      <c r="AB11" s="645"/>
      <c r="AC11" s="645"/>
      <c r="AD11" s="798">
        <v>1000</v>
      </c>
      <c r="AE11" s="799"/>
      <c r="AF11" s="788"/>
      <c r="AG11" s="789"/>
      <c r="AH11" s="642"/>
      <c r="AI11" s="331"/>
      <c r="AJ11" s="331"/>
      <c r="AK11" s="248" t="s">
        <v>1898</v>
      </c>
      <c r="AL11" s="248"/>
      <c r="AM11" s="248"/>
      <c r="AN11" s="248"/>
      <c r="AO11" s="248"/>
      <c r="AP11" s="248"/>
      <c r="AQ11" s="248"/>
      <c r="AR11" s="248"/>
      <c r="AS11" s="248"/>
      <c r="AT11" s="331"/>
      <c r="AU11" s="334"/>
      <c r="AV11" s="334"/>
      <c r="AW11" s="334"/>
      <c r="AX11" s="334"/>
      <c r="AY11" s="334"/>
      <c r="AZ11" s="334"/>
      <c r="BA11" s="335"/>
      <c r="BB11" s="334"/>
      <c r="BC11" s="334"/>
      <c r="BD11" s="334"/>
      <c r="BE11" s="334"/>
      <c r="BF11" s="334"/>
      <c r="BG11" s="43"/>
      <c r="BK11" s="120"/>
      <c r="BL11" s="52"/>
      <c r="BM11" s="3"/>
    </row>
    <row r="12" spans="1:65">
      <c r="A12" s="771">
        <v>5</v>
      </c>
      <c r="B12" s="772"/>
      <c r="C12" s="644" t="s">
        <v>1860</v>
      </c>
      <c r="D12" s="645"/>
      <c r="E12" s="645"/>
      <c r="F12" s="645"/>
      <c r="G12" s="645"/>
      <c r="H12" s="645"/>
      <c r="I12" s="645"/>
      <c r="J12" s="645"/>
      <c r="K12" s="646"/>
      <c r="L12" s="645" t="s">
        <v>1859</v>
      </c>
      <c r="M12" s="645"/>
      <c r="N12" s="645"/>
      <c r="O12" s="645"/>
      <c r="P12" s="645"/>
      <c r="Q12" s="645"/>
      <c r="R12" s="645"/>
      <c r="S12" s="645"/>
      <c r="T12" s="645"/>
      <c r="U12" s="794"/>
      <c r="V12" s="795"/>
      <c r="W12" s="800"/>
      <c r="X12" s="801"/>
      <c r="Y12" s="644" t="s">
        <v>1800</v>
      </c>
      <c r="Z12" s="645"/>
      <c r="AA12" s="645"/>
      <c r="AB12" s="645"/>
      <c r="AC12" s="645"/>
      <c r="AD12" s="798">
        <v>1000</v>
      </c>
      <c r="AE12" s="799"/>
      <c r="AF12" s="788"/>
      <c r="AG12" s="789"/>
      <c r="AH12" s="642"/>
      <c r="AI12" s="331"/>
      <c r="AJ12" s="331"/>
      <c r="AK12" s="248" t="s">
        <v>1809</v>
      </c>
      <c r="AL12" s="248"/>
      <c r="AM12" s="248"/>
      <c r="AN12" s="248"/>
      <c r="AO12" s="248"/>
      <c r="AP12" s="248"/>
      <c r="AQ12" s="248"/>
      <c r="AR12" s="248"/>
      <c r="AS12" s="248"/>
      <c r="AT12" s="248"/>
      <c r="AU12" s="248"/>
      <c r="AV12" s="248"/>
      <c r="AW12" s="248"/>
      <c r="AX12" s="248"/>
      <c r="AY12" s="334"/>
      <c r="AZ12" s="334"/>
      <c r="BA12" s="335"/>
      <c r="BB12" s="334"/>
      <c r="BC12" s="334"/>
      <c r="BD12" s="334"/>
      <c r="BE12" s="334"/>
      <c r="BF12" s="334"/>
      <c r="BG12" s="43"/>
      <c r="BK12" s="120"/>
      <c r="BL12" s="52"/>
    </row>
    <row r="13" spans="1:65">
      <c r="A13" s="771">
        <v>6</v>
      </c>
      <c r="B13" s="772"/>
      <c r="C13" s="644" t="s">
        <v>1862</v>
      </c>
      <c r="D13" s="645"/>
      <c r="E13" s="645"/>
      <c r="F13" s="645"/>
      <c r="G13" s="645"/>
      <c r="H13" s="645"/>
      <c r="I13" s="645"/>
      <c r="J13" s="645"/>
      <c r="K13" s="646"/>
      <c r="L13" s="645" t="s">
        <v>1861</v>
      </c>
      <c r="M13" s="645"/>
      <c r="N13" s="645"/>
      <c r="O13" s="645"/>
      <c r="P13" s="645"/>
      <c r="Q13" s="645"/>
      <c r="R13" s="645"/>
      <c r="S13" s="645"/>
      <c r="T13" s="645"/>
      <c r="U13" s="794"/>
      <c r="V13" s="795"/>
      <c r="W13" s="800"/>
      <c r="X13" s="801"/>
      <c r="Y13" s="644" t="s">
        <v>1620</v>
      </c>
      <c r="Z13" s="645"/>
      <c r="AA13" s="645"/>
      <c r="AB13" s="645"/>
      <c r="AC13" s="645"/>
      <c r="AD13" s="798">
        <v>2</v>
      </c>
      <c r="AE13" s="799"/>
      <c r="AF13" s="788"/>
      <c r="AG13" s="789"/>
      <c r="AH13" s="642" t="s">
        <v>1796</v>
      </c>
      <c r="AI13" s="331"/>
      <c r="AJ13" s="331"/>
      <c r="AK13" s="331"/>
      <c r="AL13" s="331"/>
      <c r="AM13" s="331"/>
      <c r="AN13" s="331"/>
      <c r="AO13" s="331"/>
      <c r="AP13" s="331"/>
      <c r="AQ13" s="331"/>
      <c r="AR13" s="331"/>
      <c r="AS13" s="331"/>
      <c r="AT13" s="331"/>
      <c r="AU13" s="334"/>
      <c r="AV13" s="334"/>
      <c r="AW13" s="334"/>
      <c r="AX13" s="334"/>
      <c r="AY13" s="334"/>
      <c r="AZ13" s="334"/>
      <c r="BA13" s="335"/>
      <c r="BB13" s="334"/>
      <c r="BC13" s="334"/>
      <c r="BD13" s="334"/>
      <c r="BE13" s="334"/>
      <c r="BF13" s="334"/>
      <c r="BG13" s="43"/>
      <c r="BK13" s="120"/>
      <c r="BL13" s="52"/>
    </row>
    <row r="14" spans="1:65">
      <c r="A14" s="771">
        <v>7</v>
      </c>
      <c r="B14" s="772"/>
      <c r="C14" s="644" t="s">
        <v>1806</v>
      </c>
      <c r="D14" s="645"/>
      <c r="E14" s="645"/>
      <c r="F14" s="645"/>
      <c r="G14" s="645"/>
      <c r="H14" s="645"/>
      <c r="I14" s="645"/>
      <c r="J14" s="645"/>
      <c r="K14" s="646"/>
      <c r="L14" s="645" t="s">
        <v>1863</v>
      </c>
      <c r="M14" s="645"/>
      <c r="N14" s="645"/>
      <c r="O14" s="645"/>
      <c r="P14" s="645"/>
      <c r="Q14" s="645"/>
      <c r="R14" s="645"/>
      <c r="S14" s="645"/>
      <c r="T14" s="645"/>
      <c r="U14" s="652"/>
      <c r="V14" s="653"/>
      <c r="W14" s="654"/>
      <c r="X14" s="655"/>
      <c r="Y14" s="644" t="s">
        <v>1804</v>
      </c>
      <c r="Z14" s="645"/>
      <c r="AA14" s="645"/>
      <c r="AB14" s="645"/>
      <c r="AC14" s="645"/>
      <c r="AD14" s="798">
        <v>2</v>
      </c>
      <c r="AE14" s="799"/>
      <c r="AF14" s="692"/>
      <c r="AG14" s="693"/>
      <c r="AH14" s="642" t="s">
        <v>1805</v>
      </c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31"/>
      <c r="AT14" s="331"/>
      <c r="AU14" s="334"/>
      <c r="AV14" s="334"/>
      <c r="AW14" s="334"/>
      <c r="AX14" s="334"/>
      <c r="AY14" s="334"/>
      <c r="AZ14" s="334"/>
      <c r="BA14" s="335"/>
      <c r="BB14" s="334"/>
      <c r="BC14" s="334"/>
      <c r="BD14" s="334"/>
      <c r="BE14" s="334"/>
      <c r="BF14" s="334"/>
      <c r="BG14" s="43"/>
      <c r="BK14" s="656"/>
      <c r="BL14" s="657"/>
    </row>
    <row r="15" spans="1:65">
      <c r="A15" s="771">
        <v>8</v>
      </c>
      <c r="B15" s="772"/>
      <c r="C15" s="575" t="s">
        <v>1865</v>
      </c>
      <c r="D15" s="573"/>
      <c r="E15" s="573"/>
      <c r="F15" s="573"/>
      <c r="G15" s="573"/>
      <c r="H15" s="573"/>
      <c r="I15" s="573"/>
      <c r="J15" s="573"/>
      <c r="K15" s="643"/>
      <c r="L15" s="573" t="s">
        <v>1864</v>
      </c>
      <c r="M15" s="573"/>
      <c r="N15" s="573"/>
      <c r="O15" s="573"/>
      <c r="P15" s="573"/>
      <c r="Q15" s="573"/>
      <c r="R15" s="573"/>
      <c r="S15" s="573"/>
      <c r="T15" s="573"/>
      <c r="U15" s="692"/>
      <c r="V15" s="693"/>
      <c r="W15" s="694"/>
      <c r="X15" s="695"/>
      <c r="Y15" s="575" t="s">
        <v>1797</v>
      </c>
      <c r="Z15" s="573"/>
      <c r="AA15" s="573"/>
      <c r="AB15" s="573"/>
      <c r="AC15" s="573"/>
      <c r="AD15" s="788">
        <v>64</v>
      </c>
      <c r="AE15" s="789"/>
      <c r="AF15" s="788"/>
      <c r="AG15" s="789"/>
      <c r="AH15" s="642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4"/>
      <c r="AV15" s="334"/>
      <c r="AW15" s="334"/>
      <c r="AX15" s="334"/>
      <c r="AY15" s="334"/>
      <c r="AZ15" s="334"/>
      <c r="BA15" s="335"/>
      <c r="BB15" s="334"/>
      <c r="BC15" s="334"/>
      <c r="BD15" s="334"/>
      <c r="BE15" s="334"/>
      <c r="BF15" s="334"/>
      <c r="BG15" s="43"/>
      <c r="BI15" s="341"/>
      <c r="BJ15" s="341"/>
      <c r="BK15" s="248" t="s">
        <v>1903</v>
      </c>
      <c r="BL15" s="658"/>
      <c r="BM15" s="3"/>
    </row>
    <row r="16" spans="1:65">
      <c r="A16" s="771">
        <v>9</v>
      </c>
      <c r="B16" s="772"/>
      <c r="C16" s="575" t="s">
        <v>1867</v>
      </c>
      <c r="D16" s="573"/>
      <c r="E16" s="573"/>
      <c r="F16" s="573"/>
      <c r="G16" s="573"/>
      <c r="H16" s="573"/>
      <c r="I16" s="573"/>
      <c r="J16" s="573"/>
      <c r="K16" s="643"/>
      <c r="L16" s="573" t="s">
        <v>1866</v>
      </c>
      <c r="M16" s="573"/>
      <c r="N16" s="573"/>
      <c r="O16" s="573"/>
      <c r="P16" s="573"/>
      <c r="Q16" s="573"/>
      <c r="R16" s="573"/>
      <c r="S16" s="573"/>
      <c r="T16" s="573"/>
      <c r="U16" s="692"/>
      <c r="V16" s="693"/>
      <c r="W16" s="694"/>
      <c r="X16" s="695"/>
      <c r="Y16" s="575" t="s">
        <v>1275</v>
      </c>
      <c r="Z16" s="573"/>
      <c r="AA16" s="573"/>
      <c r="AB16" s="573"/>
      <c r="AC16" s="573"/>
      <c r="AD16" s="788">
        <v>100</v>
      </c>
      <c r="AE16" s="789"/>
      <c r="AF16" s="788"/>
      <c r="AG16" s="789"/>
      <c r="AH16" s="642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4"/>
      <c r="AV16" s="334"/>
      <c r="AW16" s="334"/>
      <c r="AX16" s="334"/>
      <c r="AY16" s="334"/>
      <c r="AZ16" s="334"/>
      <c r="BA16" s="335"/>
      <c r="BB16" s="334"/>
      <c r="BC16" s="334"/>
      <c r="BD16" s="334"/>
      <c r="BE16" s="334"/>
      <c r="BF16" s="334"/>
      <c r="BG16" s="43"/>
      <c r="BI16" s="341"/>
      <c r="BJ16" s="341"/>
      <c r="BK16" s="248" t="s">
        <v>1904</v>
      </c>
      <c r="BL16" s="340"/>
    </row>
    <row r="17" spans="1:64">
      <c r="A17" s="771">
        <v>10</v>
      </c>
      <c r="B17" s="772"/>
      <c r="C17" s="575" t="s">
        <v>1869</v>
      </c>
      <c r="D17" s="573"/>
      <c r="E17" s="573"/>
      <c r="F17" s="573"/>
      <c r="G17" s="573"/>
      <c r="H17" s="573"/>
      <c r="I17" s="573"/>
      <c r="J17" s="573"/>
      <c r="K17" s="643"/>
      <c r="L17" s="573" t="s">
        <v>1868</v>
      </c>
      <c r="M17" s="573"/>
      <c r="N17" s="573"/>
      <c r="O17" s="573"/>
      <c r="P17" s="573"/>
      <c r="Q17" s="573"/>
      <c r="R17" s="573"/>
      <c r="S17" s="573"/>
      <c r="T17" s="573"/>
      <c r="U17" s="692"/>
      <c r="V17" s="693"/>
      <c r="W17" s="694"/>
      <c r="X17" s="695"/>
      <c r="Y17" s="575" t="s">
        <v>1797</v>
      </c>
      <c r="Z17" s="573"/>
      <c r="AA17" s="573"/>
      <c r="AB17" s="573"/>
      <c r="AC17" s="573"/>
      <c r="AD17" s="788">
        <v>64</v>
      </c>
      <c r="AE17" s="789"/>
      <c r="AF17" s="788"/>
      <c r="AG17" s="789"/>
      <c r="AH17" s="642"/>
      <c r="AI17" s="331"/>
      <c r="AJ17" s="331"/>
      <c r="AK17" s="331"/>
      <c r="AL17" s="331"/>
      <c r="AM17" s="331"/>
      <c r="AN17" s="331"/>
      <c r="AO17" s="331"/>
      <c r="AP17" s="331"/>
      <c r="AQ17" s="331"/>
      <c r="AR17" s="331"/>
      <c r="AS17" s="331"/>
      <c r="AT17" s="331"/>
      <c r="AU17" s="334"/>
      <c r="AV17" s="334"/>
      <c r="AW17" s="334"/>
      <c r="AX17" s="334"/>
      <c r="AY17" s="334"/>
      <c r="AZ17" s="334"/>
      <c r="BA17" s="335"/>
      <c r="BB17" s="334"/>
      <c r="BC17" s="334"/>
      <c r="BD17" s="334"/>
      <c r="BE17" s="334"/>
      <c r="BF17" s="334"/>
      <c r="BG17" s="43"/>
      <c r="BI17" s="341"/>
      <c r="BJ17" s="341"/>
      <c r="BK17" s="248" t="s">
        <v>1899</v>
      </c>
      <c r="BL17" s="340"/>
    </row>
    <row r="18" spans="1:64">
      <c r="A18" s="771">
        <v>11</v>
      </c>
      <c r="B18" s="772"/>
      <c r="C18" s="575" t="s">
        <v>1871</v>
      </c>
      <c r="D18" s="573"/>
      <c r="E18" s="573"/>
      <c r="F18" s="573"/>
      <c r="G18" s="573"/>
      <c r="H18" s="573"/>
      <c r="I18" s="573"/>
      <c r="J18" s="573"/>
      <c r="K18" s="643"/>
      <c r="L18" s="573" t="s">
        <v>1870</v>
      </c>
      <c r="M18" s="573"/>
      <c r="N18" s="573"/>
      <c r="O18" s="573"/>
      <c r="P18" s="573"/>
      <c r="Q18" s="573"/>
      <c r="R18" s="573"/>
      <c r="S18" s="573"/>
      <c r="T18" s="573"/>
      <c r="U18" s="692"/>
      <c r="V18" s="693"/>
      <c r="W18" s="694"/>
      <c r="X18" s="695"/>
      <c r="Y18" s="575" t="s">
        <v>1798</v>
      </c>
      <c r="Z18" s="573"/>
      <c r="AA18" s="573"/>
      <c r="AB18" s="573"/>
      <c r="AC18" s="573"/>
      <c r="AD18" s="788">
        <v>20</v>
      </c>
      <c r="AE18" s="789"/>
      <c r="AF18" s="788"/>
      <c r="AG18" s="789"/>
      <c r="AH18" s="642"/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4"/>
      <c r="AV18" s="334"/>
      <c r="AW18" s="334"/>
      <c r="AX18" s="334"/>
      <c r="AY18" s="334"/>
      <c r="AZ18" s="334"/>
      <c r="BA18" s="335"/>
      <c r="BB18" s="334"/>
      <c r="BC18" s="334"/>
      <c r="BD18" s="334"/>
      <c r="BE18" s="334"/>
      <c r="BF18" s="334"/>
      <c r="BG18" s="43"/>
      <c r="BI18" s="341"/>
      <c r="BJ18" s="341"/>
      <c r="BK18" s="246" t="s">
        <v>1905</v>
      </c>
      <c r="BL18" s="341"/>
    </row>
    <row r="19" spans="1:64">
      <c r="A19" s="771">
        <v>12</v>
      </c>
      <c r="B19" s="772"/>
      <c r="C19" s="644" t="s">
        <v>1873</v>
      </c>
      <c r="D19" s="645"/>
      <c r="E19" s="645"/>
      <c r="F19" s="645"/>
      <c r="G19" s="645"/>
      <c r="H19" s="645"/>
      <c r="I19" s="645"/>
      <c r="J19" s="645"/>
      <c r="K19" s="646"/>
      <c r="L19" s="645" t="s">
        <v>1872</v>
      </c>
      <c r="M19" s="645"/>
      <c r="N19" s="645"/>
      <c r="O19" s="645"/>
      <c r="P19" s="645"/>
      <c r="Q19" s="645"/>
      <c r="R19" s="645"/>
      <c r="S19" s="645"/>
      <c r="T19" s="645"/>
      <c r="U19" s="794"/>
      <c r="V19" s="795"/>
      <c r="W19" s="800"/>
      <c r="X19" s="801"/>
      <c r="Y19" s="644" t="s">
        <v>1620</v>
      </c>
      <c r="Z19" s="645"/>
      <c r="AA19" s="645"/>
      <c r="AB19" s="645"/>
      <c r="AC19" s="645"/>
      <c r="AD19" s="798">
        <v>2</v>
      </c>
      <c r="AE19" s="799"/>
      <c r="AF19" s="788"/>
      <c r="AG19" s="789"/>
      <c r="AH19" s="642" t="s">
        <v>1802</v>
      </c>
      <c r="AI19" s="331"/>
      <c r="AJ19" s="331"/>
      <c r="AK19" s="331"/>
      <c r="AL19" s="331"/>
      <c r="AM19" s="331"/>
      <c r="AN19" s="331"/>
      <c r="AO19" s="331"/>
      <c r="AP19" s="331"/>
      <c r="AQ19" s="331"/>
      <c r="AR19" s="331"/>
      <c r="AS19" s="331"/>
      <c r="AT19" s="331"/>
      <c r="AU19" s="334"/>
      <c r="AV19" s="334"/>
      <c r="AW19" s="334"/>
      <c r="AX19" s="334"/>
      <c r="AY19" s="334"/>
      <c r="AZ19" s="334"/>
      <c r="BA19" s="335"/>
      <c r="BB19" s="334"/>
      <c r="BC19" s="334"/>
      <c r="BD19" s="334"/>
      <c r="BE19" s="334"/>
      <c r="BF19" s="334"/>
      <c r="BG19" s="43"/>
      <c r="BI19" s="341"/>
      <c r="BJ19" s="341"/>
      <c r="BK19" s="246" t="s">
        <v>1906</v>
      </c>
      <c r="BL19" s="341"/>
    </row>
    <row r="20" spans="1:64">
      <c r="A20" s="771">
        <v>13</v>
      </c>
      <c r="B20" s="772"/>
      <c r="C20" s="644" t="s">
        <v>1874</v>
      </c>
      <c r="D20" s="645"/>
      <c r="E20" s="645"/>
      <c r="F20" s="645"/>
      <c r="G20" s="645"/>
      <c r="H20" s="645"/>
      <c r="I20" s="645"/>
      <c r="J20" s="645"/>
      <c r="K20" s="646"/>
      <c r="L20" s="645" t="s">
        <v>1803</v>
      </c>
      <c r="M20" s="645"/>
      <c r="N20" s="645"/>
      <c r="O20" s="645"/>
      <c r="P20" s="645"/>
      <c r="Q20" s="645"/>
      <c r="R20" s="645"/>
      <c r="S20" s="645"/>
      <c r="T20" s="645"/>
      <c r="U20" s="794"/>
      <c r="V20" s="795"/>
      <c r="W20" s="800"/>
      <c r="X20" s="801"/>
      <c r="Y20" s="644" t="s">
        <v>1621</v>
      </c>
      <c r="Z20" s="645"/>
      <c r="AA20" s="645"/>
      <c r="AB20" s="645"/>
      <c r="AC20" s="645"/>
      <c r="AD20" s="798">
        <v>64</v>
      </c>
      <c r="AE20" s="799"/>
      <c r="AF20" s="788"/>
      <c r="AG20" s="789"/>
      <c r="AH20" s="642"/>
      <c r="AI20" s="331"/>
      <c r="AJ20" s="331"/>
      <c r="AK20" s="331"/>
      <c r="AL20" s="331"/>
      <c r="AM20" s="331"/>
      <c r="AN20" s="331"/>
      <c r="AO20" s="331"/>
      <c r="AP20" s="331"/>
      <c r="AQ20" s="331"/>
      <c r="AR20" s="331"/>
      <c r="AS20" s="331"/>
      <c r="AT20" s="331"/>
      <c r="AU20" s="334"/>
      <c r="AV20" s="334"/>
      <c r="AW20" s="334"/>
      <c r="AX20" s="334"/>
      <c r="AY20" s="334"/>
      <c r="AZ20" s="334"/>
      <c r="BA20" s="335"/>
      <c r="BB20" s="334"/>
      <c r="BC20" s="334"/>
      <c r="BD20" s="334"/>
      <c r="BE20" s="334"/>
      <c r="BF20" s="334"/>
      <c r="BG20" s="43"/>
      <c r="BI20" s="341"/>
      <c r="BJ20" s="341"/>
      <c r="BK20" s="246" t="s">
        <v>1900</v>
      </c>
      <c r="BL20" s="341"/>
    </row>
    <row r="21" spans="1:64">
      <c r="A21" s="771">
        <v>14</v>
      </c>
      <c r="B21" s="772"/>
      <c r="C21" s="644" t="s">
        <v>1801</v>
      </c>
      <c r="D21" s="645"/>
      <c r="E21" s="645"/>
      <c r="F21" s="645"/>
      <c r="G21" s="645"/>
      <c r="H21" s="645"/>
      <c r="I21" s="645"/>
      <c r="J21" s="645"/>
      <c r="K21" s="646"/>
      <c r="L21" s="647" t="s">
        <v>1875</v>
      </c>
      <c r="M21" s="648"/>
      <c r="N21" s="648"/>
      <c r="O21" s="645"/>
      <c r="P21" s="645"/>
      <c r="Q21" s="645"/>
      <c r="R21" s="645"/>
      <c r="S21" s="645"/>
      <c r="T21" s="645"/>
      <c r="U21" s="794"/>
      <c r="V21" s="795"/>
      <c r="W21" s="800"/>
      <c r="X21" s="801"/>
      <c r="Y21" s="644" t="s">
        <v>1621</v>
      </c>
      <c r="Z21" s="645"/>
      <c r="AA21" s="645"/>
      <c r="AB21" s="645"/>
      <c r="AC21" s="645"/>
      <c r="AD21" s="798">
        <v>64</v>
      </c>
      <c r="AE21" s="799"/>
      <c r="AF21" s="788"/>
      <c r="AG21" s="789"/>
      <c r="AH21" s="642"/>
      <c r="AI21" s="331"/>
      <c r="AJ21" s="331"/>
      <c r="AK21" s="331"/>
      <c r="AL21" s="331"/>
      <c r="AM21" s="331"/>
      <c r="AN21" s="331"/>
      <c r="AO21" s="331"/>
      <c r="AP21" s="331"/>
      <c r="AQ21" s="331"/>
      <c r="AR21" s="331"/>
      <c r="AS21" s="331"/>
      <c r="AT21" s="331"/>
      <c r="AU21" s="334"/>
      <c r="AV21" s="334"/>
      <c r="AW21" s="334"/>
      <c r="AX21" s="334"/>
      <c r="AY21" s="334"/>
      <c r="AZ21" s="334"/>
      <c r="BA21" s="335"/>
      <c r="BB21" s="334"/>
      <c r="BC21" s="334"/>
      <c r="BD21" s="334"/>
      <c r="BE21" s="334"/>
      <c r="BF21" s="334"/>
      <c r="BG21" s="43"/>
      <c r="BI21" s="341"/>
      <c r="BJ21" s="341"/>
      <c r="BK21" s="659" t="s">
        <v>1912</v>
      </c>
      <c r="BL21" s="341"/>
    </row>
    <row r="22" spans="1:64">
      <c r="A22" s="771">
        <v>15</v>
      </c>
      <c r="B22" s="772"/>
      <c r="C22" s="644" t="s">
        <v>1876</v>
      </c>
      <c r="D22" s="645"/>
      <c r="E22" s="645"/>
      <c r="F22" s="645"/>
      <c r="G22" s="645"/>
      <c r="H22" s="645"/>
      <c r="I22" s="645"/>
      <c r="J22" s="645"/>
      <c r="K22" s="646"/>
      <c r="L22" s="647" t="s">
        <v>1822</v>
      </c>
      <c r="M22" s="648"/>
      <c r="N22" s="648"/>
      <c r="O22" s="645"/>
      <c r="P22" s="645"/>
      <c r="Q22" s="645"/>
      <c r="R22" s="645"/>
      <c r="S22" s="645"/>
      <c r="T22" s="645"/>
      <c r="U22" s="794"/>
      <c r="V22" s="795"/>
      <c r="W22" s="800"/>
      <c r="X22" s="801"/>
      <c r="Y22" s="644" t="s">
        <v>1823</v>
      </c>
      <c r="Z22" s="645"/>
      <c r="AA22" s="645"/>
      <c r="AB22" s="645"/>
      <c r="AC22" s="645"/>
      <c r="AD22" s="798">
        <v>300</v>
      </c>
      <c r="AE22" s="799"/>
      <c r="AF22" s="788"/>
      <c r="AG22" s="789"/>
      <c r="AH22" s="662"/>
      <c r="AI22" s="331"/>
      <c r="AJ22" s="331"/>
      <c r="AK22" s="331"/>
      <c r="AL22" s="331"/>
      <c r="AM22" s="331"/>
      <c r="AN22" s="331"/>
      <c r="AO22" s="331"/>
      <c r="AP22" s="331"/>
      <c r="AQ22" s="331"/>
      <c r="AR22" s="331"/>
      <c r="AS22" s="331"/>
      <c r="AT22" s="331"/>
      <c r="AU22" s="334"/>
      <c r="AV22" s="334"/>
      <c r="AW22" s="334"/>
      <c r="AX22" s="334"/>
      <c r="AY22" s="334"/>
      <c r="AZ22" s="334"/>
      <c r="BA22" s="335"/>
      <c r="BB22" s="334"/>
      <c r="BC22" s="334"/>
      <c r="BD22" s="334"/>
      <c r="BE22" s="334"/>
      <c r="BF22" s="334"/>
      <c r="BG22" s="43"/>
      <c r="BI22" s="341"/>
      <c r="BJ22" s="341"/>
      <c r="BK22" s="659" t="s">
        <v>1910</v>
      </c>
      <c r="BL22" s="341"/>
    </row>
    <row r="23" spans="1:64">
      <c r="A23" s="771">
        <v>16</v>
      </c>
      <c r="B23" s="772"/>
      <c r="C23" s="644" t="s">
        <v>1878</v>
      </c>
      <c r="D23" s="645"/>
      <c r="E23" s="645"/>
      <c r="F23" s="645"/>
      <c r="G23" s="645"/>
      <c r="H23" s="645"/>
      <c r="I23" s="645"/>
      <c r="J23" s="645"/>
      <c r="K23" s="646"/>
      <c r="L23" s="645" t="s">
        <v>1877</v>
      </c>
      <c r="M23" s="645"/>
      <c r="N23" s="645"/>
      <c r="O23" s="645"/>
      <c r="P23" s="645"/>
      <c r="Q23" s="645"/>
      <c r="R23" s="645"/>
      <c r="S23" s="645"/>
      <c r="T23" s="645"/>
      <c r="U23" s="794"/>
      <c r="V23" s="795"/>
      <c r="W23" s="800"/>
      <c r="X23" s="801"/>
      <c r="Y23" s="644" t="s">
        <v>1800</v>
      </c>
      <c r="Z23" s="645"/>
      <c r="AA23" s="645"/>
      <c r="AB23" s="645"/>
      <c r="AC23" s="645"/>
      <c r="AD23" s="798">
        <v>100</v>
      </c>
      <c r="AE23" s="799"/>
      <c r="AF23" s="788"/>
      <c r="AG23" s="789"/>
      <c r="AH23" s="642"/>
      <c r="AI23" s="331"/>
      <c r="AJ23" s="331"/>
      <c r="AK23" s="331"/>
      <c r="AL23" s="331"/>
      <c r="AM23" s="331"/>
      <c r="AN23" s="331"/>
      <c r="AO23" s="331"/>
      <c r="AP23" s="331"/>
      <c r="AQ23" s="331"/>
      <c r="AR23" s="331"/>
      <c r="AS23" s="331"/>
      <c r="AT23" s="331"/>
      <c r="AU23" s="334"/>
      <c r="AV23" s="334"/>
      <c r="AW23" s="334"/>
      <c r="AX23" s="334"/>
      <c r="AY23" s="334"/>
      <c r="AZ23" s="334"/>
      <c r="BA23" s="335"/>
      <c r="BB23" s="334"/>
      <c r="BC23" s="334"/>
      <c r="BD23" s="334"/>
      <c r="BE23" s="334"/>
      <c r="BF23" s="334"/>
      <c r="BG23" s="43"/>
      <c r="BI23" s="341"/>
      <c r="BJ23" s="341"/>
      <c r="BK23" s="659" t="s">
        <v>1911</v>
      </c>
      <c r="BL23" s="341"/>
    </row>
    <row r="24" spans="1:64">
      <c r="A24" s="771">
        <v>17</v>
      </c>
      <c r="B24" s="772"/>
      <c r="C24" s="644" t="s">
        <v>1880</v>
      </c>
      <c r="D24" s="645"/>
      <c r="E24" s="645"/>
      <c r="F24" s="645"/>
      <c r="G24" s="645"/>
      <c r="H24" s="645"/>
      <c r="I24" s="645"/>
      <c r="J24" s="645"/>
      <c r="K24" s="646"/>
      <c r="L24" s="645" t="s">
        <v>1879</v>
      </c>
      <c r="M24" s="645"/>
      <c r="N24" s="645"/>
      <c r="O24" s="645"/>
      <c r="P24" s="645"/>
      <c r="Q24" s="645"/>
      <c r="R24" s="645"/>
      <c r="S24" s="645"/>
      <c r="T24" s="645"/>
      <c r="U24" s="794"/>
      <c r="V24" s="795"/>
      <c r="W24" s="800"/>
      <c r="X24" s="801"/>
      <c r="Y24" s="644" t="s">
        <v>1800</v>
      </c>
      <c r="Z24" s="645"/>
      <c r="AA24" s="645"/>
      <c r="AB24" s="645"/>
      <c r="AC24" s="645"/>
      <c r="AD24" s="798">
        <v>100</v>
      </c>
      <c r="AE24" s="799"/>
      <c r="AF24" s="788"/>
      <c r="AG24" s="789"/>
      <c r="AH24" s="642"/>
      <c r="AI24" s="331"/>
      <c r="AJ24" s="331"/>
      <c r="AK24" s="331"/>
      <c r="AL24" s="331"/>
      <c r="AM24" s="331"/>
      <c r="AN24" s="331"/>
      <c r="AO24" s="331"/>
      <c r="AP24" s="331"/>
      <c r="AQ24" s="331"/>
      <c r="AR24" s="331"/>
      <c r="AS24" s="331"/>
      <c r="AT24" s="331"/>
      <c r="AU24" s="334"/>
      <c r="AV24" s="334"/>
      <c r="AW24" s="334"/>
      <c r="AX24" s="334"/>
      <c r="AY24" s="334"/>
      <c r="AZ24" s="334"/>
      <c r="BA24" s="335"/>
      <c r="BB24" s="334"/>
      <c r="BC24" s="334"/>
      <c r="BD24" s="334"/>
      <c r="BE24" s="334"/>
      <c r="BF24" s="334"/>
      <c r="BG24" s="43"/>
      <c r="BI24" s="341"/>
      <c r="BJ24" s="341"/>
      <c r="BK24" s="659" t="s">
        <v>1907</v>
      </c>
      <c r="BL24" s="341"/>
    </row>
    <row r="25" spans="1:64">
      <c r="A25" s="771">
        <v>18</v>
      </c>
      <c r="B25" s="772"/>
      <c r="C25" s="7" t="s">
        <v>1835</v>
      </c>
      <c r="D25" s="452"/>
      <c r="E25" s="452"/>
      <c r="F25" s="452"/>
      <c r="G25" s="452"/>
      <c r="H25" s="452"/>
      <c r="I25" s="452"/>
      <c r="J25" s="452"/>
      <c r="K25" s="332"/>
      <c r="L25" s="452" t="s">
        <v>1881</v>
      </c>
      <c r="M25" s="452"/>
      <c r="N25" s="452"/>
      <c r="O25" s="452"/>
      <c r="P25" s="452"/>
      <c r="Q25" s="452"/>
      <c r="R25" s="452"/>
      <c r="S25" s="452"/>
      <c r="T25" s="452"/>
      <c r="U25" s="692"/>
      <c r="V25" s="693"/>
      <c r="W25" s="694"/>
      <c r="X25" s="695"/>
      <c r="Y25" s="575" t="s">
        <v>199</v>
      </c>
      <c r="Z25" s="573"/>
      <c r="AA25" s="573"/>
      <c r="AB25" s="573"/>
      <c r="AC25" s="665"/>
      <c r="AD25" s="788">
        <v>64</v>
      </c>
      <c r="AE25" s="789"/>
      <c r="AF25" s="788"/>
      <c r="AG25" s="789"/>
      <c r="AH25" s="664"/>
      <c r="AI25" s="331"/>
      <c r="AJ25" s="331"/>
      <c r="AK25" s="331"/>
      <c r="AL25" s="331"/>
      <c r="AM25" s="331"/>
      <c r="AN25" s="331"/>
      <c r="AO25" s="331"/>
      <c r="AP25" s="331"/>
      <c r="AQ25" s="331"/>
      <c r="AR25" s="331"/>
      <c r="AS25" s="331"/>
      <c r="AT25" s="331"/>
      <c r="AU25" s="334"/>
      <c r="AV25" s="334"/>
      <c r="AW25" s="334"/>
      <c r="AX25" s="334"/>
      <c r="AY25" s="334"/>
      <c r="AZ25" s="334"/>
      <c r="BA25" s="335"/>
      <c r="BB25" s="334"/>
      <c r="BC25" s="334"/>
      <c r="BD25" s="334"/>
      <c r="BE25" s="334"/>
      <c r="BF25" s="334"/>
      <c r="BG25" s="43"/>
      <c r="BI25" s="341"/>
      <c r="BJ25" s="341"/>
      <c r="BK25" s="659" t="s">
        <v>1909</v>
      </c>
      <c r="BL25" s="341"/>
    </row>
    <row r="26" spans="1:64">
      <c r="A26" s="771">
        <v>19</v>
      </c>
      <c r="B26" s="772"/>
      <c r="C26" s="572" t="s">
        <v>1837</v>
      </c>
      <c r="D26" s="573"/>
      <c r="E26" s="573"/>
      <c r="F26" s="573"/>
      <c r="G26" s="573"/>
      <c r="H26" s="573"/>
      <c r="I26" s="573"/>
      <c r="J26" s="573"/>
      <c r="K26" s="665"/>
      <c r="L26" s="573" t="s">
        <v>1836</v>
      </c>
      <c r="M26" s="573"/>
      <c r="N26" s="573"/>
      <c r="O26" s="573"/>
      <c r="P26" s="573"/>
      <c r="Q26" s="573"/>
      <c r="R26" s="573"/>
      <c r="S26" s="573"/>
      <c r="T26" s="573"/>
      <c r="U26" s="692"/>
      <c r="V26" s="693"/>
      <c r="W26" s="694"/>
      <c r="X26" s="695"/>
      <c r="Y26" s="575" t="s">
        <v>16</v>
      </c>
      <c r="Z26" s="573"/>
      <c r="AA26" s="573"/>
      <c r="AB26" s="573"/>
      <c r="AC26" s="665"/>
      <c r="AD26" s="788">
        <v>100</v>
      </c>
      <c r="AE26" s="789"/>
      <c r="AF26" s="788"/>
      <c r="AG26" s="789"/>
      <c r="AH26" s="664"/>
      <c r="AI26" s="331"/>
      <c r="AJ26" s="331"/>
      <c r="AK26" s="331"/>
      <c r="AL26" s="331"/>
      <c r="AM26" s="331"/>
      <c r="AN26" s="331"/>
      <c r="AO26" s="331"/>
      <c r="AP26" s="331"/>
      <c r="AQ26" s="331"/>
      <c r="AR26" s="331"/>
      <c r="AS26" s="331"/>
      <c r="AT26" s="331"/>
      <c r="AU26" s="334"/>
      <c r="AV26" s="334"/>
      <c r="AW26" s="334"/>
      <c r="AX26" s="334"/>
      <c r="AY26" s="334"/>
      <c r="AZ26" s="334"/>
      <c r="BA26" s="335"/>
      <c r="BB26" s="334"/>
      <c r="BC26" s="334"/>
      <c r="BD26" s="334"/>
      <c r="BE26" s="334"/>
      <c r="BF26" s="334"/>
      <c r="BG26" s="43"/>
      <c r="BI26" s="341"/>
      <c r="BJ26" s="341"/>
      <c r="BK26" s="659" t="s">
        <v>1908</v>
      </c>
      <c r="BL26" s="341"/>
    </row>
    <row r="27" spans="1:64">
      <c r="A27" s="771">
        <v>20</v>
      </c>
      <c r="B27" s="772"/>
      <c r="C27" s="575" t="s">
        <v>1883</v>
      </c>
      <c r="D27" s="573"/>
      <c r="E27" s="573"/>
      <c r="F27" s="573"/>
      <c r="G27" s="573"/>
      <c r="H27" s="573"/>
      <c r="I27" s="573"/>
      <c r="J27" s="573"/>
      <c r="K27" s="665"/>
      <c r="L27" s="573" t="s">
        <v>1882</v>
      </c>
      <c r="M27" s="573"/>
      <c r="N27" s="573"/>
      <c r="O27" s="573"/>
      <c r="P27" s="573"/>
      <c r="Q27" s="573"/>
      <c r="R27" s="573"/>
      <c r="S27" s="573"/>
      <c r="T27" s="573"/>
      <c r="U27" s="692"/>
      <c r="V27" s="693"/>
      <c r="W27" s="694"/>
      <c r="X27" s="695"/>
      <c r="Y27" s="575" t="s">
        <v>199</v>
      </c>
      <c r="Z27" s="573"/>
      <c r="AA27" s="573"/>
      <c r="AB27" s="573"/>
      <c r="AC27" s="665"/>
      <c r="AD27" s="788">
        <v>64</v>
      </c>
      <c r="AE27" s="789"/>
      <c r="AF27" s="788"/>
      <c r="AG27" s="789"/>
      <c r="AH27" s="664"/>
      <c r="AI27" s="331"/>
      <c r="AJ27" s="331"/>
      <c r="AK27" s="331"/>
      <c r="AL27" s="331"/>
      <c r="AM27" s="331"/>
      <c r="AN27" s="331"/>
      <c r="AO27" s="331"/>
      <c r="AP27" s="331"/>
      <c r="AQ27" s="331"/>
      <c r="AR27" s="331"/>
      <c r="AS27" s="331"/>
      <c r="AT27" s="331"/>
      <c r="AU27" s="334"/>
      <c r="AV27" s="334"/>
      <c r="AW27" s="334"/>
      <c r="AX27" s="334"/>
      <c r="AY27" s="334"/>
      <c r="AZ27" s="334"/>
      <c r="BA27" s="335"/>
      <c r="BB27" s="334"/>
      <c r="BC27" s="334"/>
      <c r="BD27" s="334"/>
      <c r="BE27" s="334"/>
      <c r="BF27" s="334"/>
      <c r="BG27" s="43"/>
      <c r="BI27" s="341"/>
      <c r="BJ27" s="341"/>
      <c r="BK27" s="659"/>
      <c r="BL27" s="341"/>
    </row>
    <row r="28" spans="1:64">
      <c r="A28" s="771">
        <v>21</v>
      </c>
      <c r="B28" s="772"/>
      <c r="C28" s="575" t="s">
        <v>1609</v>
      </c>
      <c r="D28" s="573"/>
      <c r="E28" s="573"/>
      <c r="F28" s="573"/>
      <c r="G28" s="573"/>
      <c r="H28" s="573"/>
      <c r="I28" s="573"/>
      <c r="J28" s="573"/>
      <c r="K28" s="665"/>
      <c r="L28" s="573" t="s">
        <v>1884</v>
      </c>
      <c r="M28" s="573"/>
      <c r="N28" s="573"/>
      <c r="O28" s="573"/>
      <c r="P28" s="573"/>
      <c r="Q28" s="573"/>
      <c r="R28" s="573"/>
      <c r="S28" s="573"/>
      <c r="T28" s="573"/>
      <c r="U28" s="692"/>
      <c r="V28" s="693"/>
      <c r="W28" s="694"/>
      <c r="X28" s="695"/>
      <c r="Y28" s="575" t="s">
        <v>16</v>
      </c>
      <c r="Z28" s="573"/>
      <c r="AA28" s="573"/>
      <c r="AB28" s="573"/>
      <c r="AC28" s="665"/>
      <c r="AD28" s="788">
        <v>100</v>
      </c>
      <c r="AE28" s="789"/>
      <c r="AF28" s="788"/>
      <c r="AG28" s="789"/>
      <c r="AH28" s="664"/>
      <c r="AI28" s="331"/>
      <c r="AJ28" s="331"/>
      <c r="AK28" s="331"/>
      <c r="AL28" s="331"/>
      <c r="AM28" s="331"/>
      <c r="AN28" s="331"/>
      <c r="AO28" s="331"/>
      <c r="AP28" s="331"/>
      <c r="AQ28" s="331"/>
      <c r="AR28" s="331"/>
      <c r="AS28" s="331"/>
      <c r="AT28" s="331"/>
      <c r="AU28" s="334"/>
      <c r="AV28" s="334"/>
      <c r="AW28" s="334"/>
      <c r="AX28" s="334"/>
      <c r="AY28" s="334"/>
      <c r="AZ28" s="334"/>
      <c r="BA28" s="335"/>
      <c r="BB28" s="334"/>
      <c r="BC28" s="334"/>
      <c r="BD28" s="334"/>
      <c r="BE28" s="334"/>
      <c r="BF28" s="334"/>
      <c r="BG28" s="43"/>
      <c r="BI28" s="341"/>
      <c r="BJ28" s="341"/>
      <c r="BK28" s="659"/>
      <c r="BL28" s="341"/>
    </row>
    <row r="29" spans="1:64">
      <c r="A29" s="771">
        <v>22</v>
      </c>
      <c r="B29" s="772"/>
      <c r="C29" s="575" t="s">
        <v>1817</v>
      </c>
      <c r="D29" s="573"/>
      <c r="E29" s="573"/>
      <c r="F29" s="573"/>
      <c r="G29" s="573"/>
      <c r="H29" s="573"/>
      <c r="I29" s="573"/>
      <c r="J29" s="573"/>
      <c r="K29" s="667"/>
      <c r="L29" s="573" t="s">
        <v>1818</v>
      </c>
      <c r="M29" s="573"/>
      <c r="N29" s="573"/>
      <c r="O29" s="573"/>
      <c r="P29" s="573"/>
      <c r="Q29" s="573"/>
      <c r="R29" s="573"/>
      <c r="S29" s="573"/>
      <c r="T29" s="573"/>
      <c r="U29" s="692"/>
      <c r="V29" s="693"/>
      <c r="W29" s="694"/>
      <c r="X29" s="695"/>
      <c r="Y29" s="575" t="s">
        <v>1819</v>
      </c>
      <c r="Z29" s="573"/>
      <c r="AA29" s="573"/>
      <c r="AB29" s="573"/>
      <c r="AC29" s="576"/>
      <c r="AD29" s="788">
        <v>10</v>
      </c>
      <c r="AE29" s="789"/>
      <c r="AF29" s="788"/>
      <c r="AG29" s="789"/>
      <c r="AH29" s="666"/>
      <c r="AI29" s="331"/>
      <c r="AJ29" s="331"/>
      <c r="AK29" s="331"/>
      <c r="AL29" s="331"/>
      <c r="AM29" s="331"/>
      <c r="AN29" s="331"/>
      <c r="AO29" s="331"/>
      <c r="AP29" s="331"/>
      <c r="AQ29" s="331"/>
      <c r="AR29" s="331"/>
      <c r="AS29" s="331"/>
      <c r="AT29" s="331"/>
      <c r="AU29" s="334"/>
      <c r="AV29" s="334"/>
      <c r="AW29" s="334"/>
      <c r="AX29" s="334"/>
      <c r="AY29" s="334"/>
      <c r="AZ29" s="334"/>
      <c r="BA29" s="335"/>
      <c r="BB29" s="334"/>
      <c r="BC29" s="334"/>
      <c r="BD29" s="334"/>
      <c r="BE29" s="334"/>
      <c r="BF29" s="334"/>
      <c r="BG29" s="43"/>
      <c r="BI29" s="341"/>
      <c r="BJ29" s="341"/>
      <c r="BK29" s="659" t="s">
        <v>1913</v>
      </c>
      <c r="BL29" s="341"/>
    </row>
    <row r="30" spans="1:64">
      <c r="A30" s="771">
        <v>23</v>
      </c>
      <c r="B30" s="772"/>
      <c r="C30" s="575" t="s">
        <v>1777</v>
      </c>
      <c r="D30" s="573"/>
      <c r="E30" s="573"/>
      <c r="F30" s="573"/>
      <c r="G30" s="573"/>
      <c r="H30" s="573"/>
      <c r="I30" s="573"/>
      <c r="J30" s="573"/>
      <c r="K30" s="643"/>
      <c r="L30" s="575" t="s">
        <v>1575</v>
      </c>
      <c r="M30" s="573"/>
      <c r="N30" s="573"/>
      <c r="O30" s="573"/>
      <c r="P30" s="573"/>
      <c r="Q30" s="573"/>
      <c r="R30" s="573"/>
      <c r="S30" s="573"/>
      <c r="T30" s="573"/>
      <c r="U30" s="692"/>
      <c r="V30" s="693"/>
      <c r="W30" s="790"/>
      <c r="X30" s="791"/>
      <c r="Y30" s="575" t="s">
        <v>199</v>
      </c>
      <c r="Z30" s="573"/>
      <c r="AA30" s="573"/>
      <c r="AB30" s="573"/>
      <c r="AC30" s="573"/>
      <c r="AD30" s="792">
        <v>2</v>
      </c>
      <c r="AE30" s="793"/>
      <c r="AF30" s="692"/>
      <c r="AG30" s="693"/>
      <c r="AH30" s="642" t="s">
        <v>1576</v>
      </c>
      <c r="AI30" s="331"/>
      <c r="AJ30" s="331"/>
      <c r="AK30" s="331"/>
      <c r="AL30" s="331"/>
      <c r="AM30" s="331"/>
      <c r="AN30" s="331"/>
      <c r="AO30" s="331"/>
      <c r="AP30" s="331"/>
      <c r="AQ30" s="331"/>
      <c r="AR30" s="331"/>
      <c r="AS30" s="331"/>
      <c r="AT30" s="331"/>
      <c r="AU30" s="334"/>
      <c r="AV30" s="334"/>
      <c r="AW30" s="334"/>
      <c r="AX30" s="334"/>
      <c r="AY30" s="334"/>
      <c r="AZ30" s="334"/>
      <c r="BA30" s="335"/>
      <c r="BB30" s="334"/>
      <c r="BC30" s="334"/>
      <c r="BD30" s="334"/>
      <c r="BE30" s="334"/>
      <c r="BF30" s="334"/>
      <c r="BG30" s="43"/>
      <c r="BI30" s="341"/>
      <c r="BJ30" s="341"/>
      <c r="BK30" s="659" t="s">
        <v>1914</v>
      </c>
      <c r="BL30" s="340"/>
    </row>
    <row r="31" spans="1:64">
      <c r="A31" s="771">
        <v>24</v>
      </c>
      <c r="B31" s="772"/>
      <c r="C31" s="575" t="s">
        <v>1031</v>
      </c>
      <c r="D31" s="573"/>
      <c r="E31" s="573"/>
      <c r="F31" s="573"/>
      <c r="G31" s="573"/>
      <c r="H31" s="573"/>
      <c r="I31" s="573"/>
      <c r="J31" s="573"/>
      <c r="K31" s="643"/>
      <c r="L31" s="575" t="s">
        <v>1577</v>
      </c>
      <c r="M31" s="573"/>
      <c r="N31" s="573"/>
      <c r="O31" s="573"/>
      <c r="P31" s="573"/>
      <c r="Q31" s="573"/>
      <c r="R31" s="573"/>
      <c r="S31" s="573"/>
      <c r="T31" s="573"/>
      <c r="U31" s="692"/>
      <c r="V31" s="693"/>
      <c r="W31" s="790"/>
      <c r="X31" s="791"/>
      <c r="Y31" s="575" t="s">
        <v>17</v>
      </c>
      <c r="Z31" s="573"/>
      <c r="AA31" s="573"/>
      <c r="AB31" s="573"/>
      <c r="AC31" s="573"/>
      <c r="AD31" s="792"/>
      <c r="AE31" s="793"/>
      <c r="AF31" s="692"/>
      <c r="AG31" s="693"/>
      <c r="AH31" s="642" t="s">
        <v>1578</v>
      </c>
      <c r="AI31" s="331"/>
      <c r="AJ31" s="331"/>
      <c r="AK31" s="331"/>
      <c r="AL31" s="331"/>
      <c r="AM31" s="331"/>
      <c r="AN31" s="331"/>
      <c r="AO31" s="331"/>
      <c r="AP31" s="331"/>
      <c r="AQ31" s="331"/>
      <c r="AR31" s="331"/>
      <c r="AS31" s="331"/>
      <c r="AT31" s="331"/>
      <c r="AU31" s="334"/>
      <c r="AV31" s="334"/>
      <c r="AW31" s="334"/>
      <c r="AX31" s="334"/>
      <c r="AY31" s="334"/>
      <c r="AZ31" s="334"/>
      <c r="BA31" s="335"/>
      <c r="BB31" s="334"/>
      <c r="BC31" s="334"/>
      <c r="BD31" s="334"/>
      <c r="BE31" s="334"/>
      <c r="BF31" s="334"/>
      <c r="BG31" s="43"/>
      <c r="BI31" s="341"/>
      <c r="BJ31" s="341"/>
      <c r="BK31" s="248" t="s">
        <v>1915</v>
      </c>
      <c r="BL31" s="341"/>
    </row>
    <row r="32" spans="1:64">
      <c r="A32" s="771">
        <v>25</v>
      </c>
      <c r="B32" s="772"/>
      <c r="C32" s="575" t="s">
        <v>1579</v>
      </c>
      <c r="D32" s="573"/>
      <c r="E32" s="573"/>
      <c r="F32" s="573"/>
      <c r="G32" s="573"/>
      <c r="H32" s="573"/>
      <c r="I32" s="573"/>
      <c r="J32" s="573"/>
      <c r="K32" s="643"/>
      <c r="L32" s="575" t="s">
        <v>1580</v>
      </c>
      <c r="M32" s="573"/>
      <c r="N32" s="573"/>
      <c r="O32" s="573"/>
      <c r="P32" s="573"/>
      <c r="Q32" s="573"/>
      <c r="R32" s="573"/>
      <c r="S32" s="573"/>
      <c r="T32" s="573"/>
      <c r="U32" s="692"/>
      <c r="V32" s="693"/>
      <c r="W32" s="790"/>
      <c r="X32" s="791"/>
      <c r="Y32" s="575" t="s">
        <v>199</v>
      </c>
      <c r="Z32" s="573"/>
      <c r="AA32" s="573"/>
      <c r="AB32" s="573"/>
      <c r="AC32" s="573"/>
      <c r="AD32" s="792">
        <v>32</v>
      </c>
      <c r="AE32" s="793"/>
      <c r="AF32" s="692"/>
      <c r="AG32" s="693"/>
      <c r="AH32" s="642"/>
      <c r="AI32" s="331"/>
      <c r="AJ32" s="331"/>
      <c r="AK32" s="331"/>
      <c r="AL32" s="331"/>
      <c r="AM32" s="331"/>
      <c r="AN32" s="331"/>
      <c r="AO32" s="331"/>
      <c r="AP32" s="331"/>
      <c r="AQ32" s="331"/>
      <c r="AR32" s="331"/>
      <c r="AS32" s="331"/>
      <c r="AT32" s="331"/>
      <c r="AU32" s="334"/>
      <c r="AV32" s="334"/>
      <c r="AW32" s="334"/>
      <c r="AX32" s="334"/>
      <c r="AY32" s="334"/>
      <c r="AZ32" s="334"/>
      <c r="BA32" s="335"/>
      <c r="BB32" s="334"/>
      <c r="BC32" s="334"/>
      <c r="BD32" s="334"/>
      <c r="BE32" s="334"/>
      <c r="BF32" s="334"/>
      <c r="BG32" s="43"/>
      <c r="BI32" s="341"/>
      <c r="BJ32" s="341"/>
      <c r="BK32" s="341"/>
      <c r="BL32" s="341"/>
    </row>
    <row r="33" spans="1:64">
      <c r="A33" s="771">
        <v>26</v>
      </c>
      <c r="B33" s="772"/>
      <c r="C33" s="575" t="s">
        <v>1581</v>
      </c>
      <c r="D33" s="573"/>
      <c r="E33" s="573"/>
      <c r="F33" s="573"/>
      <c r="G33" s="573"/>
      <c r="H33" s="573"/>
      <c r="I33" s="573"/>
      <c r="J33" s="573"/>
      <c r="K33" s="643"/>
      <c r="L33" s="575" t="s">
        <v>1582</v>
      </c>
      <c r="M33" s="573"/>
      <c r="N33" s="573"/>
      <c r="O33" s="573"/>
      <c r="P33" s="573"/>
      <c r="Q33" s="573"/>
      <c r="R33" s="573"/>
      <c r="S33" s="573"/>
      <c r="T33" s="573"/>
      <c r="U33" s="692"/>
      <c r="V33" s="693"/>
      <c r="W33" s="790"/>
      <c r="X33" s="791"/>
      <c r="Y33" s="575" t="s">
        <v>16</v>
      </c>
      <c r="Z33" s="573"/>
      <c r="AA33" s="573"/>
      <c r="AB33" s="573"/>
      <c r="AC33" s="643"/>
      <c r="AD33" s="788">
        <v>100</v>
      </c>
      <c r="AE33" s="789"/>
      <c r="AF33" s="692"/>
      <c r="AG33" s="693"/>
      <c r="AH33" s="642"/>
      <c r="AI33" s="331"/>
      <c r="AJ33" s="331"/>
      <c r="AK33" s="331"/>
      <c r="AL33" s="331"/>
      <c r="AM33" s="331"/>
      <c r="AN33" s="331"/>
      <c r="AO33" s="331"/>
      <c r="AP33" s="331"/>
      <c r="AQ33" s="331"/>
      <c r="AR33" s="331"/>
      <c r="AS33" s="331"/>
      <c r="AT33" s="331"/>
      <c r="AU33" s="334"/>
      <c r="AV33" s="334"/>
      <c r="AW33" s="334"/>
      <c r="AX33" s="334"/>
      <c r="AY33" s="334"/>
      <c r="AZ33" s="334"/>
      <c r="BA33" s="335"/>
      <c r="BB33" s="334"/>
      <c r="BC33" s="334"/>
      <c r="BD33" s="334"/>
      <c r="BE33" s="334"/>
      <c r="BF33" s="334"/>
      <c r="BG33" s="43"/>
      <c r="BI33" s="341"/>
      <c r="BJ33" s="341"/>
      <c r="BK33" s="1"/>
      <c r="BL33" s="340"/>
    </row>
    <row r="34" spans="1:64">
      <c r="A34" s="771">
        <v>27</v>
      </c>
      <c r="B34" s="772"/>
      <c r="C34" s="575" t="s">
        <v>1583</v>
      </c>
      <c r="D34" s="573"/>
      <c r="E34" s="573"/>
      <c r="F34" s="573"/>
      <c r="G34" s="573"/>
      <c r="H34" s="573"/>
      <c r="I34" s="573"/>
      <c r="J34" s="573"/>
      <c r="K34" s="643"/>
      <c r="L34" s="575" t="s">
        <v>1584</v>
      </c>
      <c r="M34" s="573"/>
      <c r="N34" s="573"/>
      <c r="O34" s="573"/>
      <c r="P34" s="573"/>
      <c r="Q34" s="573"/>
      <c r="R34" s="573"/>
      <c r="S34" s="573"/>
      <c r="T34" s="573"/>
      <c r="U34" s="692"/>
      <c r="V34" s="693"/>
      <c r="W34" s="790"/>
      <c r="X34" s="791"/>
      <c r="Y34" s="575" t="s">
        <v>17</v>
      </c>
      <c r="Z34" s="573"/>
      <c r="AA34" s="573"/>
      <c r="AB34" s="573"/>
      <c r="AC34" s="573"/>
      <c r="AD34" s="792"/>
      <c r="AE34" s="793"/>
      <c r="AF34" s="692"/>
      <c r="AG34" s="693"/>
      <c r="AH34" s="642" t="s">
        <v>1578</v>
      </c>
      <c r="AI34" s="331"/>
      <c r="AJ34" s="331"/>
      <c r="AK34" s="331"/>
      <c r="AL34" s="331"/>
      <c r="AM34" s="331"/>
      <c r="AN34" s="331"/>
      <c r="AO34" s="331"/>
      <c r="AP34" s="331"/>
      <c r="AQ34" s="331"/>
      <c r="AR34" s="331"/>
      <c r="AS34" s="331"/>
      <c r="AT34" s="331"/>
      <c r="AU34" s="334"/>
      <c r="AV34" s="334"/>
      <c r="AW34" s="334"/>
      <c r="AX34" s="334"/>
      <c r="AY34" s="334"/>
      <c r="AZ34" s="334"/>
      <c r="BA34" s="335"/>
      <c r="BB34" s="334"/>
      <c r="BC34" s="334"/>
      <c r="BD34" s="334"/>
      <c r="BE34" s="334"/>
      <c r="BF34" s="334"/>
      <c r="BG34" s="43"/>
      <c r="BI34" s="341"/>
      <c r="BJ34" s="341"/>
      <c r="BK34" s="1"/>
      <c r="BL34" s="340"/>
    </row>
    <row r="35" spans="1:64">
      <c r="A35" s="771">
        <v>28</v>
      </c>
      <c r="B35" s="772"/>
      <c r="C35" s="575" t="s">
        <v>1585</v>
      </c>
      <c r="D35" s="573"/>
      <c r="E35" s="573"/>
      <c r="F35" s="573"/>
      <c r="G35" s="573"/>
      <c r="H35" s="573"/>
      <c r="I35" s="573"/>
      <c r="J35" s="573"/>
      <c r="K35" s="643"/>
      <c r="L35" s="575" t="s">
        <v>1586</v>
      </c>
      <c r="M35" s="573"/>
      <c r="N35" s="573"/>
      <c r="O35" s="573"/>
      <c r="P35" s="573"/>
      <c r="Q35" s="573"/>
      <c r="R35" s="573"/>
      <c r="S35" s="573"/>
      <c r="T35" s="573"/>
      <c r="U35" s="692"/>
      <c r="V35" s="693"/>
      <c r="W35" s="790"/>
      <c r="X35" s="791"/>
      <c r="Y35" s="575" t="s">
        <v>199</v>
      </c>
      <c r="Z35" s="573"/>
      <c r="AA35" s="573"/>
      <c r="AB35" s="573"/>
      <c r="AC35" s="573"/>
      <c r="AD35" s="792">
        <v>32</v>
      </c>
      <c r="AE35" s="793"/>
      <c r="AF35" s="692"/>
      <c r="AG35" s="693"/>
      <c r="AH35" s="642"/>
      <c r="AI35" s="331"/>
      <c r="AJ35" s="331"/>
      <c r="AK35" s="331"/>
      <c r="AL35" s="331"/>
      <c r="AM35" s="331"/>
      <c r="AN35" s="331"/>
      <c r="AO35" s="331"/>
      <c r="AP35" s="331"/>
      <c r="AQ35" s="331"/>
      <c r="AR35" s="331"/>
      <c r="AS35" s="331"/>
      <c r="AT35" s="331"/>
      <c r="AU35" s="334"/>
      <c r="AV35" s="334"/>
      <c r="AW35" s="334"/>
      <c r="AX35" s="334"/>
      <c r="AY35" s="334"/>
      <c r="AZ35" s="334"/>
      <c r="BA35" s="335"/>
      <c r="BB35" s="334"/>
      <c r="BC35" s="334"/>
      <c r="BD35" s="334"/>
      <c r="BE35" s="334"/>
      <c r="BF35" s="334"/>
      <c r="BG35" s="43"/>
      <c r="BI35" s="341"/>
      <c r="BJ35" s="341"/>
      <c r="BK35" s="659" t="s">
        <v>1901</v>
      </c>
      <c r="BL35" s="340"/>
    </row>
    <row r="36" spans="1:64">
      <c r="A36" s="771">
        <v>29</v>
      </c>
      <c r="B36" s="772"/>
      <c r="C36" s="575" t="s">
        <v>1587</v>
      </c>
      <c r="D36" s="573"/>
      <c r="E36" s="573"/>
      <c r="F36" s="573"/>
      <c r="G36" s="573"/>
      <c r="H36" s="573"/>
      <c r="I36" s="573"/>
      <c r="J36" s="573"/>
      <c r="K36" s="643"/>
      <c r="L36" s="575" t="s">
        <v>1588</v>
      </c>
      <c r="M36" s="573"/>
      <c r="N36" s="573"/>
      <c r="O36" s="573"/>
      <c r="P36" s="573"/>
      <c r="Q36" s="573"/>
      <c r="R36" s="573"/>
      <c r="S36" s="573"/>
      <c r="T36" s="573"/>
      <c r="U36" s="692"/>
      <c r="V36" s="693"/>
      <c r="W36" s="790"/>
      <c r="X36" s="791"/>
      <c r="Y36" s="575" t="s">
        <v>16</v>
      </c>
      <c r="Z36" s="573"/>
      <c r="AA36" s="573"/>
      <c r="AB36" s="573"/>
      <c r="AC36" s="643"/>
      <c r="AD36" s="788">
        <v>100</v>
      </c>
      <c r="AE36" s="789"/>
      <c r="AF36" s="692"/>
      <c r="AG36" s="693"/>
      <c r="AH36" s="642"/>
      <c r="AI36" s="331"/>
      <c r="AJ36" s="331"/>
      <c r="AK36" s="331"/>
      <c r="AL36" s="331"/>
      <c r="AM36" s="331"/>
      <c r="AN36" s="331"/>
      <c r="AO36" s="331"/>
      <c r="AP36" s="331"/>
      <c r="AQ36" s="331"/>
      <c r="AR36" s="331"/>
      <c r="AS36" s="331"/>
      <c r="AT36" s="331"/>
      <c r="AU36" s="334"/>
      <c r="AV36" s="334"/>
      <c r="AW36" s="334"/>
      <c r="AX36" s="334"/>
      <c r="AY36" s="334"/>
      <c r="AZ36" s="334"/>
      <c r="BA36" s="335"/>
      <c r="BB36" s="334"/>
      <c r="BC36" s="334"/>
      <c r="BD36" s="334"/>
      <c r="BE36" s="334"/>
      <c r="BF36" s="334"/>
      <c r="BG36" s="43"/>
      <c r="BI36" s="341"/>
      <c r="BJ36" s="341"/>
      <c r="BK36" s="248" t="s">
        <v>1902</v>
      </c>
      <c r="BL36" s="341"/>
    </row>
    <row r="37" spans="1:64">
      <c r="A37" s="771"/>
      <c r="B37" s="772"/>
      <c r="C37" s="3"/>
      <c r="D37" s="450"/>
      <c r="E37" s="450"/>
      <c r="F37" s="450"/>
      <c r="G37" s="450"/>
      <c r="H37" s="450"/>
      <c r="I37" s="450"/>
      <c r="J37" s="450"/>
      <c r="K37" s="641"/>
      <c r="L37" s="3"/>
      <c r="M37" s="450"/>
      <c r="N37" s="450"/>
      <c r="O37" s="450"/>
      <c r="P37" s="450"/>
      <c r="Q37" s="450"/>
      <c r="R37" s="450"/>
      <c r="S37" s="450"/>
      <c r="T37" s="450"/>
      <c r="U37" s="780"/>
      <c r="V37" s="772"/>
      <c r="W37" s="773"/>
      <c r="X37" s="774"/>
      <c r="Y37" s="3"/>
      <c r="Z37" s="450"/>
      <c r="AA37" s="450"/>
      <c r="AB37" s="450"/>
      <c r="AC37" s="450"/>
      <c r="AD37" s="783"/>
      <c r="AE37" s="784"/>
      <c r="AF37" s="780"/>
      <c r="AG37" s="772"/>
      <c r="AH37" s="640"/>
      <c r="AI37" s="450"/>
      <c r="AJ37" s="450"/>
      <c r="AK37" s="450"/>
      <c r="AL37" s="450"/>
      <c r="AM37" s="450"/>
      <c r="AN37" s="450"/>
      <c r="AO37" s="450"/>
      <c r="AP37" s="450"/>
      <c r="AQ37" s="450"/>
      <c r="AR37" s="450"/>
      <c r="AS37" s="450"/>
      <c r="AT37" s="450"/>
      <c r="AU37" s="334"/>
      <c r="AV37" s="334"/>
      <c r="AW37" s="334"/>
      <c r="AX37" s="334"/>
      <c r="AY37" s="334"/>
      <c r="AZ37" s="334"/>
      <c r="BA37" s="335"/>
      <c r="BB37" s="334"/>
      <c r="BC37" s="334"/>
      <c r="BD37" s="334"/>
      <c r="BE37" s="334"/>
      <c r="BF37" s="334"/>
      <c r="BG37" s="43"/>
      <c r="BI37" s="341"/>
      <c r="BJ37" s="341"/>
      <c r="BK37" s="341"/>
      <c r="BL37" s="341"/>
    </row>
    <row r="38" spans="1:64">
      <c r="A38" s="771"/>
      <c r="B38" s="772"/>
      <c r="C38" s="3"/>
      <c r="D38" s="450"/>
      <c r="E38" s="450"/>
      <c r="F38" s="450"/>
      <c r="G38" s="450"/>
      <c r="H38" s="450"/>
      <c r="I38" s="450"/>
      <c r="J38" s="450"/>
      <c r="K38" s="641"/>
      <c r="L38" s="3"/>
      <c r="M38" s="450"/>
      <c r="N38" s="450"/>
      <c r="O38" s="450"/>
      <c r="P38" s="450"/>
      <c r="Q38" s="450"/>
      <c r="R38" s="450"/>
      <c r="S38" s="450"/>
      <c r="T38" s="450"/>
      <c r="U38" s="780"/>
      <c r="V38" s="772"/>
      <c r="W38" s="773"/>
      <c r="X38" s="774"/>
      <c r="Y38" s="3"/>
      <c r="Z38" s="450"/>
      <c r="AA38" s="450"/>
      <c r="AB38" s="450"/>
      <c r="AC38" s="450"/>
      <c r="AD38" s="783"/>
      <c r="AE38" s="784"/>
      <c r="AF38" s="780"/>
      <c r="AG38" s="772"/>
      <c r="AH38" s="640"/>
      <c r="AI38" s="450"/>
      <c r="AJ38" s="450"/>
      <c r="AK38" s="450"/>
      <c r="AL38" s="450"/>
      <c r="AM38" s="450"/>
      <c r="AN38" s="450"/>
      <c r="AO38" s="450"/>
      <c r="AP38" s="450"/>
      <c r="AQ38" s="450"/>
      <c r="AR38" s="450"/>
      <c r="AS38" s="450"/>
      <c r="AT38" s="450"/>
      <c r="AU38" s="334"/>
      <c r="AV38" s="334"/>
      <c r="AW38" s="334"/>
      <c r="AX38" s="334"/>
      <c r="AY38" s="334"/>
      <c r="AZ38" s="334"/>
      <c r="BA38" s="335"/>
      <c r="BB38" s="334"/>
      <c r="BC38" s="334"/>
      <c r="BD38" s="334"/>
      <c r="BE38" s="334"/>
      <c r="BF38" s="334"/>
      <c r="BG38" s="43"/>
      <c r="BI38" s="341"/>
      <c r="BJ38" s="341"/>
      <c r="BK38" s="1"/>
      <c r="BL38" s="340"/>
    </row>
    <row r="39" spans="1:64">
      <c r="A39" s="771"/>
      <c r="B39" s="772"/>
      <c r="C39" s="3"/>
      <c r="D39" s="450"/>
      <c r="E39" s="450"/>
      <c r="F39" s="450"/>
      <c r="G39" s="450"/>
      <c r="H39" s="450"/>
      <c r="I39" s="450"/>
      <c r="J39" s="450"/>
      <c r="K39" s="641"/>
      <c r="L39" s="3"/>
      <c r="M39" s="450"/>
      <c r="N39" s="450"/>
      <c r="O39" s="450"/>
      <c r="P39" s="450"/>
      <c r="Q39" s="450"/>
      <c r="R39" s="450"/>
      <c r="S39" s="450"/>
      <c r="T39" s="450"/>
      <c r="U39" s="780"/>
      <c r="V39" s="772"/>
      <c r="W39" s="773"/>
      <c r="X39" s="774"/>
      <c r="Y39" s="3"/>
      <c r="Z39" s="450"/>
      <c r="AA39" s="450"/>
      <c r="AB39" s="450"/>
      <c r="AC39" s="450"/>
      <c r="AD39" s="783"/>
      <c r="AE39" s="784"/>
      <c r="AF39" s="780"/>
      <c r="AG39" s="772"/>
      <c r="AH39" s="640"/>
      <c r="AI39" s="450"/>
      <c r="AJ39" s="450"/>
      <c r="AK39" s="450"/>
      <c r="AL39" s="450"/>
      <c r="AM39" s="450"/>
      <c r="AN39" s="450"/>
      <c r="AO39" s="450"/>
      <c r="AP39" s="450"/>
      <c r="AQ39" s="450"/>
      <c r="AR39" s="450"/>
      <c r="AS39" s="450"/>
      <c r="AT39" s="450"/>
      <c r="AU39" s="334"/>
      <c r="AV39" s="334"/>
      <c r="AW39" s="334"/>
      <c r="AX39" s="334"/>
      <c r="AY39" s="334"/>
      <c r="AZ39" s="334"/>
      <c r="BA39" s="335"/>
      <c r="BB39" s="334"/>
      <c r="BC39" s="334"/>
      <c r="BD39" s="334"/>
      <c r="BE39" s="334"/>
      <c r="BF39" s="334"/>
      <c r="BG39" s="43"/>
      <c r="BI39" s="341"/>
      <c r="BJ39" s="341"/>
      <c r="BK39" s="1"/>
      <c r="BL39" s="340"/>
    </row>
    <row r="40" spans="1:64" ht="16.2" thickBot="1">
      <c r="A40" s="771"/>
      <c r="B40" s="772"/>
      <c r="C40" s="3"/>
      <c r="D40" s="450"/>
      <c r="E40" s="450"/>
      <c r="F40" s="450"/>
      <c r="G40" s="450"/>
      <c r="H40" s="450"/>
      <c r="I40" s="450"/>
      <c r="J40" s="450"/>
      <c r="K40" s="641"/>
      <c r="L40" s="3"/>
      <c r="M40" s="450"/>
      <c r="N40" s="450"/>
      <c r="O40" s="450"/>
      <c r="P40" s="450"/>
      <c r="Q40" s="450"/>
      <c r="R40" s="450"/>
      <c r="S40" s="450"/>
      <c r="T40" s="450"/>
      <c r="U40" s="780"/>
      <c r="V40" s="772"/>
      <c r="W40" s="773"/>
      <c r="X40" s="774"/>
      <c r="Y40" s="3"/>
      <c r="Z40" s="450"/>
      <c r="AA40" s="450"/>
      <c r="AB40" s="450"/>
      <c r="AC40" s="450"/>
      <c r="AD40" s="783"/>
      <c r="AE40" s="784"/>
      <c r="AF40" s="780"/>
      <c r="AG40" s="772"/>
      <c r="AH40" s="640"/>
      <c r="AI40" s="450"/>
      <c r="AJ40" s="450"/>
      <c r="AK40" s="450"/>
      <c r="AL40" s="450"/>
      <c r="AM40" s="450"/>
      <c r="AN40" s="450"/>
      <c r="AO40" s="450"/>
      <c r="AP40" s="450"/>
      <c r="AQ40" s="450"/>
      <c r="AR40" s="450"/>
      <c r="AS40" s="450"/>
      <c r="AT40" s="450"/>
      <c r="AU40" s="638"/>
      <c r="AV40" s="638"/>
      <c r="AW40" s="638"/>
      <c r="AX40" s="638"/>
      <c r="AY40" s="638"/>
      <c r="AZ40" s="638"/>
      <c r="BA40" s="639"/>
      <c r="BI40" s="341"/>
      <c r="BJ40" s="341"/>
      <c r="BK40" s="1"/>
      <c r="BL40" s="340"/>
    </row>
    <row r="41" spans="1:64">
      <c r="BI41" s="341"/>
      <c r="BJ41" s="341"/>
      <c r="BK41" s="1"/>
      <c r="BL41" s="340"/>
    </row>
    <row r="42" spans="1:64">
      <c r="BI42" s="341"/>
      <c r="BJ42" s="341"/>
      <c r="BK42" s="36"/>
      <c r="BL42" s="341"/>
    </row>
    <row r="43" spans="1:64">
      <c r="BI43" s="341"/>
      <c r="BJ43" s="341"/>
      <c r="BK43" s="341"/>
      <c r="BL43" s="341"/>
    </row>
    <row r="44" spans="1:64">
      <c r="BI44" s="341"/>
      <c r="BJ44" s="341"/>
      <c r="BK44" s="341"/>
      <c r="BL44" s="341"/>
    </row>
    <row r="45" spans="1:64">
      <c r="BI45" s="341"/>
      <c r="BJ45" s="341"/>
      <c r="BK45" s="341"/>
      <c r="BL45" s="341"/>
    </row>
    <row r="46" spans="1:64">
      <c r="BI46" s="341"/>
      <c r="BJ46" s="341"/>
      <c r="BK46" s="341"/>
      <c r="BL46" s="341"/>
    </row>
    <row r="47" spans="1:64">
      <c r="BI47" s="341"/>
      <c r="BJ47" s="341"/>
      <c r="BK47" s="341"/>
      <c r="BL47" s="341"/>
    </row>
    <row r="48" spans="1:64">
      <c r="BI48" s="341"/>
      <c r="BJ48" s="341"/>
      <c r="BK48" s="341"/>
      <c r="BL48" s="341"/>
    </row>
    <row r="49" spans="61:64">
      <c r="BI49" s="341"/>
      <c r="BJ49" s="341"/>
      <c r="BK49" s="341"/>
      <c r="BL49" s="341"/>
    </row>
    <row r="50" spans="61:64">
      <c r="BI50" s="341"/>
      <c r="BJ50" s="341"/>
      <c r="BK50" s="341"/>
      <c r="BL50" s="341"/>
    </row>
    <row r="51" spans="61:64">
      <c r="BI51" s="341"/>
      <c r="BJ51" s="341"/>
      <c r="BK51" s="341"/>
      <c r="BL51" s="341"/>
    </row>
    <row r="52" spans="61:64">
      <c r="BI52" s="341"/>
      <c r="BJ52" s="341"/>
      <c r="BK52" s="341"/>
      <c r="BL52" s="341"/>
    </row>
    <row r="53" spans="61:64">
      <c r="BI53" s="341"/>
      <c r="BJ53" s="341"/>
      <c r="BK53" s="341"/>
      <c r="BL53" s="341"/>
    </row>
    <row r="54" spans="61:64">
      <c r="BI54" s="341"/>
      <c r="BJ54" s="341"/>
      <c r="BK54" s="341"/>
      <c r="BL54" s="341"/>
    </row>
    <row r="55" spans="61:64">
      <c r="BI55" s="341"/>
      <c r="BJ55" s="341"/>
      <c r="BK55" s="341"/>
      <c r="BL55" s="341"/>
    </row>
    <row r="56" spans="61:64">
      <c r="BI56" s="341"/>
      <c r="BJ56" s="341"/>
      <c r="BK56" s="341"/>
      <c r="BL56" s="341"/>
    </row>
    <row r="57" spans="61:64">
      <c r="BI57" s="341"/>
      <c r="BJ57" s="341"/>
      <c r="BK57" s="341"/>
      <c r="BL57" s="341"/>
    </row>
    <row r="58" spans="61:64">
      <c r="BI58" s="341"/>
      <c r="BJ58" s="341"/>
      <c r="BK58" s="341"/>
      <c r="BL58" s="341"/>
    </row>
    <row r="59" spans="61:64">
      <c r="BI59" s="341"/>
      <c r="BJ59" s="341"/>
      <c r="BK59" s="341"/>
      <c r="BL59" s="341"/>
    </row>
    <row r="60" spans="61:64">
      <c r="BI60" s="341"/>
      <c r="BJ60" s="341"/>
      <c r="BK60" s="341"/>
      <c r="BL60" s="341"/>
    </row>
    <row r="61" spans="61:64">
      <c r="BI61" s="341"/>
      <c r="BJ61" s="341"/>
      <c r="BK61" s="341"/>
      <c r="BL61" s="341"/>
    </row>
    <row r="62" spans="61:64">
      <c r="BI62" s="341"/>
      <c r="BJ62" s="341"/>
      <c r="BK62" s="341"/>
      <c r="BL62" s="341"/>
    </row>
    <row r="63" spans="61:64">
      <c r="BI63" s="341"/>
      <c r="BJ63" s="341"/>
      <c r="BK63" s="341"/>
      <c r="BL63" s="341"/>
    </row>
    <row r="64" spans="61:64">
      <c r="BI64" s="341"/>
      <c r="BJ64" s="341"/>
      <c r="BK64" s="341"/>
      <c r="BL64" s="341"/>
    </row>
    <row r="65" spans="61:64">
      <c r="BI65" s="341"/>
      <c r="BJ65" s="341"/>
      <c r="BK65" s="341"/>
      <c r="BL65" s="341"/>
    </row>
    <row r="66" spans="61:64">
      <c r="BI66" s="341"/>
      <c r="BJ66" s="341"/>
      <c r="BK66" s="341"/>
      <c r="BL66" s="341"/>
    </row>
    <row r="67" spans="61:64">
      <c r="BI67" s="341"/>
      <c r="BJ67" s="341"/>
      <c r="BK67" s="341"/>
      <c r="BL67" s="341"/>
    </row>
    <row r="68" spans="61:64">
      <c r="BI68" s="341"/>
      <c r="BJ68" s="341"/>
      <c r="BK68" s="341"/>
      <c r="BL68" s="341"/>
    </row>
    <row r="69" spans="61:64">
      <c r="BI69" s="341"/>
      <c r="BJ69" s="341"/>
      <c r="BK69" s="341"/>
      <c r="BL69" s="341"/>
    </row>
    <row r="70" spans="61:64">
      <c r="BI70" s="341"/>
      <c r="BJ70" s="341"/>
      <c r="BK70" s="341"/>
      <c r="BL70" s="341"/>
    </row>
    <row r="71" spans="61:64">
      <c r="BI71" s="341"/>
      <c r="BJ71" s="341"/>
      <c r="BK71" s="341"/>
      <c r="BL71" s="341"/>
    </row>
    <row r="72" spans="61:64">
      <c r="BI72" s="341"/>
      <c r="BJ72" s="341"/>
      <c r="BK72" s="341"/>
      <c r="BL72" s="341"/>
    </row>
    <row r="73" spans="61:64">
      <c r="BI73" s="341"/>
      <c r="BJ73" s="341"/>
      <c r="BK73" s="341"/>
      <c r="BL73" s="341"/>
    </row>
    <row r="74" spans="61:64">
      <c r="BI74" s="341"/>
      <c r="BJ74" s="341"/>
      <c r="BK74" s="341"/>
      <c r="BL74" s="341"/>
    </row>
    <row r="75" spans="61:64">
      <c r="BI75" s="341"/>
      <c r="BJ75" s="341"/>
      <c r="BK75" s="341"/>
      <c r="BL75" s="341"/>
    </row>
    <row r="76" spans="61:64">
      <c r="BI76" s="341"/>
      <c r="BJ76" s="341"/>
      <c r="BK76" s="341"/>
      <c r="BL76" s="341"/>
    </row>
    <row r="77" spans="61:64">
      <c r="BI77" s="341"/>
      <c r="BJ77" s="341"/>
      <c r="BK77" s="341"/>
      <c r="BL77" s="341"/>
    </row>
    <row r="78" spans="61:64">
      <c r="BI78" s="341"/>
      <c r="BJ78" s="341"/>
      <c r="BK78" s="341"/>
      <c r="BL78" s="341"/>
    </row>
    <row r="79" spans="61:64">
      <c r="BI79" s="341"/>
      <c r="BJ79" s="341"/>
      <c r="BK79" s="341"/>
      <c r="BL79" s="341"/>
    </row>
    <row r="80" spans="61:64">
      <c r="BI80" s="341"/>
      <c r="BJ80" s="341"/>
      <c r="BK80" s="341"/>
      <c r="BL80" s="341"/>
    </row>
    <row r="81" spans="61:64">
      <c r="BI81" s="341"/>
      <c r="BJ81" s="341"/>
      <c r="BK81" s="341"/>
      <c r="BL81" s="341"/>
    </row>
  </sheetData>
  <mergeCells count="172">
    <mergeCell ref="AD30:AE30"/>
    <mergeCell ref="AF30:AG30"/>
    <mergeCell ref="A16:B16"/>
    <mergeCell ref="U20:V20"/>
    <mergeCell ref="U21:V21"/>
    <mergeCell ref="U23:V23"/>
    <mergeCell ref="W19:X19"/>
    <mergeCell ref="W20:X20"/>
    <mergeCell ref="W21:X21"/>
    <mergeCell ref="W23:X23"/>
    <mergeCell ref="U30:V30"/>
    <mergeCell ref="W30:X30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22:B22"/>
    <mergeCell ref="U22:V22"/>
    <mergeCell ref="AF22:AG22"/>
    <mergeCell ref="A40:B40"/>
    <mergeCell ref="U40:V40"/>
    <mergeCell ref="W40:X40"/>
    <mergeCell ref="AD40:AE40"/>
    <mergeCell ref="AF40:AG40"/>
    <mergeCell ref="A19:B19"/>
    <mergeCell ref="A20:B20"/>
    <mergeCell ref="A21:B21"/>
    <mergeCell ref="A23:B23"/>
    <mergeCell ref="U19:V19"/>
    <mergeCell ref="A38:B38"/>
    <mergeCell ref="U38:V38"/>
    <mergeCell ref="W38:X38"/>
    <mergeCell ref="AD38:AE38"/>
    <mergeCell ref="AF38:AG38"/>
    <mergeCell ref="A39:B39"/>
    <mergeCell ref="U39:V39"/>
    <mergeCell ref="W39:X39"/>
    <mergeCell ref="AD39:AE39"/>
    <mergeCell ref="AF39:AG39"/>
    <mergeCell ref="A36:B36"/>
    <mergeCell ref="U36:V36"/>
    <mergeCell ref="W36:X36"/>
    <mergeCell ref="AD22:AE22"/>
    <mergeCell ref="AD36:AE36"/>
    <mergeCell ref="AF36:AG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1:B31"/>
    <mergeCell ref="U31:V31"/>
    <mergeCell ref="W31:X31"/>
    <mergeCell ref="AD31:AE31"/>
    <mergeCell ref="AF31:AG31"/>
    <mergeCell ref="A18:B18"/>
    <mergeCell ref="U18:V18"/>
    <mergeCell ref="W18:X18"/>
    <mergeCell ref="AD18:AE18"/>
    <mergeCell ref="AF18:AG18"/>
    <mergeCell ref="A24:B24"/>
    <mergeCell ref="U24:V24"/>
    <mergeCell ref="W24:X24"/>
    <mergeCell ref="AD24:AE24"/>
    <mergeCell ref="AF24:AG24"/>
    <mergeCell ref="A30:B30"/>
    <mergeCell ref="AD19:AE19"/>
    <mergeCell ref="AD20:AE20"/>
    <mergeCell ref="AD21:AE21"/>
    <mergeCell ref="AD23:AE23"/>
    <mergeCell ref="AF19:AG19"/>
    <mergeCell ref="AF20:AG20"/>
    <mergeCell ref="AF21:AG21"/>
    <mergeCell ref="AF23:AG23"/>
    <mergeCell ref="A13:B13"/>
    <mergeCell ref="U13:V13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AD14:AE14"/>
    <mergeCell ref="A14:B14"/>
    <mergeCell ref="AF14:AG14"/>
    <mergeCell ref="AD9:AE9"/>
    <mergeCell ref="AF9:AG9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W27:X27"/>
    <mergeCell ref="AD27:AE27"/>
    <mergeCell ref="G1:T1"/>
    <mergeCell ref="U1:AO2"/>
    <mergeCell ref="BB1:BG1"/>
    <mergeCell ref="G2:T2"/>
    <mergeCell ref="BB2:BG2"/>
    <mergeCell ref="A6:B7"/>
    <mergeCell ref="C6:K7"/>
    <mergeCell ref="L6:T7"/>
    <mergeCell ref="BB6:BG7"/>
    <mergeCell ref="A10:B10"/>
    <mergeCell ref="U10:V10"/>
    <mergeCell ref="W10:X10"/>
    <mergeCell ref="AD10:AE10"/>
    <mergeCell ref="AF10:AG10"/>
    <mergeCell ref="A8:B8"/>
    <mergeCell ref="U8:V8"/>
    <mergeCell ref="W8:X8"/>
    <mergeCell ref="AD8:AE8"/>
    <mergeCell ref="AF8:AG8"/>
    <mergeCell ref="A9:B9"/>
    <mergeCell ref="U9:V9"/>
    <mergeCell ref="W9:X9"/>
    <mergeCell ref="U29:V29"/>
    <mergeCell ref="W29:X29"/>
    <mergeCell ref="AD29:AE29"/>
    <mergeCell ref="AF29:AG29"/>
    <mergeCell ref="A29:B29"/>
    <mergeCell ref="W22:X22"/>
    <mergeCell ref="U28:V28"/>
    <mergeCell ref="W28:X28"/>
    <mergeCell ref="AD28:AE28"/>
    <mergeCell ref="A25:B25"/>
    <mergeCell ref="A26:B26"/>
    <mergeCell ref="A27:B27"/>
    <mergeCell ref="A28:B28"/>
    <mergeCell ref="AF25:AG25"/>
    <mergeCell ref="AF26:AG26"/>
    <mergeCell ref="AF27:AG27"/>
    <mergeCell ref="AF28:AG28"/>
    <mergeCell ref="U25:V25"/>
    <mergeCell ref="W25:X25"/>
    <mergeCell ref="AD25:AE25"/>
    <mergeCell ref="U26:V26"/>
    <mergeCell ref="W26:X26"/>
    <mergeCell ref="AD26:AE26"/>
    <mergeCell ref="U27:V2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备注说明大全</vt:lpstr>
      <vt:lpstr>各个表金额字段明细参考</vt:lpstr>
      <vt:lpstr>工程施工类合同评审补充协议表</vt:lpstr>
      <vt:lpstr>工程施工类合同管理表</vt:lpstr>
      <vt:lpstr>工程施工类合同评审清单表</vt:lpstr>
      <vt:lpstr>工程施工类合同补充协议清单表</vt:lpstr>
      <vt:lpstr>工程施工类合同补充协议清单明细表</vt:lpstr>
      <vt:lpstr>工程施工类合同管理清单表</vt:lpstr>
      <vt:lpstr>合同单价分析表</vt:lpstr>
      <vt:lpstr>合同单价分析明细表</vt:lpstr>
      <vt:lpstr>协作清单书表(先不用了)</vt:lpstr>
      <vt:lpstr>合同清单与标准工序库关系表</vt:lpstr>
      <vt:lpstr>分包清单与业主合同清单关联表</vt:lpstr>
      <vt:lpstr>分包合同保证金比例表</vt:lpstr>
      <vt:lpstr>工程施工类合同附件表</vt:lpstr>
      <vt:lpstr>工程施工类合同附件表(新)</vt:lpstr>
      <vt:lpstr>资料库文件夹层级表</vt:lpstr>
      <vt:lpstr>资料库文件标题表</vt:lpstr>
      <vt:lpstr>资料库文件附件表(考虑zj_erp_file)</vt:lpstr>
      <vt:lpstr>资料库文件夹权限表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zx02</cp:lastModifiedBy>
  <dcterms:created xsi:type="dcterms:W3CDTF">2006-09-13T11:21:51Z</dcterms:created>
  <dcterms:modified xsi:type="dcterms:W3CDTF">2021-07-29T02:27:54Z</dcterms:modified>
</cp:coreProperties>
</file>